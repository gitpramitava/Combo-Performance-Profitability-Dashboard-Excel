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24226"/>
  <mc:AlternateContent xmlns:mc="http://schemas.openxmlformats.org/markup-compatibility/2006">
    <mc:Choice Requires="x15">
      <x15ac:absPath xmlns:x15ac="http://schemas.microsoft.com/office/spreadsheetml/2010/11/ac" url="C:\Users\ADMIN\Music\"/>
    </mc:Choice>
  </mc:AlternateContent>
  <xr:revisionPtr revIDLastSave="0" documentId="13_ncr:1_{6ED4CB56-5C68-4119-9ECA-137C99F15732}" xr6:coauthVersionLast="47" xr6:coauthVersionMax="47" xr10:uidLastSave="{00000000-0000-0000-0000-000000000000}"/>
  <bookViews>
    <workbookView xWindow="-120" yWindow="-120" windowWidth="29040" windowHeight="15720" xr2:uid="{AB70DA44-5AC3-47E7-8979-50359B0C1B0D}"/>
  </bookViews>
  <sheets>
    <sheet name="Combo Performance Dashboard" sheetId="16" r:id="rId1"/>
    <sheet name="Day7-Pivot &amp; Helper Sheet" sheetId="15" r:id="rId2"/>
    <sheet name="Orders" sheetId="1" r:id="rId3"/>
    <sheet name="OrderLines" sheetId="2" r:id="rId4"/>
    <sheet name="Menu" sheetId="3" r:id="rId5"/>
    <sheet name="Staff" sheetId="4" r:id="rId6"/>
    <sheet name="Inventory" sheetId="5" r:id="rId7"/>
    <sheet name="Suppliers" sheetId="6" r:id="rId8"/>
    <sheet name="WasteLog" sheetId="7" r:id="rId9"/>
    <sheet name="Feedback" sheetId="8" r:id="rId10"/>
    <sheet name="Daily_Summary" sheetId="12" r:id="rId11"/>
    <sheet name="Day2_KPIs" sheetId="9" r:id="rId12"/>
    <sheet name="Day6_Retrieval" sheetId="14" r:id="rId13"/>
    <sheet name="Day4_Reports" sheetId="11" r:id="rId14"/>
  </sheets>
  <definedNames>
    <definedName name="AllMenuItems">Menu[ItemName]</definedName>
    <definedName name="Slicer_Branch">#N/A</definedName>
    <definedName name="Slicer_Shift">#N/A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1" i="15" l="1"/>
  <c r="AC8" i="16"/>
  <c r="AC7" i="16"/>
  <c r="AC11" i="16"/>
  <c r="L30" i="15"/>
  <c r="K30" i="15"/>
  <c r="J30" i="15"/>
  <c r="I30" i="15"/>
  <c r="L24" i="15"/>
  <c r="K24" i="15"/>
  <c r="J24" i="15"/>
  <c r="I24" i="15"/>
  <c r="D4" i="15"/>
  <c r="P2" i="1"/>
  <c r="I16" i="15" s="1"/>
  <c r="P3" i="1"/>
  <c r="I13" i="15" s="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N2" i="1"/>
  <c r="I14" i="15" s="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C5" i="14"/>
  <c r="E2" i="7"/>
  <c r="E3" i="7"/>
  <c r="E4" i="7"/>
  <c r="E5" i="7"/>
  <c r="E6" i="7"/>
  <c r="E7" i="7"/>
  <c r="E8" i="7"/>
  <c r="E9" i="7"/>
  <c r="E10" i="7"/>
  <c r="E11" i="7"/>
  <c r="E12"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AC9" i="16" l="1"/>
  <c r="AC10" i="16" s="1"/>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G2" i="2"/>
  <c r="F2"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D2" i="2"/>
  <c r="K185" i="1" s="1"/>
  <c r="E2" i="2"/>
  <c r="F3" i="2"/>
  <c r="J3" i="1" s="1"/>
  <c r="F4" i="2"/>
  <c r="F5" i="2"/>
  <c r="F6" i="2"/>
  <c r="F7" i="2"/>
  <c r="F8" i="2"/>
  <c r="F9" i="2"/>
  <c r="F10" i="2"/>
  <c r="J6" i="1" s="1"/>
  <c r="F11" i="2"/>
  <c r="F12" i="2"/>
  <c r="F13" i="2"/>
  <c r="J8" i="1" s="1"/>
  <c r="F14" i="2"/>
  <c r="F15" i="2"/>
  <c r="J9" i="1" s="1"/>
  <c r="F16" i="2"/>
  <c r="F17" i="2"/>
  <c r="F18" i="2"/>
  <c r="J10" i="1" s="1"/>
  <c r="F19" i="2"/>
  <c r="F20" i="2"/>
  <c r="F21" i="2"/>
  <c r="J11" i="1" s="1"/>
  <c r="F22" i="2"/>
  <c r="F23" i="2"/>
  <c r="F24" i="2"/>
  <c r="F25" i="2"/>
  <c r="F26" i="2"/>
  <c r="F27" i="2"/>
  <c r="F28" i="2"/>
  <c r="F29" i="2"/>
  <c r="F30" i="2"/>
  <c r="F31" i="2"/>
  <c r="F32" i="2"/>
  <c r="F33" i="2"/>
  <c r="F34" i="2"/>
  <c r="F35" i="2"/>
  <c r="F36" i="2"/>
  <c r="F37" i="2"/>
  <c r="F38" i="2"/>
  <c r="F39" i="2"/>
  <c r="F40" i="2"/>
  <c r="F41" i="2"/>
  <c r="F42" i="2"/>
  <c r="H18" i="1" s="1"/>
  <c r="F43" i="2"/>
  <c r="J19" i="1" s="1"/>
  <c r="F44" i="2"/>
  <c r="F45" i="2"/>
  <c r="J20" i="1" s="1"/>
  <c r="F46" i="2"/>
  <c r="F47" i="2"/>
  <c r="F48" i="2"/>
  <c r="F49" i="2"/>
  <c r="F50" i="2"/>
  <c r="F51" i="2"/>
  <c r="F52" i="2"/>
  <c r="F53" i="2"/>
  <c r="F54" i="2"/>
  <c r="F55" i="2"/>
  <c r="J23" i="1" s="1"/>
  <c r="F56" i="2"/>
  <c r="F57" i="2"/>
  <c r="F58" i="2"/>
  <c r="F59" i="2"/>
  <c r="F60" i="2"/>
  <c r="F61" i="2"/>
  <c r="H26" i="1" s="1"/>
  <c r="F62" i="2"/>
  <c r="J27" i="1" s="1"/>
  <c r="F63" i="2"/>
  <c r="F64" i="2"/>
  <c r="F65" i="2"/>
  <c r="F66" i="2"/>
  <c r="F67" i="2"/>
  <c r="F68" i="2"/>
  <c r="F69" i="2"/>
  <c r="F70" i="2"/>
  <c r="F71" i="2"/>
  <c r="F72" i="2"/>
  <c r="F73" i="2"/>
  <c r="F74" i="2"/>
  <c r="F75" i="2"/>
  <c r="F76" i="2"/>
  <c r="F77" i="2"/>
  <c r="F78" i="2"/>
  <c r="F79" i="2"/>
  <c r="J33" i="1" s="1"/>
  <c r="F80" i="2"/>
  <c r="F81" i="2"/>
  <c r="F82" i="2"/>
  <c r="F83" i="2"/>
  <c r="J34" i="1" s="1"/>
  <c r="F84" i="2"/>
  <c r="F85" i="2"/>
  <c r="J35" i="1" s="1"/>
  <c r="F86" i="2"/>
  <c r="F87" i="2"/>
  <c r="F88" i="2"/>
  <c r="F89" i="2"/>
  <c r="F90" i="2"/>
  <c r="F91" i="2"/>
  <c r="F92" i="2"/>
  <c r="F93" i="2"/>
  <c r="F94" i="2"/>
  <c r="F95" i="2"/>
  <c r="J39" i="1" s="1"/>
  <c r="F96" i="2"/>
  <c r="F97" i="2"/>
  <c r="F98" i="2"/>
  <c r="F99" i="2"/>
  <c r="F100" i="2"/>
  <c r="F101" i="2"/>
  <c r="F102" i="2"/>
  <c r="J42" i="1" s="1"/>
  <c r="F103" i="2"/>
  <c r="F104" i="2"/>
  <c r="J43" i="1" s="1"/>
  <c r="F105" i="2"/>
  <c r="F106" i="2"/>
  <c r="F107" i="2"/>
  <c r="F108" i="2"/>
  <c r="F109" i="2"/>
  <c r="F110" i="2"/>
  <c r="F111" i="2"/>
  <c r="F112" i="2"/>
  <c r="F113" i="2"/>
  <c r="F114" i="2"/>
  <c r="F115" i="2"/>
  <c r="F116" i="2"/>
  <c r="F117" i="2"/>
  <c r="F118" i="2"/>
  <c r="F119" i="2"/>
  <c r="J49" i="1" s="1"/>
  <c r="F120" i="2"/>
  <c r="F121" i="2"/>
  <c r="F122" i="2"/>
  <c r="H50" i="1" s="1"/>
  <c r="F123" i="2"/>
  <c r="F124" i="2"/>
  <c r="J51" i="1" s="1"/>
  <c r="F125" i="2"/>
  <c r="F126" i="2"/>
  <c r="F127" i="2"/>
  <c r="F128" i="2"/>
  <c r="F129" i="2"/>
  <c r="F130" i="2"/>
  <c r="F131" i="2"/>
  <c r="F132" i="2"/>
  <c r="F133" i="2"/>
  <c r="F134" i="2"/>
  <c r="F135" i="2"/>
  <c r="F136" i="2"/>
  <c r="J57" i="1" s="1"/>
  <c r="F137" i="2"/>
  <c r="F138" i="2"/>
  <c r="J58" i="1" s="1"/>
  <c r="F139" i="2"/>
  <c r="F140" i="2"/>
  <c r="F141" i="2"/>
  <c r="F142" i="2"/>
  <c r="H59" i="1" s="1"/>
  <c r="F143" i="2"/>
  <c r="J60" i="1" s="1"/>
  <c r="F144" i="2"/>
  <c r="F145" i="2"/>
  <c r="F146" i="2"/>
  <c r="F147" i="2"/>
  <c r="F148" i="2"/>
  <c r="F149" i="2"/>
  <c r="F150" i="2"/>
  <c r="F151" i="2"/>
  <c r="F152" i="2"/>
  <c r="F153" i="2"/>
  <c r="J63" i="1" s="1"/>
  <c r="F154" i="2"/>
  <c r="F155" i="2"/>
  <c r="F156" i="2"/>
  <c r="F157" i="2"/>
  <c r="J66" i="1" s="1"/>
  <c r="F158" i="2"/>
  <c r="F159" i="2"/>
  <c r="F160" i="2"/>
  <c r="J67" i="1" s="1"/>
  <c r="F161" i="2"/>
  <c r="F162" i="2"/>
  <c r="F163" i="2"/>
  <c r="F164" i="2"/>
  <c r="F165" i="2"/>
  <c r="F166" i="2"/>
  <c r="F167" i="2"/>
  <c r="F168" i="2"/>
  <c r="F169" i="2"/>
  <c r="F170" i="2"/>
  <c r="F171" i="2"/>
  <c r="F172" i="2"/>
  <c r="F173" i="2"/>
  <c r="F174" i="2"/>
  <c r="F175" i="2"/>
  <c r="F176" i="2"/>
  <c r="H71" i="1" s="1"/>
  <c r="F177" i="2"/>
  <c r="F178" i="2"/>
  <c r="F179" i="2"/>
  <c r="F180" i="2"/>
  <c r="F181" i="2"/>
  <c r="F182" i="2"/>
  <c r="H74" i="1" s="1"/>
  <c r="F183" i="2"/>
  <c r="J75" i="1" s="1"/>
  <c r="F184" i="2"/>
  <c r="F185" i="2"/>
  <c r="F186" i="2"/>
  <c r="F187" i="2"/>
  <c r="F188" i="2"/>
  <c r="F189" i="2"/>
  <c r="F190" i="2"/>
  <c r="F191" i="2"/>
  <c r="J77" i="1" s="1"/>
  <c r="F192" i="2"/>
  <c r="F193" i="2"/>
  <c r="F194" i="2"/>
  <c r="F195" i="2"/>
  <c r="F196" i="2"/>
  <c r="J79" i="1" s="1"/>
  <c r="F197" i="2"/>
  <c r="F198" i="2"/>
  <c r="F199" i="2"/>
  <c r="F200" i="2"/>
  <c r="F201" i="2"/>
  <c r="F202" i="2"/>
  <c r="F203" i="2"/>
  <c r="F204" i="2"/>
  <c r="H82" i="1" s="1"/>
  <c r="F205" i="2"/>
  <c r="H83" i="1" s="1"/>
  <c r="F206" i="2"/>
  <c r="F207" i="2"/>
  <c r="F208" i="2"/>
  <c r="F209" i="2"/>
  <c r="F210" i="2"/>
  <c r="F211" i="2"/>
  <c r="F212" i="2"/>
  <c r="F213" i="2"/>
  <c r="J87" i="1" s="1"/>
  <c r="F214" i="2"/>
  <c r="F215" i="2"/>
  <c r="J88" i="1" s="1"/>
  <c r="F216" i="2"/>
  <c r="F217" i="2"/>
  <c r="F218" i="2"/>
  <c r="F219" i="2"/>
  <c r="F220" i="2"/>
  <c r="J90" i="1" s="1"/>
  <c r="F221" i="2"/>
  <c r="F222" i="2"/>
  <c r="F223" i="2"/>
  <c r="J91" i="1" s="1"/>
  <c r="F224" i="2"/>
  <c r="F225" i="2"/>
  <c r="F226" i="2"/>
  <c r="F227" i="2"/>
  <c r="F228" i="2"/>
  <c r="F229" i="2"/>
  <c r="F230" i="2"/>
  <c r="F231" i="2"/>
  <c r="F232" i="2"/>
  <c r="J95" i="1" s="1"/>
  <c r="F233" i="2"/>
  <c r="F234" i="2"/>
  <c r="F235" i="2"/>
  <c r="F236" i="2"/>
  <c r="F237" i="2"/>
  <c r="F238" i="2"/>
  <c r="F239" i="2"/>
  <c r="F240" i="2"/>
  <c r="H98" i="1" s="1"/>
  <c r="F241" i="2"/>
  <c r="J99" i="1" s="1"/>
  <c r="F242" i="2"/>
  <c r="F243" i="2"/>
  <c r="F244" i="2"/>
  <c r="F245" i="2"/>
  <c r="J101" i="1" s="1"/>
  <c r="F246" i="2"/>
  <c r="F247" i="2"/>
  <c r="J102" i="1" s="1"/>
  <c r="F248" i="2"/>
  <c r="F249" i="2"/>
  <c r="F250" i="2"/>
  <c r="H103" i="1" s="1"/>
  <c r="F251" i="2"/>
  <c r="F252" i="2"/>
  <c r="F253" i="2"/>
  <c r="H106" i="1" s="1"/>
  <c r="F254" i="2"/>
  <c r="J107" i="1" s="1"/>
  <c r="F255" i="2"/>
  <c r="F256" i="2"/>
  <c r="F257" i="2"/>
  <c r="F258" i="2"/>
  <c r="F259" i="2"/>
  <c r="J109" i="1" s="1"/>
  <c r="F260" i="2"/>
  <c r="F261" i="2"/>
  <c r="F262" i="2"/>
  <c r="F263" i="2"/>
  <c r="F264" i="2"/>
  <c r="J111" i="1" s="1"/>
  <c r="F265" i="2"/>
  <c r="F266" i="2"/>
  <c r="F267" i="2"/>
  <c r="F268" i="2"/>
  <c r="F269" i="2"/>
  <c r="F270" i="2"/>
  <c r="F271" i="2"/>
  <c r="J113" i="1" s="1"/>
  <c r="F272" i="2"/>
  <c r="F273" i="2"/>
  <c r="F274" i="2"/>
  <c r="J114" i="1" s="1"/>
  <c r="F275" i="2"/>
  <c r="F276" i="2"/>
  <c r="F277" i="2"/>
  <c r="F278" i="2"/>
  <c r="J115" i="1" s="1"/>
  <c r="F279" i="2"/>
  <c r="F280" i="2"/>
  <c r="F281" i="2"/>
  <c r="F282" i="2"/>
  <c r="F283" i="2"/>
  <c r="F284" i="2"/>
  <c r="J117" i="1" s="1"/>
  <c r="F285" i="2"/>
  <c r="F286" i="2"/>
  <c r="F287" i="2"/>
  <c r="J118" i="1" s="1"/>
  <c r="F288" i="2"/>
  <c r="F289" i="2"/>
  <c r="F290" i="2"/>
  <c r="F291" i="2"/>
  <c r="H119" i="1" s="1"/>
  <c r="F292" i="2"/>
  <c r="F293" i="2"/>
  <c r="J121" i="1" s="1"/>
  <c r="F294" i="2"/>
  <c r="F295" i="2"/>
  <c r="J122" i="1" s="1"/>
  <c r="F296" i="2"/>
  <c r="F297" i="2"/>
  <c r="F298" i="2"/>
  <c r="F299" i="2"/>
  <c r="J123" i="1" s="1"/>
  <c r="F300" i="2"/>
  <c r="F301" i="2"/>
  <c r="F302" i="2"/>
  <c r="F303" i="2"/>
  <c r="J124" i="1" s="1"/>
  <c r="F304" i="2"/>
  <c r="F305" i="2"/>
  <c r="F306" i="2"/>
  <c r="F307" i="2"/>
  <c r="J125" i="1" s="1"/>
  <c r="F308" i="2"/>
  <c r="F309" i="2"/>
  <c r="F310" i="2"/>
  <c r="F311" i="2"/>
  <c r="J126" i="1" s="1"/>
  <c r="F312" i="2"/>
  <c r="F313" i="2"/>
  <c r="J127" i="1" s="1"/>
  <c r="F314" i="2"/>
  <c r="F315" i="2"/>
  <c r="F316" i="2"/>
  <c r="F317" i="2"/>
  <c r="F318" i="2"/>
  <c r="F319" i="2"/>
  <c r="F320" i="2"/>
  <c r="F321" i="2"/>
  <c r="J130" i="1" s="1"/>
  <c r="F322" i="2"/>
  <c r="F323" i="2"/>
  <c r="F324" i="2"/>
  <c r="J131" i="1" s="1"/>
  <c r="F325" i="2"/>
  <c r="F326" i="2"/>
  <c r="F327" i="2"/>
  <c r="J132" i="1" s="1"/>
  <c r="F328" i="2"/>
  <c r="F329" i="2"/>
  <c r="F330" i="2"/>
  <c r="F331" i="2"/>
  <c r="J133" i="1" s="1"/>
  <c r="F332" i="2"/>
  <c r="F333" i="2"/>
  <c r="J134" i="1" s="1"/>
  <c r="F334" i="2"/>
  <c r="F335" i="2"/>
  <c r="F336" i="2"/>
  <c r="H135" i="1" s="1"/>
  <c r="F337" i="2"/>
  <c r="F338" i="2"/>
  <c r="F339" i="2"/>
  <c r="F340" i="2"/>
  <c r="F341" i="2"/>
  <c r="F342" i="2"/>
  <c r="J138" i="1" s="1"/>
  <c r="F343" i="2"/>
  <c r="F344" i="2"/>
  <c r="F345" i="2"/>
  <c r="F346" i="2"/>
  <c r="H139" i="1" s="1"/>
  <c r="F347" i="2"/>
  <c r="F348" i="2"/>
  <c r="F349" i="2"/>
  <c r="F350" i="2"/>
  <c r="J141" i="1" s="1"/>
  <c r="F351" i="2"/>
  <c r="F352" i="2"/>
  <c r="F353" i="2"/>
  <c r="F354" i="2"/>
  <c r="F355" i="2"/>
  <c r="F356" i="2"/>
  <c r="J143" i="1" s="1"/>
  <c r="F357" i="2"/>
  <c r="F358" i="2"/>
  <c r="F359" i="2"/>
  <c r="F360" i="2"/>
  <c r="J146" i="1" s="1"/>
  <c r="F361" i="2"/>
  <c r="F362" i="2"/>
  <c r="F363" i="2"/>
  <c r="J147" i="1" s="1"/>
  <c r="F364" i="2"/>
  <c r="F365" i="2"/>
  <c r="F366" i="2"/>
  <c r="F367" i="2"/>
  <c r="J148" i="1" s="1"/>
  <c r="F368" i="2"/>
  <c r="F369" i="2"/>
  <c r="F370" i="2"/>
  <c r="F371" i="2"/>
  <c r="J149" i="1" s="1"/>
  <c r="F372" i="2"/>
  <c r="F373" i="2"/>
  <c r="J150" i="1" s="1"/>
  <c r="F374" i="2"/>
  <c r="F375" i="2"/>
  <c r="J151" i="1" s="1"/>
  <c r="F376" i="2"/>
  <c r="F377" i="2"/>
  <c r="F378" i="2"/>
  <c r="F379" i="2"/>
  <c r="F380" i="2"/>
  <c r="F381" i="2"/>
  <c r="J153" i="1" s="1"/>
  <c r="F382" i="2"/>
  <c r="F383" i="2"/>
  <c r="J154" i="1" s="1"/>
  <c r="F384" i="2"/>
  <c r="F385" i="2"/>
  <c r="J155" i="1" s="1"/>
  <c r="F386" i="2"/>
  <c r="F387" i="2"/>
  <c r="F388" i="2"/>
  <c r="F389" i="2"/>
  <c r="J156" i="1" s="1"/>
  <c r="F390" i="2"/>
  <c r="F391" i="2"/>
  <c r="F392" i="2"/>
  <c r="F393" i="2"/>
  <c r="J157" i="1" s="1"/>
  <c r="F394" i="2"/>
  <c r="F395" i="2"/>
  <c r="F396" i="2"/>
  <c r="F397" i="2"/>
  <c r="J158" i="1" s="1"/>
  <c r="F398" i="2"/>
  <c r="F399" i="2"/>
  <c r="F400" i="2"/>
  <c r="J159" i="1" s="1"/>
  <c r="F401" i="2"/>
  <c r="F402" i="2"/>
  <c r="F403" i="2"/>
  <c r="F404" i="2"/>
  <c r="F405" i="2"/>
  <c r="F406" i="2"/>
  <c r="J162" i="1" s="1"/>
  <c r="F407" i="2"/>
  <c r="F408" i="2"/>
  <c r="F409" i="2"/>
  <c r="F410" i="2"/>
  <c r="J163" i="1" s="1"/>
  <c r="F411" i="2"/>
  <c r="F412" i="2"/>
  <c r="F413" i="2"/>
  <c r="F414" i="2"/>
  <c r="J164" i="1" s="1"/>
  <c r="F415" i="2"/>
  <c r="F416" i="2"/>
  <c r="H165" i="1" s="1"/>
  <c r="F417" i="2"/>
  <c r="F418" i="2"/>
  <c r="F419" i="2"/>
  <c r="F420" i="2"/>
  <c r="F421" i="2"/>
  <c r="H167" i="1" s="1"/>
  <c r="F422" i="2"/>
  <c r="F423" i="2"/>
  <c r="J169" i="1" s="1"/>
  <c r="F424" i="2"/>
  <c r="F425" i="2"/>
  <c r="F426" i="2"/>
  <c r="J170" i="1" s="1"/>
  <c r="F427" i="2"/>
  <c r="F428" i="2"/>
  <c r="F429" i="2"/>
  <c r="F430" i="2"/>
  <c r="J171" i="1" s="1"/>
  <c r="F431" i="2"/>
  <c r="F432" i="2"/>
  <c r="F433" i="2"/>
  <c r="F434" i="2"/>
  <c r="H172" i="1" s="1"/>
  <c r="F435" i="2"/>
  <c r="F436" i="2"/>
  <c r="F437" i="2"/>
  <c r="H173" i="1" s="1"/>
  <c r="F438" i="2"/>
  <c r="F439" i="2"/>
  <c r="J175" i="1" s="1"/>
  <c r="F440" i="2"/>
  <c r="F441" i="2"/>
  <c r="F442" i="2"/>
  <c r="F443" i="2"/>
  <c r="F444" i="2"/>
  <c r="F445" i="2"/>
  <c r="J177" i="1" s="1"/>
  <c r="F446" i="2"/>
  <c r="F447" i="2"/>
  <c r="F448" i="2"/>
  <c r="J178" i="1" s="1"/>
  <c r="F449" i="2"/>
  <c r="F450" i="2"/>
  <c r="F451" i="2"/>
  <c r="J179" i="1" s="1"/>
  <c r="F452" i="2"/>
  <c r="F453" i="2"/>
  <c r="F454" i="2"/>
  <c r="F455" i="2"/>
  <c r="J180" i="1" s="1"/>
  <c r="F456" i="2"/>
  <c r="F457" i="2"/>
  <c r="F458" i="2"/>
  <c r="H181" i="1" s="1"/>
  <c r="F459" i="2"/>
  <c r="F460" i="2"/>
  <c r="F461" i="2"/>
  <c r="F462" i="2"/>
  <c r="F463" i="2"/>
  <c r="H183" i="1" s="1"/>
  <c r="F464" i="2"/>
  <c r="F465" i="2"/>
  <c r="F466" i="2"/>
  <c r="F467" i="2"/>
  <c r="F468" i="2"/>
  <c r="F469" i="2"/>
  <c r="J186" i="1" s="1"/>
  <c r="F470" i="2"/>
  <c r="F471" i="2"/>
  <c r="F472" i="2"/>
  <c r="H187" i="1" s="1"/>
  <c r="F473" i="2"/>
  <c r="J188" i="1" s="1"/>
  <c r="F474" i="2"/>
  <c r="F475" i="2"/>
  <c r="F476" i="2"/>
  <c r="F477" i="2"/>
  <c r="J189" i="1" s="1"/>
  <c r="F478" i="2"/>
  <c r="F479" i="2"/>
  <c r="F480" i="2"/>
  <c r="F481" i="2"/>
  <c r="F482" i="2"/>
  <c r="F483" i="2"/>
  <c r="F484" i="2"/>
  <c r="H191" i="1" s="1"/>
  <c r="F485" i="2"/>
  <c r="J192" i="1" s="1"/>
  <c r="F486" i="2"/>
  <c r="F487" i="2"/>
  <c r="F488" i="2"/>
  <c r="J194" i="1" s="1"/>
  <c r="F489" i="2"/>
  <c r="F490" i="2"/>
  <c r="F491" i="2"/>
  <c r="F492" i="2"/>
  <c r="J195" i="1" s="1"/>
  <c r="F493" i="2"/>
  <c r="F494" i="2"/>
  <c r="F495" i="2"/>
  <c r="J196" i="1" s="1"/>
  <c r="F496" i="2"/>
  <c r="F497" i="2"/>
  <c r="F498" i="2"/>
  <c r="H197" i="1" s="1"/>
  <c r="F499" i="2"/>
  <c r="F500" i="2"/>
  <c r="F501" i="2"/>
  <c r="J198" i="1" s="1"/>
  <c r="F502" i="2"/>
  <c r="F503" i="2"/>
  <c r="J199" i="1" s="1"/>
  <c r="F504" i="2"/>
  <c r="F505" i="2"/>
  <c r="F506" i="2"/>
  <c r="F507" i="2"/>
  <c r="F508" i="2"/>
  <c r="F509" i="2"/>
  <c r="F510" i="2"/>
  <c r="H202" i="1" s="1"/>
  <c r="F511" i="2"/>
  <c r="H203" i="1" s="1"/>
  <c r="F512" i="2"/>
  <c r="H204" i="1" s="1"/>
  <c r="F513" i="2"/>
  <c r="F514" i="2"/>
  <c r="H205" i="1" s="1"/>
  <c r="F515" i="2"/>
  <c r="F516" i="2"/>
  <c r="F517" i="2"/>
  <c r="J206" i="1" s="1"/>
  <c r="F518" i="2"/>
  <c r="F519" i="2"/>
  <c r="F520" i="2"/>
  <c r="F521" i="2"/>
  <c r="J207" i="1" s="1"/>
  <c r="F522" i="2"/>
  <c r="F523" i="2"/>
  <c r="F524" i="2"/>
  <c r="F525" i="2"/>
  <c r="J208" i="1" s="1"/>
  <c r="F526" i="2"/>
  <c r="F527" i="2"/>
  <c r="J209" i="1" s="1"/>
  <c r="F528" i="2"/>
  <c r="F529" i="2"/>
  <c r="J210" i="1" s="1"/>
  <c r="F530" i="2"/>
  <c r="F531" i="2"/>
  <c r="F532" i="2"/>
  <c r="J211" i="1" s="1"/>
  <c r="F533" i="2"/>
  <c r="F534" i="2"/>
  <c r="F535" i="2"/>
  <c r="J212" i="1" s="1"/>
  <c r="F536" i="2"/>
  <c r="F537" i="2"/>
  <c r="J213" i="1" s="1"/>
  <c r="F538" i="2"/>
  <c r="F539" i="2"/>
  <c r="F540" i="2"/>
  <c r="F541" i="2"/>
  <c r="J214" i="1" s="1"/>
  <c r="F542" i="2"/>
  <c r="F543" i="2"/>
  <c r="F544" i="2"/>
  <c r="J215" i="1" s="1"/>
  <c r="F545" i="2"/>
  <c r="F546" i="2"/>
  <c r="F547" i="2"/>
  <c r="J216" i="1" s="1"/>
  <c r="F548" i="2"/>
  <c r="F549" i="2"/>
  <c r="F550" i="2"/>
  <c r="F551" i="2"/>
  <c r="J217" i="1" s="1"/>
  <c r="F552" i="2"/>
  <c r="F553" i="2"/>
  <c r="F554" i="2"/>
  <c r="J218" i="1" s="1"/>
  <c r="F555" i="2"/>
  <c r="F556" i="2"/>
  <c r="F557" i="2"/>
  <c r="F558" i="2"/>
  <c r="H219" i="1" s="1"/>
  <c r="F559" i="2"/>
  <c r="J220" i="1" s="1"/>
  <c r="F560" i="2"/>
  <c r="F561" i="2"/>
  <c r="F562" i="2"/>
  <c r="H221" i="1" s="1"/>
  <c r="F563" i="2"/>
  <c r="F564" i="2"/>
  <c r="F565" i="2"/>
  <c r="F566" i="2"/>
  <c r="J223" i="1" s="1"/>
  <c r="F567" i="2"/>
  <c r="F568" i="2"/>
  <c r="F569" i="2"/>
  <c r="F570" i="2"/>
  <c r="H224" i="1" s="1"/>
  <c r="F571" i="2"/>
  <c r="F572" i="2"/>
  <c r="F573" i="2"/>
  <c r="F574" i="2"/>
  <c r="J226" i="1" s="1"/>
  <c r="F575" i="2"/>
  <c r="F576" i="2"/>
  <c r="F577" i="2"/>
  <c r="F578" i="2"/>
  <c r="H227" i="1" s="1"/>
  <c r="F579" i="2"/>
  <c r="F580" i="2"/>
  <c r="F581" i="2"/>
  <c r="J228" i="1" s="1"/>
  <c r="F582" i="2"/>
  <c r="F583" i="2"/>
  <c r="H229" i="1" s="1"/>
  <c r="F584" i="2"/>
  <c r="F585" i="2"/>
  <c r="F586" i="2"/>
  <c r="F587" i="2"/>
  <c r="F588" i="2"/>
  <c r="J231" i="1" s="1"/>
  <c r="F589" i="2"/>
  <c r="F590" i="2"/>
  <c r="J232" i="1" s="1"/>
  <c r="F591" i="2"/>
  <c r="F592" i="2"/>
  <c r="F593" i="2"/>
  <c r="F594" i="2"/>
  <c r="F595" i="2"/>
  <c r="F596" i="2"/>
  <c r="J234" i="1" s="1"/>
  <c r="F597" i="2"/>
  <c r="F598" i="2"/>
  <c r="H235" i="1" s="1"/>
  <c r="F599" i="2"/>
  <c r="H236" i="1" s="1"/>
  <c r="F600" i="2"/>
  <c r="H237" i="1" s="1"/>
  <c r="F601" i="2"/>
  <c r="F602" i="2"/>
  <c r="F603" i="2"/>
  <c r="J239" i="1" s="1"/>
  <c r="F604" i="2"/>
  <c r="F605" i="2"/>
  <c r="F606" i="2"/>
  <c r="F607" i="2"/>
  <c r="J240" i="1" s="1"/>
  <c r="F608" i="2"/>
  <c r="F609" i="2"/>
  <c r="F610" i="2"/>
  <c r="F611" i="2"/>
  <c r="F612" i="2"/>
  <c r="F613" i="2"/>
  <c r="F614" i="2"/>
  <c r="J242" i="1" s="1"/>
  <c r="F615" i="2"/>
  <c r="F616" i="2"/>
  <c r="J243" i="1" s="1"/>
  <c r="F617" i="2"/>
  <c r="F618" i="2"/>
  <c r="F619" i="2"/>
  <c r="F620" i="2"/>
  <c r="J244" i="1" s="1"/>
  <c r="F621" i="2"/>
  <c r="F622" i="2"/>
  <c r="J245" i="1" s="1"/>
  <c r="F623" i="2"/>
  <c r="F624" i="2"/>
  <c r="F625" i="2"/>
  <c r="F626" i="2"/>
  <c r="F627" i="2"/>
  <c r="F628" i="2"/>
  <c r="F629" i="2"/>
  <c r="F630" i="2"/>
  <c r="H247" i="1" s="1"/>
  <c r="F631" i="2"/>
  <c r="J248" i="1" s="1"/>
  <c r="F632" i="2"/>
  <c r="F633" i="2"/>
  <c r="F634" i="2"/>
  <c r="F635" i="2"/>
  <c r="J250" i="1" s="1"/>
  <c r="F636" i="2"/>
  <c r="F637" i="2"/>
  <c r="F638" i="2"/>
  <c r="J251" i="1" s="1"/>
  <c r="F639" i="2"/>
  <c r="F640" i="2"/>
  <c r="F641" i="2"/>
  <c r="F642" i="2"/>
  <c r="J252" i="1" s="1"/>
  <c r="F643" i="2"/>
  <c r="F644" i="2"/>
  <c r="F645" i="2"/>
  <c r="F646" i="2"/>
  <c r="J253" i="1" s="1"/>
  <c r="F647" i="2"/>
  <c r="F648" i="2"/>
  <c r="F649" i="2"/>
  <c r="F650" i="2"/>
  <c r="F651" i="2"/>
  <c r="J255" i="1" s="1"/>
  <c r="F652" i="2"/>
  <c r="F653" i="2"/>
  <c r="F654" i="2"/>
  <c r="F655" i="2"/>
  <c r="J256" i="1" s="1"/>
  <c r="F656" i="2"/>
  <c r="F657" i="2"/>
  <c r="F658" i="2"/>
  <c r="F659" i="2"/>
  <c r="F660" i="2"/>
  <c r="F661" i="2"/>
  <c r="J258" i="1" s="1"/>
  <c r="F662" i="2"/>
  <c r="F663" i="2"/>
  <c r="F664" i="2"/>
  <c r="J259" i="1" s="1"/>
  <c r="F665" i="2"/>
  <c r="F666" i="2"/>
  <c r="F667" i="2"/>
  <c r="F668" i="2"/>
  <c r="J260" i="1" s="1"/>
  <c r="F669" i="2"/>
  <c r="F670" i="2"/>
  <c r="J261" i="1" s="1"/>
  <c r="F671" i="2"/>
  <c r="F672" i="2"/>
  <c r="F673" i="2"/>
  <c r="F674" i="2"/>
  <c r="F675" i="2"/>
  <c r="J263" i="1" s="1"/>
  <c r="F676" i="2"/>
  <c r="F677" i="2"/>
  <c r="F678" i="2"/>
  <c r="J264" i="1" s="1"/>
  <c r="F679" i="2"/>
  <c r="F680" i="2"/>
  <c r="F681" i="2"/>
  <c r="F682" i="2"/>
  <c r="F683" i="2"/>
  <c r="J266" i="1" s="1"/>
  <c r="F684" i="2"/>
  <c r="F685" i="2"/>
  <c r="F686" i="2"/>
  <c r="J267" i="1" s="1"/>
  <c r="F687" i="2"/>
  <c r="F688" i="2"/>
  <c r="J268" i="1" s="1"/>
  <c r="F689" i="2"/>
  <c r="F690" i="2"/>
  <c r="F691" i="2"/>
  <c r="F692" i="2"/>
  <c r="J269" i="1" s="1"/>
  <c r="F693" i="2"/>
  <c r="F694" i="2"/>
  <c r="F695" i="2"/>
  <c r="J270" i="1" s="1"/>
  <c r="F696" i="2"/>
  <c r="F697" i="2"/>
  <c r="F698" i="2"/>
  <c r="F699" i="2"/>
  <c r="J271" i="1" s="1"/>
  <c r="F700" i="2"/>
  <c r="F701" i="2"/>
  <c r="F702" i="2"/>
  <c r="J272" i="1" s="1"/>
  <c r="F703" i="2"/>
  <c r="F704" i="2"/>
  <c r="F705" i="2"/>
  <c r="F706" i="2"/>
  <c r="F707" i="2"/>
  <c r="F708" i="2"/>
  <c r="H274" i="1" s="1"/>
  <c r="F709" i="2"/>
  <c r="J275" i="1" s="1"/>
  <c r="F710" i="2"/>
  <c r="F711" i="2"/>
  <c r="F712" i="2"/>
  <c r="F713" i="2"/>
  <c r="J276" i="1" s="1"/>
  <c r="F714" i="2"/>
  <c r="F715" i="2"/>
  <c r="F716" i="2"/>
  <c r="F717" i="2"/>
  <c r="J277" i="1" s="1"/>
  <c r="F718" i="2"/>
  <c r="F719" i="2"/>
  <c r="F720" i="2"/>
  <c r="F721" i="2"/>
  <c r="F722" i="2"/>
  <c r="H279" i="1" s="1"/>
  <c r="F723" i="2"/>
  <c r="F724" i="2"/>
  <c r="F725" i="2"/>
  <c r="H280" i="1" s="1"/>
  <c r="F726" i="2"/>
  <c r="F727" i="2"/>
  <c r="F728" i="2"/>
  <c r="F729" i="2"/>
  <c r="H282" i="1" s="1"/>
  <c r="F730" i="2"/>
  <c r="H283" i="1" s="1"/>
  <c r="F731" i="2"/>
  <c r="F732" i="2"/>
  <c r="F733" i="2"/>
  <c r="J284" i="1" s="1"/>
  <c r="F734" i="2"/>
  <c r="F735" i="2"/>
  <c r="F736" i="2"/>
  <c r="F737" i="2"/>
  <c r="J285" i="1" s="1"/>
  <c r="F738" i="2"/>
  <c r="F739" i="2"/>
  <c r="F740" i="2"/>
  <c r="F741" i="2"/>
  <c r="F742" i="2"/>
  <c r="F743" i="2"/>
  <c r="F744" i="2"/>
  <c r="H287" i="1" s="1"/>
  <c r="F745" i="2"/>
  <c r="F746" i="2"/>
  <c r="H288" i="1" s="1"/>
  <c r="F747" i="2"/>
  <c r="F748" i="2"/>
  <c r="F749" i="2"/>
  <c r="F750" i="2"/>
  <c r="F751" i="2"/>
  <c r="J290" i="1" s="1"/>
  <c r="F752" i="2"/>
  <c r="F753" i="2"/>
  <c r="F754" i="2"/>
  <c r="H291" i="1" s="1"/>
  <c r="F755" i="2"/>
  <c r="F756" i="2"/>
  <c r="H292" i="1" s="1"/>
  <c r="F757" i="2"/>
  <c r="J293" i="1" s="1"/>
  <c r="F758" i="2"/>
  <c r="F759" i="2"/>
  <c r="J294" i="1" s="1"/>
  <c r="F760" i="2"/>
  <c r="F761" i="2"/>
  <c r="H295" i="1" s="1"/>
  <c r="F762" i="2"/>
  <c r="H296" i="1" s="1"/>
  <c r="F763" i="2"/>
  <c r="F764" i="2"/>
  <c r="F765" i="2"/>
  <c r="F766" i="2"/>
  <c r="H298" i="1" s="1"/>
  <c r="F767" i="2"/>
  <c r="H299" i="1" s="1"/>
  <c r="F768" i="2"/>
  <c r="J300" i="1" s="1"/>
  <c r="F769" i="2"/>
  <c r="F770" i="2"/>
  <c r="F771" i="2"/>
  <c r="F772" i="2"/>
  <c r="J301" i="1" s="1"/>
  <c r="F773" i="2"/>
  <c r="F774" i="2"/>
  <c r="F775" i="2"/>
  <c r="J302" i="1" s="1"/>
  <c r="F776" i="2"/>
  <c r="F777" i="2"/>
  <c r="F778" i="2"/>
  <c r="F779" i="2"/>
  <c r="H303" i="1" s="1"/>
  <c r="F780" i="2"/>
  <c r="J304" i="1" s="1"/>
  <c r="F781" i="2"/>
  <c r="F782" i="2"/>
  <c r="F783" i="2"/>
  <c r="J306" i="1" s="1"/>
  <c r="F784" i="2"/>
  <c r="F785" i="2"/>
  <c r="J307" i="1" s="1"/>
  <c r="F786" i="2"/>
  <c r="F787" i="2"/>
  <c r="F788" i="2"/>
  <c r="F789" i="2"/>
  <c r="J308" i="1" s="1"/>
  <c r="F790" i="2"/>
  <c r="F791" i="2"/>
  <c r="F792" i="2"/>
  <c r="F793" i="2"/>
  <c r="J309" i="1" s="1"/>
  <c r="F794" i="2"/>
  <c r="F795" i="2"/>
  <c r="F796" i="2"/>
  <c r="F797" i="2"/>
  <c r="J310" i="1" s="1"/>
  <c r="F798" i="2"/>
  <c r="F799" i="2"/>
  <c r="J311" i="1" s="1"/>
  <c r="F800" i="2"/>
  <c r="F801" i="2"/>
  <c r="F802" i="2"/>
  <c r="H312" i="1" s="1"/>
  <c r="F803" i="2"/>
  <c r="F804" i="2"/>
  <c r="F805" i="2"/>
  <c r="J313" i="1" s="1"/>
  <c r="F806" i="2"/>
  <c r="F807" i="2"/>
  <c r="F808" i="2"/>
  <c r="H314" i="1" s="1"/>
  <c r="F809" i="2"/>
  <c r="H315" i="1" s="1"/>
  <c r="F810" i="2"/>
  <c r="H316" i="1" s="1"/>
  <c r="F811" i="2"/>
  <c r="F812" i="2"/>
  <c r="H317" i="1" s="1"/>
  <c r="F813" i="2"/>
  <c r="J318" i="1" s="1"/>
  <c r="F814" i="2"/>
  <c r="F815" i="2"/>
  <c r="J319" i="1" s="1"/>
  <c r="F816" i="2"/>
  <c r="F817" i="2"/>
  <c r="F818" i="2"/>
  <c r="F819" i="2"/>
  <c r="J320" i="1" s="1"/>
  <c r="F820" i="2"/>
  <c r="F821" i="2"/>
  <c r="F822" i="2"/>
  <c r="J322" i="1" s="1"/>
  <c r="F823" i="2"/>
  <c r="F824" i="2"/>
  <c r="F825" i="2"/>
  <c r="F826" i="2"/>
  <c r="J323" i="1" s="1"/>
  <c r="F827" i="2"/>
  <c r="F828" i="2"/>
  <c r="F829" i="2"/>
  <c r="F830" i="2"/>
  <c r="J324" i="1" s="1"/>
  <c r="F831" i="2"/>
  <c r="F832" i="2"/>
  <c r="J325" i="1" s="1"/>
  <c r="F833" i="2"/>
  <c r="F834" i="2"/>
  <c r="F835" i="2"/>
  <c r="H326" i="1" s="1"/>
  <c r="F836" i="2"/>
  <c r="H327" i="1" s="1"/>
  <c r="F837" i="2"/>
  <c r="J328" i="1" s="1"/>
  <c r="F838" i="2"/>
  <c r="F839" i="2"/>
  <c r="F840" i="2"/>
  <c r="H329" i="1" s="1"/>
  <c r="F841" i="2"/>
  <c r="J330" i="1" s="1"/>
  <c r="F842" i="2"/>
  <c r="F843" i="2"/>
  <c r="F844" i="2"/>
  <c r="J331" i="1" s="1"/>
  <c r="F845" i="2"/>
  <c r="F846" i="2"/>
  <c r="F847" i="2"/>
  <c r="J332" i="1" s="1"/>
  <c r="F848" i="2"/>
  <c r="F849" i="2"/>
  <c r="F850" i="2"/>
  <c r="F851" i="2"/>
  <c r="J333" i="1" s="1"/>
  <c r="F852" i="2"/>
  <c r="F853" i="2"/>
  <c r="F854" i="2"/>
  <c r="F855" i="2"/>
  <c r="J334" i="1" s="1"/>
  <c r="F856" i="2"/>
  <c r="F857" i="2"/>
  <c r="J335" i="1" s="1"/>
  <c r="F858" i="2"/>
  <c r="F859" i="2"/>
  <c r="F860" i="2"/>
  <c r="F861" i="2"/>
  <c r="J336" i="1" s="1"/>
  <c r="F862" i="2"/>
  <c r="F863" i="2"/>
  <c r="F864" i="2"/>
  <c r="H337" i="1" s="1"/>
  <c r="F865" i="2"/>
  <c r="F866" i="2"/>
  <c r="H338" i="1" s="1"/>
  <c r="F867" i="2"/>
  <c r="J339" i="1" s="1"/>
  <c r="F868" i="2"/>
  <c r="F869" i="2"/>
  <c r="F870" i="2"/>
  <c r="J340" i="1" s="1"/>
  <c r="F871" i="2"/>
  <c r="F872" i="2"/>
  <c r="J341" i="1" s="1"/>
  <c r="F873" i="2"/>
  <c r="F874" i="2"/>
  <c r="F875" i="2"/>
  <c r="F876" i="2"/>
  <c r="J342" i="1" s="1"/>
  <c r="F877" i="2"/>
  <c r="F878" i="2"/>
  <c r="F879" i="2"/>
  <c r="J343" i="1" s="1"/>
  <c r="F880" i="2"/>
  <c r="F881" i="2"/>
  <c r="H344" i="1" s="1"/>
  <c r="F882" i="2"/>
  <c r="H345" i="1" s="1"/>
  <c r="F883" i="2"/>
  <c r="F884" i="2"/>
  <c r="F885" i="2"/>
  <c r="J346" i="1" s="1"/>
  <c r="F886" i="2"/>
  <c r="F887" i="2"/>
  <c r="F888" i="2"/>
  <c r="H347" i="1" s="1"/>
  <c r="F889" i="2"/>
  <c r="F890" i="2"/>
  <c r="H348" i="1" s="1"/>
  <c r="F891" i="2"/>
  <c r="F892" i="2"/>
  <c r="J349" i="1" s="1"/>
  <c r="F893" i="2"/>
  <c r="F894" i="2"/>
  <c r="F895" i="2"/>
  <c r="F896" i="2"/>
  <c r="J350" i="1" s="1"/>
  <c r="F897" i="2"/>
  <c r="F898" i="2"/>
  <c r="F899" i="2"/>
  <c r="F900" i="2"/>
  <c r="J351" i="1" s="1"/>
  <c r="F901" i="2"/>
  <c r="F902" i="2"/>
  <c r="F903" i="2"/>
  <c r="H352" i="1" s="1"/>
  <c r="F904" i="2"/>
  <c r="J353" i="1" s="1"/>
  <c r="F905" i="2"/>
  <c r="F906" i="2"/>
  <c r="F907" i="2"/>
  <c r="F908" i="2"/>
  <c r="H354" i="1" s="1"/>
  <c r="F909" i="2"/>
  <c r="J355" i="1" s="1"/>
  <c r="F910" i="2"/>
  <c r="F911" i="2"/>
  <c r="J356" i="1" s="1"/>
  <c r="F912" i="2"/>
  <c r="F913" i="2"/>
  <c r="J357" i="1" s="1"/>
  <c r="F914" i="2"/>
  <c r="F915" i="2"/>
  <c r="F916" i="2"/>
  <c r="F917" i="2"/>
  <c r="J358" i="1" s="1"/>
  <c r="F918" i="2"/>
  <c r="F919" i="2"/>
  <c r="F920" i="2"/>
  <c r="H359" i="1" s="1"/>
  <c r="F921" i="2"/>
  <c r="F922" i="2"/>
  <c r="H360" i="1" s="1"/>
  <c r="F923" i="2"/>
  <c r="J361" i="1" s="1"/>
  <c r="F924" i="2"/>
  <c r="F925"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20" i="2"/>
  <c r="E321" i="2"/>
  <c r="E322" i="2"/>
  <c r="E323" i="2"/>
  <c r="E324" i="2"/>
  <c r="E325" i="2"/>
  <c r="E326" i="2"/>
  <c r="E327" i="2"/>
  <c r="E328" i="2"/>
  <c r="E329" i="2"/>
  <c r="E330" i="2"/>
  <c r="E331" i="2"/>
  <c r="E332" i="2"/>
  <c r="E333" i="2"/>
  <c r="E334" i="2"/>
  <c r="E335" i="2"/>
  <c r="E336" i="2"/>
  <c r="E337" i="2"/>
  <c r="E338" i="2"/>
  <c r="E339" i="2"/>
  <c r="E340" i="2"/>
  <c r="E341" i="2"/>
  <c r="E342" i="2"/>
  <c r="E343" i="2"/>
  <c r="E344" i="2"/>
  <c r="E345" i="2"/>
  <c r="E346" i="2"/>
  <c r="E347" i="2"/>
  <c r="E348" i="2"/>
  <c r="E349" i="2"/>
  <c r="E350" i="2"/>
  <c r="E351" i="2"/>
  <c r="E352" i="2"/>
  <c r="E353" i="2"/>
  <c r="E354" i="2"/>
  <c r="E355" i="2"/>
  <c r="E356" i="2"/>
  <c r="E357" i="2"/>
  <c r="E358" i="2"/>
  <c r="E359" i="2"/>
  <c r="E360" i="2"/>
  <c r="E361" i="2"/>
  <c r="E362" i="2"/>
  <c r="E363" i="2"/>
  <c r="E364" i="2"/>
  <c r="E365" i="2"/>
  <c r="E366" i="2"/>
  <c r="E367" i="2"/>
  <c r="E368" i="2"/>
  <c r="E369" i="2"/>
  <c r="E370" i="2"/>
  <c r="E371" i="2"/>
  <c r="E372" i="2"/>
  <c r="E373" i="2"/>
  <c r="E374" i="2"/>
  <c r="E375" i="2"/>
  <c r="E376" i="2"/>
  <c r="E377" i="2"/>
  <c r="E378" i="2"/>
  <c r="E379" i="2"/>
  <c r="E380" i="2"/>
  <c r="E381" i="2"/>
  <c r="E382" i="2"/>
  <c r="E383" i="2"/>
  <c r="E384" i="2"/>
  <c r="E385" i="2"/>
  <c r="E386" i="2"/>
  <c r="E387" i="2"/>
  <c r="E388" i="2"/>
  <c r="E389" i="2"/>
  <c r="E390" i="2"/>
  <c r="E391" i="2"/>
  <c r="E392" i="2"/>
  <c r="E393" i="2"/>
  <c r="E394" i="2"/>
  <c r="E395" i="2"/>
  <c r="E396" i="2"/>
  <c r="E397" i="2"/>
  <c r="E398" i="2"/>
  <c r="E399" i="2"/>
  <c r="E400" i="2"/>
  <c r="E401" i="2"/>
  <c r="E402" i="2"/>
  <c r="E403" i="2"/>
  <c r="E404" i="2"/>
  <c r="E405" i="2"/>
  <c r="E406" i="2"/>
  <c r="E407" i="2"/>
  <c r="E408" i="2"/>
  <c r="E409" i="2"/>
  <c r="E410" i="2"/>
  <c r="E411" i="2"/>
  <c r="E412" i="2"/>
  <c r="E413" i="2"/>
  <c r="E414" i="2"/>
  <c r="E415" i="2"/>
  <c r="E416" i="2"/>
  <c r="E417" i="2"/>
  <c r="E418" i="2"/>
  <c r="E419" i="2"/>
  <c r="E420" i="2"/>
  <c r="E421" i="2"/>
  <c r="E422" i="2"/>
  <c r="E423" i="2"/>
  <c r="E424" i="2"/>
  <c r="E425" i="2"/>
  <c r="E426" i="2"/>
  <c r="E427" i="2"/>
  <c r="E428" i="2"/>
  <c r="E429" i="2"/>
  <c r="E430" i="2"/>
  <c r="E431" i="2"/>
  <c r="E432" i="2"/>
  <c r="E433" i="2"/>
  <c r="E434" i="2"/>
  <c r="E435" i="2"/>
  <c r="E436" i="2"/>
  <c r="E437" i="2"/>
  <c r="E438" i="2"/>
  <c r="E439" i="2"/>
  <c r="E440" i="2"/>
  <c r="E441" i="2"/>
  <c r="E442" i="2"/>
  <c r="E443" i="2"/>
  <c r="E444" i="2"/>
  <c r="E445" i="2"/>
  <c r="E446" i="2"/>
  <c r="E447" i="2"/>
  <c r="E448" i="2"/>
  <c r="E449" i="2"/>
  <c r="E450" i="2"/>
  <c r="E451" i="2"/>
  <c r="E452" i="2"/>
  <c r="E453" i="2"/>
  <c r="E454" i="2"/>
  <c r="E455" i="2"/>
  <c r="E456" i="2"/>
  <c r="E457" i="2"/>
  <c r="E458" i="2"/>
  <c r="E459" i="2"/>
  <c r="E460" i="2"/>
  <c r="E461" i="2"/>
  <c r="E462" i="2"/>
  <c r="E463" i="2"/>
  <c r="E464" i="2"/>
  <c r="E465" i="2"/>
  <c r="E466" i="2"/>
  <c r="E467" i="2"/>
  <c r="E468" i="2"/>
  <c r="E469" i="2"/>
  <c r="E470" i="2"/>
  <c r="E471" i="2"/>
  <c r="E472" i="2"/>
  <c r="E473" i="2"/>
  <c r="E474" i="2"/>
  <c r="E475" i="2"/>
  <c r="E476" i="2"/>
  <c r="E477" i="2"/>
  <c r="E478" i="2"/>
  <c r="E479" i="2"/>
  <c r="E480" i="2"/>
  <c r="E481" i="2"/>
  <c r="E482" i="2"/>
  <c r="E483" i="2"/>
  <c r="E484" i="2"/>
  <c r="E485" i="2"/>
  <c r="E486" i="2"/>
  <c r="E487" i="2"/>
  <c r="E488" i="2"/>
  <c r="E489" i="2"/>
  <c r="E490" i="2"/>
  <c r="E491" i="2"/>
  <c r="E492" i="2"/>
  <c r="E493" i="2"/>
  <c r="E494" i="2"/>
  <c r="E495" i="2"/>
  <c r="E496" i="2"/>
  <c r="E497" i="2"/>
  <c r="E498" i="2"/>
  <c r="E499" i="2"/>
  <c r="E500" i="2"/>
  <c r="E501" i="2"/>
  <c r="E502" i="2"/>
  <c r="E503" i="2"/>
  <c r="E504" i="2"/>
  <c r="E505" i="2"/>
  <c r="E506" i="2"/>
  <c r="E507" i="2"/>
  <c r="E508" i="2"/>
  <c r="E509" i="2"/>
  <c r="E510" i="2"/>
  <c r="E511" i="2"/>
  <c r="E512" i="2"/>
  <c r="E513" i="2"/>
  <c r="E514" i="2"/>
  <c r="E515" i="2"/>
  <c r="E516" i="2"/>
  <c r="E517" i="2"/>
  <c r="E518" i="2"/>
  <c r="E519" i="2"/>
  <c r="E520" i="2"/>
  <c r="E521" i="2"/>
  <c r="E522" i="2"/>
  <c r="E523" i="2"/>
  <c r="E524" i="2"/>
  <c r="E525" i="2"/>
  <c r="E526" i="2"/>
  <c r="E527" i="2"/>
  <c r="E528" i="2"/>
  <c r="E529" i="2"/>
  <c r="E530" i="2"/>
  <c r="E531" i="2"/>
  <c r="E532" i="2"/>
  <c r="E533" i="2"/>
  <c r="E534" i="2"/>
  <c r="E535" i="2"/>
  <c r="E536" i="2"/>
  <c r="E537" i="2"/>
  <c r="E538" i="2"/>
  <c r="E539" i="2"/>
  <c r="E540" i="2"/>
  <c r="E541" i="2"/>
  <c r="E542" i="2"/>
  <c r="E543" i="2"/>
  <c r="E544" i="2"/>
  <c r="E545" i="2"/>
  <c r="E546" i="2"/>
  <c r="E547" i="2"/>
  <c r="E548" i="2"/>
  <c r="E549" i="2"/>
  <c r="E550" i="2"/>
  <c r="E551" i="2"/>
  <c r="E552" i="2"/>
  <c r="E553" i="2"/>
  <c r="E554" i="2"/>
  <c r="E555" i="2"/>
  <c r="E556" i="2"/>
  <c r="E557" i="2"/>
  <c r="E558" i="2"/>
  <c r="E559" i="2"/>
  <c r="E560" i="2"/>
  <c r="E561" i="2"/>
  <c r="E562" i="2"/>
  <c r="E563" i="2"/>
  <c r="E564" i="2"/>
  <c r="E565" i="2"/>
  <c r="E566" i="2"/>
  <c r="E567" i="2"/>
  <c r="E568" i="2"/>
  <c r="E569" i="2"/>
  <c r="E570" i="2"/>
  <c r="E571" i="2"/>
  <c r="E572" i="2"/>
  <c r="E573" i="2"/>
  <c r="E574" i="2"/>
  <c r="E575" i="2"/>
  <c r="E576" i="2"/>
  <c r="E577" i="2"/>
  <c r="E578" i="2"/>
  <c r="E579" i="2"/>
  <c r="E580" i="2"/>
  <c r="E581" i="2"/>
  <c r="E582" i="2"/>
  <c r="E583" i="2"/>
  <c r="E584" i="2"/>
  <c r="E585" i="2"/>
  <c r="E586" i="2"/>
  <c r="E587" i="2"/>
  <c r="E588" i="2"/>
  <c r="E589" i="2"/>
  <c r="E590" i="2"/>
  <c r="E591" i="2"/>
  <c r="E592" i="2"/>
  <c r="E593" i="2"/>
  <c r="E594" i="2"/>
  <c r="E595" i="2"/>
  <c r="E596" i="2"/>
  <c r="E597" i="2"/>
  <c r="E598" i="2"/>
  <c r="E599" i="2"/>
  <c r="E600" i="2"/>
  <c r="E601" i="2"/>
  <c r="E602" i="2"/>
  <c r="E603" i="2"/>
  <c r="E604" i="2"/>
  <c r="E605" i="2"/>
  <c r="E606" i="2"/>
  <c r="E607" i="2"/>
  <c r="E608" i="2"/>
  <c r="E609" i="2"/>
  <c r="E610" i="2"/>
  <c r="E611" i="2"/>
  <c r="E612" i="2"/>
  <c r="E613" i="2"/>
  <c r="E614" i="2"/>
  <c r="E615" i="2"/>
  <c r="E616" i="2"/>
  <c r="E617" i="2"/>
  <c r="E618" i="2"/>
  <c r="E619" i="2"/>
  <c r="E620" i="2"/>
  <c r="E621" i="2"/>
  <c r="E622" i="2"/>
  <c r="E623" i="2"/>
  <c r="E624" i="2"/>
  <c r="E625" i="2"/>
  <c r="E626" i="2"/>
  <c r="E627" i="2"/>
  <c r="E628" i="2"/>
  <c r="E629" i="2"/>
  <c r="E630" i="2"/>
  <c r="E631" i="2"/>
  <c r="E632" i="2"/>
  <c r="E633" i="2"/>
  <c r="E634" i="2"/>
  <c r="E635" i="2"/>
  <c r="E636" i="2"/>
  <c r="E637" i="2"/>
  <c r="E638" i="2"/>
  <c r="E639" i="2"/>
  <c r="E640" i="2"/>
  <c r="E641" i="2"/>
  <c r="E642" i="2"/>
  <c r="E643" i="2"/>
  <c r="E644" i="2"/>
  <c r="E645" i="2"/>
  <c r="E646" i="2"/>
  <c r="E647" i="2"/>
  <c r="E648" i="2"/>
  <c r="E649" i="2"/>
  <c r="E650" i="2"/>
  <c r="E651" i="2"/>
  <c r="E652" i="2"/>
  <c r="E653" i="2"/>
  <c r="E654" i="2"/>
  <c r="E655" i="2"/>
  <c r="E656" i="2"/>
  <c r="E657" i="2"/>
  <c r="E658" i="2"/>
  <c r="E659" i="2"/>
  <c r="E660" i="2"/>
  <c r="E661" i="2"/>
  <c r="E662" i="2"/>
  <c r="E663" i="2"/>
  <c r="E664" i="2"/>
  <c r="E665" i="2"/>
  <c r="E666" i="2"/>
  <c r="E667" i="2"/>
  <c r="E668" i="2"/>
  <c r="E669" i="2"/>
  <c r="E670" i="2"/>
  <c r="E671" i="2"/>
  <c r="E672" i="2"/>
  <c r="E673" i="2"/>
  <c r="E674" i="2"/>
  <c r="E675" i="2"/>
  <c r="E676" i="2"/>
  <c r="E677" i="2"/>
  <c r="E678" i="2"/>
  <c r="E679" i="2"/>
  <c r="E680" i="2"/>
  <c r="E681" i="2"/>
  <c r="E682" i="2"/>
  <c r="E683" i="2"/>
  <c r="E684" i="2"/>
  <c r="E685" i="2"/>
  <c r="E686" i="2"/>
  <c r="E687" i="2"/>
  <c r="E688" i="2"/>
  <c r="E689" i="2"/>
  <c r="E690" i="2"/>
  <c r="E691" i="2"/>
  <c r="E692" i="2"/>
  <c r="E693" i="2"/>
  <c r="E694" i="2"/>
  <c r="E695" i="2"/>
  <c r="E696" i="2"/>
  <c r="E697" i="2"/>
  <c r="E698" i="2"/>
  <c r="E699" i="2"/>
  <c r="E700" i="2"/>
  <c r="E701" i="2"/>
  <c r="E702" i="2"/>
  <c r="E703" i="2"/>
  <c r="E704" i="2"/>
  <c r="E705" i="2"/>
  <c r="E706" i="2"/>
  <c r="E707" i="2"/>
  <c r="E708" i="2"/>
  <c r="E709" i="2"/>
  <c r="E710" i="2"/>
  <c r="E711" i="2"/>
  <c r="E712" i="2"/>
  <c r="E713" i="2"/>
  <c r="E714" i="2"/>
  <c r="E715" i="2"/>
  <c r="E716" i="2"/>
  <c r="E717" i="2"/>
  <c r="E718" i="2"/>
  <c r="E719" i="2"/>
  <c r="E720" i="2"/>
  <c r="E721" i="2"/>
  <c r="E722" i="2"/>
  <c r="E723" i="2"/>
  <c r="E724" i="2"/>
  <c r="E725" i="2"/>
  <c r="E726" i="2"/>
  <c r="E727" i="2"/>
  <c r="E728" i="2"/>
  <c r="E729" i="2"/>
  <c r="E730" i="2"/>
  <c r="E731" i="2"/>
  <c r="E732" i="2"/>
  <c r="E733" i="2"/>
  <c r="E734" i="2"/>
  <c r="E735" i="2"/>
  <c r="E736" i="2"/>
  <c r="E737" i="2"/>
  <c r="E738" i="2"/>
  <c r="E739" i="2"/>
  <c r="E740" i="2"/>
  <c r="E741" i="2"/>
  <c r="E742" i="2"/>
  <c r="E743" i="2"/>
  <c r="E744" i="2"/>
  <c r="E745" i="2"/>
  <c r="E746" i="2"/>
  <c r="E747" i="2"/>
  <c r="E748" i="2"/>
  <c r="E749" i="2"/>
  <c r="E750" i="2"/>
  <c r="E751" i="2"/>
  <c r="E752" i="2"/>
  <c r="E753" i="2"/>
  <c r="E754" i="2"/>
  <c r="E755" i="2"/>
  <c r="E756" i="2"/>
  <c r="E757" i="2"/>
  <c r="E758" i="2"/>
  <c r="E759" i="2"/>
  <c r="E760" i="2"/>
  <c r="E761" i="2"/>
  <c r="E762" i="2"/>
  <c r="E763" i="2"/>
  <c r="E764" i="2"/>
  <c r="E765" i="2"/>
  <c r="E766" i="2"/>
  <c r="E767" i="2"/>
  <c r="E768" i="2"/>
  <c r="E769" i="2"/>
  <c r="E770" i="2"/>
  <c r="E771" i="2"/>
  <c r="E772" i="2"/>
  <c r="E773" i="2"/>
  <c r="E774" i="2"/>
  <c r="E775" i="2"/>
  <c r="E776" i="2"/>
  <c r="E777" i="2"/>
  <c r="E778" i="2"/>
  <c r="E779" i="2"/>
  <c r="E780" i="2"/>
  <c r="E781" i="2"/>
  <c r="E782" i="2"/>
  <c r="E783" i="2"/>
  <c r="E784" i="2"/>
  <c r="E785" i="2"/>
  <c r="E786" i="2"/>
  <c r="E787" i="2"/>
  <c r="E788" i="2"/>
  <c r="E789" i="2"/>
  <c r="E790" i="2"/>
  <c r="E791" i="2"/>
  <c r="E792" i="2"/>
  <c r="E793" i="2"/>
  <c r="E794" i="2"/>
  <c r="E795" i="2"/>
  <c r="E796" i="2"/>
  <c r="E797" i="2"/>
  <c r="E798" i="2"/>
  <c r="E799" i="2"/>
  <c r="E800" i="2"/>
  <c r="E801" i="2"/>
  <c r="E802" i="2"/>
  <c r="E803" i="2"/>
  <c r="E804" i="2"/>
  <c r="E805" i="2"/>
  <c r="E806" i="2"/>
  <c r="E807" i="2"/>
  <c r="E808" i="2"/>
  <c r="E809" i="2"/>
  <c r="E810" i="2"/>
  <c r="E811" i="2"/>
  <c r="E812" i="2"/>
  <c r="E813" i="2"/>
  <c r="E814" i="2"/>
  <c r="E815" i="2"/>
  <c r="E816" i="2"/>
  <c r="E817" i="2"/>
  <c r="E818" i="2"/>
  <c r="E819" i="2"/>
  <c r="E820" i="2"/>
  <c r="E821" i="2"/>
  <c r="E822" i="2"/>
  <c r="E823" i="2"/>
  <c r="E824" i="2"/>
  <c r="E825" i="2"/>
  <c r="E826" i="2"/>
  <c r="E827" i="2"/>
  <c r="E828" i="2"/>
  <c r="E829" i="2"/>
  <c r="E830" i="2"/>
  <c r="E831" i="2"/>
  <c r="E832" i="2"/>
  <c r="E833" i="2"/>
  <c r="E834" i="2"/>
  <c r="E835" i="2"/>
  <c r="E836" i="2"/>
  <c r="E837" i="2"/>
  <c r="E838" i="2"/>
  <c r="E839" i="2"/>
  <c r="E840" i="2"/>
  <c r="E841" i="2"/>
  <c r="E842" i="2"/>
  <c r="E843" i="2"/>
  <c r="E844" i="2"/>
  <c r="E845" i="2"/>
  <c r="E846" i="2"/>
  <c r="E847" i="2"/>
  <c r="E848" i="2"/>
  <c r="E849" i="2"/>
  <c r="E850" i="2"/>
  <c r="E851" i="2"/>
  <c r="E852" i="2"/>
  <c r="E853" i="2"/>
  <c r="E854" i="2"/>
  <c r="E855" i="2"/>
  <c r="E856" i="2"/>
  <c r="E857" i="2"/>
  <c r="E858" i="2"/>
  <c r="E859" i="2"/>
  <c r="E860" i="2"/>
  <c r="E861" i="2"/>
  <c r="E862" i="2"/>
  <c r="E863" i="2"/>
  <c r="E864" i="2"/>
  <c r="E865" i="2"/>
  <c r="E866" i="2"/>
  <c r="E867" i="2"/>
  <c r="E868" i="2"/>
  <c r="E869" i="2"/>
  <c r="E870" i="2"/>
  <c r="E871" i="2"/>
  <c r="E872" i="2"/>
  <c r="E873" i="2"/>
  <c r="E874" i="2"/>
  <c r="E875" i="2"/>
  <c r="E876" i="2"/>
  <c r="E877" i="2"/>
  <c r="E878" i="2"/>
  <c r="E879" i="2"/>
  <c r="E880" i="2"/>
  <c r="E881" i="2"/>
  <c r="E882" i="2"/>
  <c r="E883" i="2"/>
  <c r="E884" i="2"/>
  <c r="E885" i="2"/>
  <c r="E886" i="2"/>
  <c r="E887" i="2"/>
  <c r="E888" i="2"/>
  <c r="E889" i="2"/>
  <c r="E890" i="2"/>
  <c r="E891" i="2"/>
  <c r="E892" i="2"/>
  <c r="E893" i="2"/>
  <c r="E894" i="2"/>
  <c r="E895" i="2"/>
  <c r="E896" i="2"/>
  <c r="E897" i="2"/>
  <c r="E898" i="2"/>
  <c r="E899" i="2"/>
  <c r="E900" i="2"/>
  <c r="E901" i="2"/>
  <c r="E902" i="2"/>
  <c r="E903" i="2"/>
  <c r="E904" i="2"/>
  <c r="E905" i="2"/>
  <c r="E906" i="2"/>
  <c r="E907" i="2"/>
  <c r="E908" i="2"/>
  <c r="E909" i="2"/>
  <c r="E910" i="2"/>
  <c r="E911" i="2"/>
  <c r="E912" i="2"/>
  <c r="E913" i="2"/>
  <c r="E914" i="2"/>
  <c r="E915" i="2"/>
  <c r="E916" i="2"/>
  <c r="E917" i="2"/>
  <c r="E918" i="2"/>
  <c r="E919" i="2"/>
  <c r="E920" i="2"/>
  <c r="E921" i="2"/>
  <c r="E922" i="2"/>
  <c r="E923" i="2"/>
  <c r="E924" i="2"/>
  <c r="E925"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A2" i="12" l="1"/>
  <c r="H278" i="1"/>
  <c r="J278" i="1"/>
  <c r="J265" i="1"/>
  <c r="J262" i="1"/>
  <c r="J230" i="1"/>
  <c r="H184" i="1"/>
  <c r="J184" i="1"/>
  <c r="J116" i="1"/>
  <c r="J85" i="1"/>
  <c r="J81" i="1"/>
  <c r="J69" i="1"/>
  <c r="J46" i="1"/>
  <c r="J36" i="1"/>
  <c r="H30" i="1"/>
  <c r="J30" i="1"/>
  <c r="J28" i="1"/>
  <c r="J21" i="1"/>
  <c r="J15" i="1"/>
  <c r="J354" i="1"/>
  <c r="J338" i="1"/>
  <c r="J312" i="1"/>
  <c r="J303" i="1"/>
  <c r="J292" i="1"/>
  <c r="J282" i="1"/>
  <c r="J205" i="1"/>
  <c r="J167" i="1"/>
  <c r="J139" i="1"/>
  <c r="K337" i="1"/>
  <c r="K297" i="1"/>
  <c r="K233" i="1"/>
  <c r="H110" i="1"/>
  <c r="J110" i="1"/>
  <c r="J345" i="1"/>
  <c r="J337" i="1"/>
  <c r="J329" i="1"/>
  <c r="J291" i="1"/>
  <c r="J280" i="1"/>
  <c r="J237" i="1"/>
  <c r="J227" i="1"/>
  <c r="J204" i="1"/>
  <c r="J191" i="1"/>
  <c r="J165" i="1"/>
  <c r="J106" i="1"/>
  <c r="K330" i="1"/>
  <c r="K289" i="1"/>
  <c r="K225" i="1"/>
  <c r="H193" i="1"/>
  <c r="J193" i="1"/>
  <c r="H145" i="1"/>
  <c r="J145" i="1"/>
  <c r="H305" i="1"/>
  <c r="J305" i="1"/>
  <c r="J281" i="1"/>
  <c r="H174" i="1"/>
  <c r="J174" i="1"/>
  <c r="H168" i="1"/>
  <c r="J168" i="1"/>
  <c r="H144" i="1"/>
  <c r="J144" i="1"/>
  <c r="J129" i="1"/>
  <c r="J94" i="1"/>
  <c r="J84" i="1"/>
  <c r="J80" i="1"/>
  <c r="J56" i="1"/>
  <c r="J52" i="1"/>
  <c r="H38" i="1"/>
  <c r="J38" i="1"/>
  <c r="J17" i="1"/>
  <c r="J360" i="1"/>
  <c r="J352" i="1"/>
  <c r="J344" i="1"/>
  <c r="J279" i="1"/>
  <c r="J247" i="1"/>
  <c r="J236" i="1"/>
  <c r="J203" i="1"/>
  <c r="J135" i="1"/>
  <c r="J119" i="1"/>
  <c r="J103" i="1"/>
  <c r="J83" i="1"/>
  <c r="K361" i="1"/>
  <c r="K329" i="1"/>
  <c r="K281" i="1"/>
  <c r="K217" i="1"/>
  <c r="J97" i="1"/>
  <c r="J62" i="1"/>
  <c r="J45" i="1"/>
  <c r="J4" i="1"/>
  <c r="J359" i="1"/>
  <c r="J327" i="1"/>
  <c r="J299" i="1"/>
  <c r="J288" i="1"/>
  <c r="J235" i="1"/>
  <c r="J224" i="1"/>
  <c r="J202" i="1"/>
  <c r="J82" i="1"/>
  <c r="J59" i="1"/>
  <c r="K354" i="1"/>
  <c r="K322" i="1"/>
  <c r="K273" i="1"/>
  <c r="K209" i="1"/>
  <c r="J297" i="1"/>
  <c r="J289" i="1"/>
  <c r="J286" i="1"/>
  <c r="H160" i="1"/>
  <c r="J160" i="1"/>
  <c r="J137" i="1"/>
  <c r="J128" i="1"/>
  <c r="H120" i="1"/>
  <c r="J120" i="1"/>
  <c r="J112" i="1"/>
  <c r="H105" i="1"/>
  <c r="J105" i="1"/>
  <c r="J70" i="1"/>
  <c r="J68" i="1"/>
  <c r="H65" i="1"/>
  <c r="J65" i="1"/>
  <c r="J55" i="1"/>
  <c r="J48" i="1"/>
  <c r="H44" i="1"/>
  <c r="J44" i="1"/>
  <c r="J37" i="1"/>
  <c r="J32" i="1"/>
  <c r="J29" i="1"/>
  <c r="H25" i="1"/>
  <c r="J25" i="1"/>
  <c r="J22" i="1"/>
  <c r="J14" i="1"/>
  <c r="H7" i="1"/>
  <c r="J7" i="1"/>
  <c r="J326" i="1"/>
  <c r="J317" i="1"/>
  <c r="J298" i="1"/>
  <c r="J287" i="1"/>
  <c r="J187" i="1"/>
  <c r="J173" i="1"/>
  <c r="J26" i="1"/>
  <c r="K353" i="1"/>
  <c r="K321" i="1"/>
  <c r="K265" i="1"/>
  <c r="K201" i="1"/>
  <c r="H321" i="1"/>
  <c r="J321" i="1"/>
  <c r="H225" i="1"/>
  <c r="J225" i="1"/>
  <c r="H201" i="1"/>
  <c r="J201" i="1"/>
  <c r="H161" i="1"/>
  <c r="J161" i="1"/>
  <c r="J182" i="1"/>
  <c r="J176" i="1"/>
  <c r="J140" i="1"/>
  <c r="H104" i="1"/>
  <c r="J104" i="1"/>
  <c r="J100" i="1"/>
  <c r="J96" i="1"/>
  <c r="J93" i="1"/>
  <c r="J86" i="1"/>
  <c r="J76" i="1"/>
  <c r="J73" i="1"/>
  <c r="H64" i="1"/>
  <c r="J64" i="1"/>
  <c r="H54" i="1"/>
  <c r="J54" i="1"/>
  <c r="H47" i="1"/>
  <c r="J47" i="1"/>
  <c r="J16" i="1"/>
  <c r="J316" i="1"/>
  <c r="J296" i="1"/>
  <c r="J221" i="1"/>
  <c r="J197" i="1"/>
  <c r="J172" i="1"/>
  <c r="J98" i="1"/>
  <c r="K346" i="1"/>
  <c r="K314" i="1"/>
  <c r="K257" i="1"/>
  <c r="K193" i="1"/>
  <c r="H222" i="1"/>
  <c r="J222" i="1"/>
  <c r="H257" i="1"/>
  <c r="J257" i="1"/>
  <c r="J246" i="1"/>
  <c r="J241" i="1"/>
  <c r="H238" i="1"/>
  <c r="J238" i="1"/>
  <c r="H233" i="1"/>
  <c r="J233" i="1"/>
  <c r="H185" i="1"/>
  <c r="J185" i="1"/>
  <c r="H166" i="1"/>
  <c r="J166" i="1"/>
  <c r="H152" i="1"/>
  <c r="J152" i="1"/>
  <c r="H142" i="1"/>
  <c r="J142" i="1"/>
  <c r="H92" i="1"/>
  <c r="J92" i="1"/>
  <c r="H89" i="1"/>
  <c r="J89" i="1"/>
  <c r="H78" i="1"/>
  <c r="J78" i="1"/>
  <c r="H61" i="1"/>
  <c r="J61" i="1"/>
  <c r="J41" i="1"/>
  <c r="H24" i="1"/>
  <c r="J24" i="1"/>
  <c r="H13" i="1"/>
  <c r="J13" i="1"/>
  <c r="J348" i="1"/>
  <c r="J315" i="1"/>
  <c r="J295" i="1"/>
  <c r="J274" i="1"/>
  <c r="J183" i="1"/>
  <c r="J74" i="1"/>
  <c r="J50" i="1"/>
  <c r="J18" i="1"/>
  <c r="K345" i="1"/>
  <c r="K313" i="1"/>
  <c r="K249" i="1"/>
  <c r="J273" i="1"/>
  <c r="J254" i="1"/>
  <c r="J249" i="1"/>
  <c r="J200" i="1"/>
  <c r="J190" i="1"/>
  <c r="J136" i="1"/>
  <c r="J108" i="1"/>
  <c r="J72" i="1"/>
  <c r="J53" i="1"/>
  <c r="H40" i="1"/>
  <c r="J40" i="1"/>
  <c r="J31" i="1"/>
  <c r="H12" i="1"/>
  <c r="J12" i="1"/>
  <c r="H5" i="1"/>
  <c r="J5" i="1"/>
  <c r="K9" i="1"/>
  <c r="K17" i="1"/>
  <c r="K25" i="1"/>
  <c r="K33" i="1"/>
  <c r="K41" i="1"/>
  <c r="K49" i="1"/>
  <c r="K57" i="1"/>
  <c r="K65" i="1"/>
  <c r="K73" i="1"/>
  <c r="K81" i="1"/>
  <c r="K89" i="1"/>
  <c r="K97" i="1"/>
  <c r="K105" i="1"/>
  <c r="K113" i="1"/>
  <c r="K121" i="1"/>
  <c r="K129" i="1"/>
  <c r="K137" i="1"/>
  <c r="K145" i="1"/>
  <c r="K153" i="1"/>
  <c r="K161" i="1"/>
  <c r="K169" i="1"/>
  <c r="K2" i="1"/>
  <c r="K10" i="1"/>
  <c r="K18" i="1"/>
  <c r="K26" i="1"/>
  <c r="K34" i="1"/>
  <c r="K42" i="1"/>
  <c r="K50" i="1"/>
  <c r="K58" i="1"/>
  <c r="K66" i="1"/>
  <c r="K74" i="1"/>
  <c r="K82" i="1"/>
  <c r="K90" i="1"/>
  <c r="K98" i="1"/>
  <c r="K106" i="1"/>
  <c r="K114" i="1"/>
  <c r="K122" i="1"/>
  <c r="K130" i="1"/>
  <c r="K138" i="1"/>
  <c r="K146" i="1"/>
  <c r="K154" i="1"/>
  <c r="K162" i="1"/>
  <c r="K170" i="1"/>
  <c r="K178" i="1"/>
  <c r="K186" i="1"/>
  <c r="K194" i="1"/>
  <c r="K202" i="1"/>
  <c r="K210" i="1"/>
  <c r="K218" i="1"/>
  <c r="K226" i="1"/>
  <c r="K234" i="1"/>
  <c r="K242" i="1"/>
  <c r="K250" i="1"/>
  <c r="K258" i="1"/>
  <c r="K266" i="1"/>
  <c r="K274" i="1"/>
  <c r="K282" i="1"/>
  <c r="K290" i="1"/>
  <c r="K298" i="1"/>
  <c r="K306" i="1"/>
  <c r="K3" i="1"/>
  <c r="K11" i="1"/>
  <c r="K19" i="1"/>
  <c r="K27" i="1"/>
  <c r="K35" i="1"/>
  <c r="K43" i="1"/>
  <c r="K51" i="1"/>
  <c r="K59" i="1"/>
  <c r="K67" i="1"/>
  <c r="K75" i="1"/>
  <c r="K83" i="1"/>
  <c r="K91" i="1"/>
  <c r="K99" i="1"/>
  <c r="K107" i="1"/>
  <c r="K115" i="1"/>
  <c r="K123" i="1"/>
  <c r="K131" i="1"/>
  <c r="K139" i="1"/>
  <c r="K147" i="1"/>
  <c r="K155" i="1"/>
  <c r="K163" i="1"/>
  <c r="K171" i="1"/>
  <c r="K179" i="1"/>
  <c r="K187" i="1"/>
  <c r="K195" i="1"/>
  <c r="K203" i="1"/>
  <c r="K211" i="1"/>
  <c r="K219" i="1"/>
  <c r="K227" i="1"/>
  <c r="K235" i="1"/>
  <c r="K243" i="1"/>
  <c r="K251" i="1"/>
  <c r="K259" i="1"/>
  <c r="K267" i="1"/>
  <c r="K275" i="1"/>
  <c r="K283" i="1"/>
  <c r="K291" i="1"/>
  <c r="K299" i="1"/>
  <c r="K307" i="1"/>
  <c r="K315" i="1"/>
  <c r="K323" i="1"/>
  <c r="K331" i="1"/>
  <c r="K339" i="1"/>
  <c r="K347" i="1"/>
  <c r="K355" i="1"/>
  <c r="K4" i="1"/>
  <c r="K12" i="1"/>
  <c r="K20" i="1"/>
  <c r="K28" i="1"/>
  <c r="K36" i="1"/>
  <c r="K44" i="1"/>
  <c r="K52" i="1"/>
  <c r="K60" i="1"/>
  <c r="K68" i="1"/>
  <c r="K76" i="1"/>
  <c r="K84" i="1"/>
  <c r="K92" i="1"/>
  <c r="K100" i="1"/>
  <c r="K108" i="1"/>
  <c r="K116" i="1"/>
  <c r="K124" i="1"/>
  <c r="K132" i="1"/>
  <c r="K140" i="1"/>
  <c r="K148" i="1"/>
  <c r="K156" i="1"/>
  <c r="K164" i="1"/>
  <c r="K172" i="1"/>
  <c r="K180" i="1"/>
  <c r="K188" i="1"/>
  <c r="K196" i="1"/>
  <c r="K204" i="1"/>
  <c r="K212" i="1"/>
  <c r="K220" i="1"/>
  <c r="K228" i="1"/>
  <c r="K236" i="1"/>
  <c r="K244" i="1"/>
  <c r="K252" i="1"/>
  <c r="K260" i="1"/>
  <c r="K268" i="1"/>
  <c r="K276" i="1"/>
  <c r="K284" i="1"/>
  <c r="K292" i="1"/>
  <c r="K300" i="1"/>
  <c r="K308" i="1"/>
  <c r="K316" i="1"/>
  <c r="K324" i="1"/>
  <c r="K332" i="1"/>
  <c r="K340" i="1"/>
  <c r="K348" i="1"/>
  <c r="K356" i="1"/>
  <c r="K5" i="1"/>
  <c r="K13" i="1"/>
  <c r="K21" i="1"/>
  <c r="K29" i="1"/>
  <c r="K37" i="1"/>
  <c r="K45" i="1"/>
  <c r="K53" i="1"/>
  <c r="K61" i="1"/>
  <c r="K69" i="1"/>
  <c r="K77" i="1"/>
  <c r="K85" i="1"/>
  <c r="K93" i="1"/>
  <c r="K101" i="1"/>
  <c r="K109" i="1"/>
  <c r="K117" i="1"/>
  <c r="K125" i="1"/>
  <c r="K133" i="1"/>
  <c r="K141" i="1"/>
  <c r="K149" i="1"/>
  <c r="K157" i="1"/>
  <c r="K165" i="1"/>
  <c r="K173" i="1"/>
  <c r="K181" i="1"/>
  <c r="K189" i="1"/>
  <c r="K197" i="1"/>
  <c r="K205" i="1"/>
  <c r="K213" i="1"/>
  <c r="K221" i="1"/>
  <c r="K229" i="1"/>
  <c r="K237" i="1"/>
  <c r="K245" i="1"/>
  <c r="K253" i="1"/>
  <c r="K261" i="1"/>
  <c r="K269" i="1"/>
  <c r="K277" i="1"/>
  <c r="K285" i="1"/>
  <c r="K293" i="1"/>
  <c r="K301" i="1"/>
  <c r="K309" i="1"/>
  <c r="K317" i="1"/>
  <c r="K325" i="1"/>
  <c r="K333" i="1"/>
  <c r="K341" i="1"/>
  <c r="K349" i="1"/>
  <c r="K357" i="1"/>
  <c r="K6" i="1"/>
  <c r="K14" i="1"/>
  <c r="K22" i="1"/>
  <c r="K30" i="1"/>
  <c r="K38" i="1"/>
  <c r="K46" i="1"/>
  <c r="K54" i="1"/>
  <c r="K62" i="1"/>
  <c r="K70" i="1"/>
  <c r="K78" i="1"/>
  <c r="K86" i="1"/>
  <c r="K94" i="1"/>
  <c r="K102" i="1"/>
  <c r="K110" i="1"/>
  <c r="K118" i="1"/>
  <c r="K126" i="1"/>
  <c r="K134" i="1"/>
  <c r="K142" i="1"/>
  <c r="K150" i="1"/>
  <c r="K158" i="1"/>
  <c r="K166" i="1"/>
  <c r="K174" i="1"/>
  <c r="K182" i="1"/>
  <c r="K190" i="1"/>
  <c r="K198" i="1"/>
  <c r="K206" i="1"/>
  <c r="K214" i="1"/>
  <c r="K222" i="1"/>
  <c r="K230" i="1"/>
  <c r="K238" i="1"/>
  <c r="K246" i="1"/>
  <c r="K254" i="1"/>
  <c r="K262" i="1"/>
  <c r="K270" i="1"/>
  <c r="K278" i="1"/>
  <c r="K286" i="1"/>
  <c r="K294" i="1"/>
  <c r="K302" i="1"/>
  <c r="K310" i="1"/>
  <c r="K318" i="1"/>
  <c r="K326" i="1"/>
  <c r="K334" i="1"/>
  <c r="K342" i="1"/>
  <c r="K350" i="1"/>
  <c r="K358" i="1"/>
  <c r="K7" i="1"/>
  <c r="K15" i="1"/>
  <c r="K23" i="1"/>
  <c r="K31" i="1"/>
  <c r="K39" i="1"/>
  <c r="K47" i="1"/>
  <c r="K55" i="1"/>
  <c r="K63" i="1"/>
  <c r="K71" i="1"/>
  <c r="K79" i="1"/>
  <c r="K87" i="1"/>
  <c r="K95" i="1"/>
  <c r="K103" i="1"/>
  <c r="K111" i="1"/>
  <c r="K119" i="1"/>
  <c r="K127" i="1"/>
  <c r="K135" i="1"/>
  <c r="K143" i="1"/>
  <c r="K151" i="1"/>
  <c r="K159" i="1"/>
  <c r="K167" i="1"/>
  <c r="K175" i="1"/>
  <c r="K183" i="1"/>
  <c r="K191" i="1"/>
  <c r="K199" i="1"/>
  <c r="K207" i="1"/>
  <c r="K215" i="1"/>
  <c r="K223" i="1"/>
  <c r="K231" i="1"/>
  <c r="K239" i="1"/>
  <c r="K247" i="1"/>
  <c r="K255" i="1"/>
  <c r="K263" i="1"/>
  <c r="K271" i="1"/>
  <c r="K279" i="1"/>
  <c r="K287" i="1"/>
  <c r="K295" i="1"/>
  <c r="K303" i="1"/>
  <c r="K311" i="1"/>
  <c r="K319" i="1"/>
  <c r="K327" i="1"/>
  <c r="K335" i="1"/>
  <c r="K343" i="1"/>
  <c r="K351" i="1"/>
  <c r="K359" i="1"/>
  <c r="K8" i="1"/>
  <c r="K16" i="1"/>
  <c r="K24" i="1"/>
  <c r="K32" i="1"/>
  <c r="K40" i="1"/>
  <c r="K48" i="1"/>
  <c r="K56" i="1"/>
  <c r="K64" i="1"/>
  <c r="K72" i="1"/>
  <c r="K80" i="1"/>
  <c r="K88" i="1"/>
  <c r="K96" i="1"/>
  <c r="K104" i="1"/>
  <c r="K112" i="1"/>
  <c r="K120" i="1"/>
  <c r="K128" i="1"/>
  <c r="K136" i="1"/>
  <c r="K144" i="1"/>
  <c r="K152" i="1"/>
  <c r="K160" i="1"/>
  <c r="K168" i="1"/>
  <c r="K176" i="1"/>
  <c r="K184" i="1"/>
  <c r="K192" i="1"/>
  <c r="K200" i="1"/>
  <c r="K208" i="1"/>
  <c r="K216" i="1"/>
  <c r="K224" i="1"/>
  <c r="K232" i="1"/>
  <c r="K240" i="1"/>
  <c r="K248" i="1"/>
  <c r="K256" i="1"/>
  <c r="K264" i="1"/>
  <c r="K272" i="1"/>
  <c r="K280" i="1"/>
  <c r="K288" i="1"/>
  <c r="K296" i="1"/>
  <c r="K304" i="1"/>
  <c r="K312" i="1"/>
  <c r="K320" i="1"/>
  <c r="K328" i="1"/>
  <c r="K336" i="1"/>
  <c r="K344" i="1"/>
  <c r="K352" i="1"/>
  <c r="K360" i="1"/>
  <c r="H2" i="1"/>
  <c r="J2" i="1"/>
  <c r="J347" i="1"/>
  <c r="J314" i="1"/>
  <c r="J283" i="1"/>
  <c r="J229" i="1"/>
  <c r="J219" i="1"/>
  <c r="J181" i="1"/>
  <c r="J71" i="1"/>
  <c r="K338" i="1"/>
  <c r="K305" i="1"/>
  <c r="K241" i="1"/>
  <c r="K177" i="1"/>
  <c r="H356" i="1"/>
  <c r="H343" i="1"/>
  <c r="H334" i="1"/>
  <c r="H332" i="1"/>
  <c r="H319" i="1"/>
  <c r="H311" i="1"/>
  <c r="H306" i="1"/>
  <c r="H302" i="1"/>
  <c r="H294" i="1"/>
  <c r="H290" i="1"/>
  <c r="H270" i="1"/>
  <c r="H256" i="1"/>
  <c r="H248" i="1"/>
  <c r="H240" i="1"/>
  <c r="H220" i="1"/>
  <c r="H217" i="1"/>
  <c r="H212" i="1"/>
  <c r="H209" i="1"/>
  <c r="H199" i="1"/>
  <c r="H196" i="1"/>
  <c r="H180" i="1"/>
  <c r="H175" i="1"/>
  <c r="H169" i="1"/>
  <c r="H154" i="1"/>
  <c r="H151" i="1"/>
  <c r="H148" i="1"/>
  <c r="H132" i="1"/>
  <c r="H126" i="1"/>
  <c r="H124" i="1"/>
  <c r="H122" i="1"/>
  <c r="H118" i="1"/>
  <c r="H113" i="1"/>
  <c r="H102" i="1"/>
  <c r="H91" i="1"/>
  <c r="H88" i="1"/>
  <c r="H77" i="1"/>
  <c r="H75" i="1"/>
  <c r="H60" i="1"/>
  <c r="H49" i="1"/>
  <c r="H39" i="1"/>
  <c r="H33" i="1"/>
  <c r="H23" i="1"/>
  <c r="H9" i="1"/>
  <c r="K925" i="2"/>
  <c r="K917" i="2"/>
  <c r="K909" i="2"/>
  <c r="K901" i="2"/>
  <c r="K893" i="2"/>
  <c r="K885" i="2"/>
  <c r="K877" i="2"/>
  <c r="K869" i="2"/>
  <c r="K861" i="2"/>
  <c r="K853" i="2"/>
  <c r="K845" i="2"/>
  <c r="K837" i="2"/>
  <c r="K829" i="2"/>
  <c r="K821" i="2"/>
  <c r="K813" i="2"/>
  <c r="K805" i="2"/>
  <c r="K797" i="2"/>
  <c r="K789" i="2"/>
  <c r="K781" i="2"/>
  <c r="K773" i="2"/>
  <c r="K765" i="2"/>
  <c r="K757" i="2"/>
  <c r="K749" i="2"/>
  <c r="K741" i="2"/>
  <c r="K733" i="2"/>
  <c r="K725" i="2"/>
  <c r="K717" i="2"/>
  <c r="K709" i="2"/>
  <c r="K701" i="2"/>
  <c r="K693" i="2"/>
  <c r="K685" i="2"/>
  <c r="H143" i="1"/>
  <c r="H137" i="1"/>
  <c r="H128" i="1"/>
  <c r="H79" i="1"/>
  <c r="H55" i="1"/>
  <c r="H51" i="1"/>
  <c r="H246" i="1"/>
  <c r="H241" i="1"/>
  <c r="H218" i="1"/>
  <c r="H170" i="1"/>
  <c r="H163" i="1"/>
  <c r="H114" i="1"/>
  <c r="H58" i="1"/>
  <c r="H41" i="1"/>
  <c r="H10" i="1"/>
  <c r="H6" i="1"/>
  <c r="H323" i="1"/>
  <c r="H252" i="1"/>
  <c r="H261" i="1"/>
  <c r="H232" i="1"/>
  <c r="H138" i="1"/>
  <c r="H94" i="1"/>
  <c r="H42" i="1"/>
  <c r="H17" i="1"/>
  <c r="K924" i="2"/>
  <c r="K916" i="2"/>
  <c r="K908" i="2"/>
  <c r="K900" i="2"/>
  <c r="K892" i="2"/>
  <c r="K884" i="2"/>
  <c r="K876" i="2"/>
  <c r="K868" i="2"/>
  <c r="K860" i="2"/>
  <c r="H223" i="1"/>
  <c r="H129" i="1"/>
  <c r="H80" i="1"/>
  <c r="H56" i="1"/>
  <c r="H27" i="1"/>
  <c r="H358" i="1"/>
  <c r="H355" i="1"/>
  <c r="H346" i="1"/>
  <c r="H336" i="1"/>
  <c r="H328" i="1"/>
  <c r="H318" i="1"/>
  <c r="H313" i="1"/>
  <c r="H310" i="1"/>
  <c r="H308" i="1"/>
  <c r="H293" i="1"/>
  <c r="H284" i="1"/>
  <c r="H277" i="1"/>
  <c r="H275" i="1"/>
  <c r="H258" i="1"/>
  <c r="H228" i="1"/>
  <c r="H214" i="1"/>
  <c r="H208" i="1"/>
  <c r="H206" i="1"/>
  <c r="H198" i="1"/>
  <c r="H192" i="1"/>
  <c r="H189" i="1"/>
  <c r="H186" i="1"/>
  <c r="H177" i="1"/>
  <c r="H158" i="1"/>
  <c r="H156" i="1"/>
  <c r="H153" i="1"/>
  <c r="H150" i="1"/>
  <c r="H134" i="1"/>
  <c r="H121" i="1"/>
  <c r="H101" i="1"/>
  <c r="H97" i="1"/>
  <c r="H87" i="1"/>
  <c r="H66" i="1"/>
  <c r="H62" i="1"/>
  <c r="H45" i="1"/>
  <c r="H35" i="1"/>
  <c r="H20" i="1"/>
  <c r="H11" i="1"/>
  <c r="H8" i="1"/>
  <c r="H4" i="1"/>
  <c r="H340" i="1"/>
  <c r="H267" i="1"/>
  <c r="H242" i="1"/>
  <c r="H162" i="1"/>
  <c r="H115" i="1"/>
  <c r="H84" i="1"/>
  <c r="H52" i="1"/>
  <c r="H351" i="1"/>
  <c r="H349" i="1"/>
  <c r="H342" i="1"/>
  <c r="H331" i="1"/>
  <c r="H304" i="1"/>
  <c r="H301" i="1"/>
  <c r="H297" i="1"/>
  <c r="H289" i="1"/>
  <c r="H286" i="1"/>
  <c r="H269" i="1"/>
  <c r="H260" i="1"/>
  <c r="H244" i="1"/>
  <c r="H234" i="1"/>
  <c r="H231" i="1"/>
  <c r="H211" i="1"/>
  <c r="H195" i="1"/>
  <c r="H131" i="1"/>
  <c r="H117" i="1"/>
  <c r="H112" i="1"/>
  <c r="H90" i="1"/>
  <c r="H70" i="1"/>
  <c r="H68" i="1"/>
  <c r="H48" i="1"/>
  <c r="H37" i="1"/>
  <c r="H32" i="1"/>
  <c r="H29" i="1"/>
  <c r="H22" i="1"/>
  <c r="H14" i="1"/>
  <c r="H281" i="1"/>
  <c r="H253" i="1"/>
  <c r="H171" i="1"/>
  <c r="H141" i="1"/>
  <c r="H361" i="1"/>
  <c r="H339" i="1"/>
  <c r="H333" i="1"/>
  <c r="H320" i="1"/>
  <c r="H271" i="1"/>
  <c r="H266" i="1"/>
  <c r="H263" i="1"/>
  <c r="H255" i="1"/>
  <c r="H250" i="1"/>
  <c r="H239" i="1"/>
  <c r="H216" i="1"/>
  <c r="H182" i="1"/>
  <c r="H179" i="1"/>
  <c r="H176" i="1"/>
  <c r="H149" i="1"/>
  <c r="H147" i="1"/>
  <c r="H140" i="1"/>
  <c r="H133" i="1"/>
  <c r="H125" i="1"/>
  <c r="H123" i="1"/>
  <c r="H109" i="1"/>
  <c r="H100" i="1"/>
  <c r="H96" i="1"/>
  <c r="H93" i="1"/>
  <c r="H86" i="1"/>
  <c r="H76" i="1"/>
  <c r="H73" i="1"/>
  <c r="H34" i="1"/>
  <c r="H19" i="1"/>
  <c r="H16" i="1"/>
  <c r="H3" i="1"/>
  <c r="H322" i="1"/>
  <c r="H251" i="1"/>
  <c r="H226" i="1"/>
  <c r="H272" i="1"/>
  <c r="H245" i="1"/>
  <c r="H107" i="1"/>
  <c r="H357" i="1"/>
  <c r="H335" i="1"/>
  <c r="H330" i="1"/>
  <c r="H309" i="1"/>
  <c r="H307" i="1"/>
  <c r="H285" i="1"/>
  <c r="H276" i="1"/>
  <c r="H273" i="1"/>
  <c r="H254" i="1"/>
  <c r="H249" i="1"/>
  <c r="H213" i="1"/>
  <c r="H210" i="1"/>
  <c r="H207" i="1"/>
  <c r="H200" i="1"/>
  <c r="H190" i="1"/>
  <c r="H188" i="1"/>
  <c r="H157" i="1"/>
  <c r="H155" i="1"/>
  <c r="H136" i="1"/>
  <c r="H130" i="1"/>
  <c r="H127" i="1"/>
  <c r="H108" i="1"/>
  <c r="H99" i="1"/>
  <c r="H72" i="1"/>
  <c r="H63" i="1"/>
  <c r="H53" i="1"/>
  <c r="H31" i="1"/>
  <c r="H324" i="1"/>
  <c r="H264" i="1"/>
  <c r="H164" i="1"/>
  <c r="H353" i="1"/>
  <c r="H350" i="1"/>
  <c r="H341" i="1"/>
  <c r="H325" i="1"/>
  <c r="H300" i="1"/>
  <c r="H268" i="1"/>
  <c r="H265" i="1"/>
  <c r="H262" i="1"/>
  <c r="H259" i="1"/>
  <c r="H243" i="1"/>
  <c r="H230" i="1"/>
  <c r="H215" i="1"/>
  <c r="H194" i="1"/>
  <c r="H178" i="1"/>
  <c r="H159" i="1"/>
  <c r="H146" i="1"/>
  <c r="H116" i="1"/>
  <c r="H111" i="1"/>
  <c r="H95" i="1"/>
  <c r="H85" i="1"/>
  <c r="H81" i="1"/>
  <c r="H69" i="1"/>
  <c r="H67" i="1"/>
  <c r="H57" i="1"/>
  <c r="H46" i="1"/>
  <c r="H43" i="1"/>
  <c r="H36" i="1"/>
  <c r="H28" i="1"/>
  <c r="H21" i="1"/>
  <c r="H15" i="1"/>
  <c r="K677" i="2"/>
  <c r="K669" i="2"/>
  <c r="K661" i="2"/>
  <c r="K653" i="2"/>
  <c r="K645" i="2"/>
  <c r="K637" i="2"/>
  <c r="K629" i="2"/>
  <c r="K621" i="2"/>
  <c r="K613" i="2"/>
  <c r="K605" i="2"/>
  <c r="K597" i="2"/>
  <c r="K589" i="2"/>
  <c r="K581" i="2"/>
  <c r="K573" i="2"/>
  <c r="K565" i="2"/>
  <c r="K557" i="2"/>
  <c r="K549" i="2"/>
  <c r="K541" i="2"/>
  <c r="K533" i="2"/>
  <c r="K525" i="2"/>
  <c r="K517" i="2"/>
  <c r="K509" i="2"/>
  <c r="K501" i="2"/>
  <c r="K493" i="2"/>
  <c r="K485" i="2"/>
  <c r="K477" i="2"/>
  <c r="K469" i="2"/>
  <c r="K461" i="2"/>
  <c r="K453" i="2"/>
  <c r="K445" i="2"/>
  <c r="K437" i="2"/>
  <c r="K429" i="2"/>
  <c r="K421" i="2"/>
  <c r="K413" i="2"/>
  <c r="K405" i="2"/>
  <c r="K397" i="2"/>
  <c r="K389" i="2"/>
  <c r="K381" i="2"/>
  <c r="K373" i="2"/>
  <c r="K365" i="2"/>
  <c r="K357" i="2"/>
  <c r="K349" i="2"/>
  <c r="K341" i="2"/>
  <c r="K333" i="2"/>
  <c r="K325" i="2"/>
  <c r="K317" i="2"/>
  <c r="K309" i="2"/>
  <c r="K301" i="2"/>
  <c r="K293" i="2"/>
  <c r="K285" i="2"/>
  <c r="K277" i="2"/>
  <c r="K269" i="2"/>
  <c r="K261" i="2"/>
  <c r="K253" i="2"/>
  <c r="K245" i="2"/>
  <c r="K237" i="2"/>
  <c r="K229" i="2"/>
  <c r="K221" i="2"/>
  <c r="K213" i="2"/>
  <c r="K205" i="2"/>
  <c r="K197" i="2"/>
  <c r="K189" i="2"/>
  <c r="K181" i="2"/>
  <c r="K173" i="2"/>
  <c r="K165" i="2"/>
  <c r="K157" i="2"/>
  <c r="K149" i="2"/>
  <c r="K141" i="2"/>
  <c r="K133" i="2"/>
  <c r="K125" i="2"/>
  <c r="K117" i="2"/>
  <c r="K109" i="2"/>
  <c r="K101" i="2"/>
  <c r="K93" i="2"/>
  <c r="K85" i="2"/>
  <c r="K77" i="2"/>
  <c r="K69" i="2"/>
  <c r="K61" i="2"/>
  <c r="K53" i="2"/>
  <c r="K45" i="2"/>
  <c r="K37" i="2"/>
  <c r="K29" i="2"/>
  <c r="K21" i="2"/>
  <c r="K13" i="2"/>
  <c r="K5" i="2"/>
  <c r="K852" i="2"/>
  <c r="K844" i="2"/>
  <c r="K836" i="2"/>
  <c r="K828" i="2"/>
  <c r="K820" i="2"/>
  <c r="K812" i="2"/>
  <c r="K804" i="2"/>
  <c r="K796" i="2"/>
  <c r="K788" i="2"/>
  <c r="K780" i="2"/>
  <c r="K772" i="2"/>
  <c r="K764" i="2"/>
  <c r="K756" i="2"/>
  <c r="K748" i="2"/>
  <c r="K740" i="2"/>
  <c r="K732" i="2"/>
  <c r="K724" i="2"/>
  <c r="K716" i="2"/>
  <c r="K708" i="2"/>
  <c r="K700" i="2"/>
  <c r="K692" i="2"/>
  <c r="K684" i="2"/>
  <c r="K676" i="2"/>
  <c r="K668" i="2"/>
  <c r="K660" i="2"/>
  <c r="K652" i="2"/>
  <c r="K644" i="2"/>
  <c r="K636" i="2"/>
  <c r="K628" i="2"/>
  <c r="K620" i="2"/>
  <c r="K612" i="2"/>
  <c r="K604" i="2"/>
  <c r="K596" i="2"/>
  <c r="K588" i="2"/>
  <c r="K580" i="2"/>
  <c r="K572" i="2"/>
  <c r="K564" i="2"/>
  <c r="K556" i="2"/>
  <c r="K548" i="2"/>
  <c r="K540" i="2"/>
  <c r="K532" i="2"/>
  <c r="K524" i="2"/>
  <c r="K516" i="2"/>
  <c r="K508" i="2"/>
  <c r="K500" i="2"/>
  <c r="K492" i="2"/>
  <c r="K484" i="2"/>
  <c r="K476" i="2"/>
  <c r="K468" i="2"/>
  <c r="K460" i="2"/>
  <c r="K452" i="2"/>
  <c r="K444" i="2"/>
  <c r="K436" i="2"/>
  <c r="K428" i="2"/>
  <c r="K420" i="2"/>
  <c r="K412" i="2"/>
  <c r="K404" i="2"/>
  <c r="K396" i="2"/>
  <c r="K388" i="2"/>
  <c r="K380" i="2"/>
  <c r="K372" i="2"/>
  <c r="K364" i="2"/>
  <c r="K356" i="2"/>
  <c r="K348" i="2"/>
  <c r="K340" i="2"/>
  <c r="K332" i="2"/>
  <c r="K324" i="2"/>
  <c r="K316" i="2"/>
  <c r="K923" i="2"/>
  <c r="K915" i="2"/>
  <c r="K907" i="2"/>
  <c r="K899" i="2"/>
  <c r="K891" i="2"/>
  <c r="K883" i="2"/>
  <c r="K875" i="2"/>
  <c r="K867" i="2"/>
  <c r="K859" i="2"/>
  <c r="K851" i="2"/>
  <c r="K843" i="2"/>
  <c r="K835" i="2"/>
  <c r="K827" i="2"/>
  <c r="K819" i="2"/>
  <c r="K811" i="2"/>
  <c r="K922" i="2"/>
  <c r="K914" i="2"/>
  <c r="K906" i="2"/>
  <c r="K898" i="2"/>
  <c r="K890" i="2"/>
  <c r="K882" i="2"/>
  <c r="K874" i="2"/>
  <c r="K866" i="2"/>
  <c r="K858" i="2"/>
  <c r="K850" i="2"/>
  <c r="K842" i="2"/>
  <c r="K834" i="2"/>
  <c r="K826" i="2"/>
  <c r="K818" i="2"/>
  <c r="K810" i="2"/>
  <c r="K921" i="2"/>
  <c r="K913" i="2"/>
  <c r="K905" i="2"/>
  <c r="K897" i="2"/>
  <c r="K889" i="2"/>
  <c r="K881" i="2"/>
  <c r="K873" i="2"/>
  <c r="K865" i="2"/>
  <c r="K857" i="2"/>
  <c r="K849" i="2"/>
  <c r="K841" i="2"/>
  <c r="K833" i="2"/>
  <c r="K825" i="2"/>
  <c r="K817" i="2"/>
  <c r="K920" i="2"/>
  <c r="K912" i="2"/>
  <c r="K904" i="2"/>
  <c r="K896" i="2"/>
  <c r="K888" i="2"/>
  <c r="K880" i="2"/>
  <c r="K872" i="2"/>
  <c r="K864" i="2"/>
  <c r="K856" i="2"/>
  <c r="K848" i="2"/>
  <c r="K840" i="2"/>
  <c r="K832" i="2"/>
  <c r="K824" i="2"/>
  <c r="K816" i="2"/>
  <c r="K919" i="2"/>
  <c r="K911" i="2"/>
  <c r="K903" i="2"/>
  <c r="K895" i="2"/>
  <c r="K887" i="2"/>
  <c r="K879" i="2"/>
  <c r="K871" i="2"/>
  <c r="K863" i="2"/>
  <c r="K855" i="2"/>
  <c r="K847" i="2"/>
  <c r="K839" i="2"/>
  <c r="K831" i="2"/>
  <c r="K823" i="2"/>
  <c r="K815" i="2"/>
  <c r="K807" i="2"/>
  <c r="K799" i="2"/>
  <c r="K791" i="2"/>
  <c r="K783" i="2"/>
  <c r="K775" i="2"/>
  <c r="K767" i="2"/>
  <c r="K759" i="2"/>
  <c r="K751" i="2"/>
  <c r="K743" i="2"/>
  <c r="K735" i="2"/>
  <c r="K727" i="2"/>
  <c r="K719" i="2"/>
  <c r="K711" i="2"/>
  <c r="K703" i="2"/>
  <c r="K695" i="2"/>
  <c r="K687" i="2"/>
  <c r="K918" i="2"/>
  <c r="K910" i="2"/>
  <c r="K902" i="2"/>
  <c r="K894" i="2"/>
  <c r="K886" i="2"/>
  <c r="K878" i="2"/>
  <c r="K870" i="2"/>
  <c r="K862" i="2"/>
  <c r="K854" i="2"/>
  <c r="K846" i="2"/>
  <c r="K838" i="2"/>
  <c r="K830" i="2"/>
  <c r="K822" i="2"/>
  <c r="K814" i="2"/>
  <c r="K806" i="2"/>
  <c r="K803" i="2"/>
  <c r="K795" i="2"/>
  <c r="K787" i="2"/>
  <c r="K779" i="2"/>
  <c r="K771" i="2"/>
  <c r="K763" i="2"/>
  <c r="K755" i="2"/>
  <c r="K747" i="2"/>
  <c r="K739" i="2"/>
  <c r="K731" i="2"/>
  <c r="K723" i="2"/>
  <c r="K715" i="2"/>
  <c r="K707" i="2"/>
  <c r="K699" i="2"/>
  <c r="K691" i="2"/>
  <c r="K683" i="2"/>
  <c r="K675" i="2"/>
  <c r="K667" i="2"/>
  <c r="K659" i="2"/>
  <c r="K651" i="2"/>
  <c r="K643" i="2"/>
  <c r="K635" i="2"/>
  <c r="K627" i="2"/>
  <c r="K619" i="2"/>
  <c r="K611" i="2"/>
  <c r="K603" i="2"/>
  <c r="K595" i="2"/>
  <c r="K587" i="2"/>
  <c r="K579" i="2"/>
  <c r="K571" i="2"/>
  <c r="K563" i="2"/>
  <c r="K555" i="2"/>
  <c r="K547" i="2"/>
  <c r="K539" i="2"/>
  <c r="K531" i="2"/>
  <c r="K523" i="2"/>
  <c r="K515" i="2"/>
  <c r="K507" i="2"/>
  <c r="K499" i="2"/>
  <c r="K491" i="2"/>
  <c r="K483" i="2"/>
  <c r="K475" i="2"/>
  <c r="K467" i="2"/>
  <c r="K459" i="2"/>
  <c r="K451" i="2"/>
  <c r="K443" i="2"/>
  <c r="K435" i="2"/>
  <c r="K427" i="2"/>
  <c r="K419" i="2"/>
  <c r="K411" i="2"/>
  <c r="K403" i="2"/>
  <c r="K395" i="2"/>
  <c r="K387" i="2"/>
  <c r="K379" i="2"/>
  <c r="K371" i="2"/>
  <c r="K363" i="2"/>
  <c r="K355" i="2"/>
  <c r="K347" i="2"/>
  <c r="K339" i="2"/>
  <c r="K331" i="2"/>
  <c r="K323" i="2"/>
  <c r="K315" i="2"/>
  <c r="K307" i="2"/>
  <c r="K299" i="2"/>
  <c r="K802" i="2"/>
  <c r="K794" i="2"/>
  <c r="K786" i="2"/>
  <c r="K778" i="2"/>
  <c r="K770" i="2"/>
  <c r="K762" i="2"/>
  <c r="K754" i="2"/>
  <c r="K746" i="2"/>
  <c r="K738" i="2"/>
  <c r="K730" i="2"/>
  <c r="K722" i="2"/>
  <c r="K714" i="2"/>
  <c r="K706" i="2"/>
  <c r="K698" i="2"/>
  <c r="K690" i="2"/>
  <c r="K682" i="2"/>
  <c r="K674" i="2"/>
  <c r="K666" i="2"/>
  <c r="K658" i="2"/>
  <c r="K650" i="2"/>
  <c r="K642" i="2"/>
  <c r="K634" i="2"/>
  <c r="K626" i="2"/>
  <c r="K618" i="2"/>
  <c r="K610" i="2"/>
  <c r="K602" i="2"/>
  <c r="K594" i="2"/>
  <c r="K586" i="2"/>
  <c r="K578" i="2"/>
  <c r="K570" i="2"/>
  <c r="K562" i="2"/>
  <c r="K554" i="2"/>
  <c r="K546" i="2"/>
  <c r="K538" i="2"/>
  <c r="K530" i="2"/>
  <c r="K522" i="2"/>
  <c r="K514" i="2"/>
  <c r="K506" i="2"/>
  <c r="K498" i="2"/>
  <c r="K490" i="2"/>
  <c r="K482" i="2"/>
  <c r="K474" i="2"/>
  <c r="K466" i="2"/>
  <c r="K458" i="2"/>
  <c r="K450" i="2"/>
  <c r="K442" i="2"/>
  <c r="K434" i="2"/>
  <c r="K426" i="2"/>
  <c r="K418" i="2"/>
  <c r="K410" i="2"/>
  <c r="K402" i="2"/>
  <c r="K394" i="2"/>
  <c r="K386" i="2"/>
  <c r="K378" i="2"/>
  <c r="K370" i="2"/>
  <c r="K362" i="2"/>
  <c r="K354" i="2"/>
  <c r="K346" i="2"/>
  <c r="K338" i="2"/>
  <c r="K330" i="2"/>
  <c r="K322" i="2"/>
  <c r="K809" i="2"/>
  <c r="K801" i="2"/>
  <c r="K793" i="2"/>
  <c r="K785" i="2"/>
  <c r="K777" i="2"/>
  <c r="K769" i="2"/>
  <c r="K761" i="2"/>
  <c r="K753" i="2"/>
  <c r="K745" i="2"/>
  <c r="K737" i="2"/>
  <c r="K729" i="2"/>
  <c r="K721" i="2"/>
  <c r="K713" i="2"/>
  <c r="K705" i="2"/>
  <c r="K697" i="2"/>
  <c r="K689" i="2"/>
  <c r="K681" i="2"/>
  <c r="K673" i="2"/>
  <c r="K665" i="2"/>
  <c r="K657" i="2"/>
  <c r="K649" i="2"/>
  <c r="K641" i="2"/>
  <c r="K633" i="2"/>
  <c r="K625" i="2"/>
  <c r="K617" i="2"/>
  <c r="K609" i="2"/>
  <c r="K601" i="2"/>
  <c r="K593" i="2"/>
  <c r="K585" i="2"/>
  <c r="K577" i="2"/>
  <c r="K569" i="2"/>
  <c r="K561" i="2"/>
  <c r="K553" i="2"/>
  <c r="K545" i="2"/>
  <c r="K537" i="2"/>
  <c r="K529" i="2"/>
  <c r="K521" i="2"/>
  <c r="K513" i="2"/>
  <c r="K505" i="2"/>
  <c r="K497" i="2"/>
  <c r="K489" i="2"/>
  <c r="K481" i="2"/>
  <c r="K473" i="2"/>
  <c r="K465" i="2"/>
  <c r="K457" i="2"/>
  <c r="K449" i="2"/>
  <c r="K441" i="2"/>
  <c r="K433" i="2"/>
  <c r="K425" i="2"/>
  <c r="K417" i="2"/>
  <c r="K409" i="2"/>
  <c r="K401" i="2"/>
  <c r="K393" i="2"/>
  <c r="K385" i="2"/>
  <c r="K377" i="2"/>
  <c r="K369" i="2"/>
  <c r="K361" i="2"/>
  <c r="K353" i="2"/>
  <c r="K345" i="2"/>
  <c r="K337" i="2"/>
  <c r="K329" i="2"/>
  <c r="K321" i="2"/>
  <c r="K313" i="2"/>
  <c r="K305" i="2"/>
  <c r="K808" i="2"/>
  <c r="K800" i="2"/>
  <c r="K792" i="2"/>
  <c r="K784" i="2"/>
  <c r="K776" i="2"/>
  <c r="K768" i="2"/>
  <c r="K760" i="2"/>
  <c r="K752" i="2"/>
  <c r="K744" i="2"/>
  <c r="K736" i="2"/>
  <c r="K728" i="2"/>
  <c r="K720" i="2"/>
  <c r="K712" i="2"/>
  <c r="K704" i="2"/>
  <c r="K696" i="2"/>
  <c r="K688" i="2"/>
  <c r="K680" i="2"/>
  <c r="K672" i="2"/>
  <c r="K664" i="2"/>
  <c r="K656" i="2"/>
  <c r="K648" i="2"/>
  <c r="K640" i="2"/>
  <c r="K632" i="2"/>
  <c r="K624" i="2"/>
  <c r="K616" i="2"/>
  <c r="K608" i="2"/>
  <c r="K600" i="2"/>
  <c r="K592" i="2"/>
  <c r="K584" i="2"/>
  <c r="K576" i="2"/>
  <c r="K568" i="2"/>
  <c r="K560" i="2"/>
  <c r="K552" i="2"/>
  <c r="K544" i="2"/>
  <c r="K536" i="2"/>
  <c r="K528" i="2"/>
  <c r="K520" i="2"/>
  <c r="K512" i="2"/>
  <c r="K504" i="2"/>
  <c r="K496" i="2"/>
  <c r="K488" i="2"/>
  <c r="K480" i="2"/>
  <c r="K472" i="2"/>
  <c r="K464" i="2"/>
  <c r="K456" i="2"/>
  <c r="K448" i="2"/>
  <c r="K440" i="2"/>
  <c r="K432" i="2"/>
  <c r="K424" i="2"/>
  <c r="K416" i="2"/>
  <c r="K408" i="2"/>
  <c r="K400" i="2"/>
  <c r="K392" i="2"/>
  <c r="K384" i="2"/>
  <c r="K376" i="2"/>
  <c r="K368" i="2"/>
  <c r="K360" i="2"/>
  <c r="K352" i="2"/>
  <c r="K344" i="2"/>
  <c r="K336" i="2"/>
  <c r="K328" i="2"/>
  <c r="K320" i="2"/>
  <c r="K312" i="2"/>
  <c r="K304" i="2"/>
  <c r="K679" i="2"/>
  <c r="K671" i="2"/>
  <c r="K663" i="2"/>
  <c r="K655" i="2"/>
  <c r="K647" i="2"/>
  <c r="K639" i="2"/>
  <c r="K631" i="2"/>
  <c r="K623" i="2"/>
  <c r="K615" i="2"/>
  <c r="K607" i="2"/>
  <c r="K599" i="2"/>
  <c r="K591" i="2"/>
  <c r="K583" i="2"/>
  <c r="K575" i="2"/>
  <c r="K567" i="2"/>
  <c r="K559" i="2"/>
  <c r="K551" i="2"/>
  <c r="K543" i="2"/>
  <c r="K535" i="2"/>
  <c r="K527" i="2"/>
  <c r="K519" i="2"/>
  <c r="K511" i="2"/>
  <c r="K503" i="2"/>
  <c r="K495" i="2"/>
  <c r="K487" i="2"/>
  <c r="K479" i="2"/>
  <c r="K471" i="2"/>
  <c r="K463" i="2"/>
  <c r="K455" i="2"/>
  <c r="K447" i="2"/>
  <c r="K439" i="2"/>
  <c r="K431" i="2"/>
  <c r="K423" i="2"/>
  <c r="K415" i="2"/>
  <c r="K407" i="2"/>
  <c r="K399" i="2"/>
  <c r="K391" i="2"/>
  <c r="K383" i="2"/>
  <c r="K375" i="2"/>
  <c r="K367" i="2"/>
  <c r="K359" i="2"/>
  <c r="K351" i="2"/>
  <c r="K343" i="2"/>
  <c r="K335" i="2"/>
  <c r="K327" i="2"/>
  <c r="K319" i="2"/>
  <c r="K311" i="2"/>
  <c r="K303" i="2"/>
  <c r="K295" i="2"/>
  <c r="K287" i="2"/>
  <c r="K279" i="2"/>
  <c r="K271" i="2"/>
  <c r="K263" i="2"/>
  <c r="K255" i="2"/>
  <c r="K247" i="2"/>
  <c r="K239" i="2"/>
  <c r="K231" i="2"/>
  <c r="K223" i="2"/>
  <c r="K215" i="2"/>
  <c r="K207" i="2"/>
  <c r="K199" i="2"/>
  <c r="K191" i="2"/>
  <c r="K183" i="2"/>
  <c r="K175" i="2"/>
  <c r="K167" i="2"/>
  <c r="K159" i="2"/>
  <c r="K151" i="2"/>
  <c r="K143" i="2"/>
  <c r="K135" i="2"/>
  <c r="K127" i="2"/>
  <c r="K119" i="2"/>
  <c r="K111" i="2"/>
  <c r="K103" i="2"/>
  <c r="K95" i="2"/>
  <c r="K87" i="2"/>
  <c r="K79" i="2"/>
  <c r="K71" i="2"/>
  <c r="K63" i="2"/>
  <c r="K55" i="2"/>
  <c r="K47" i="2"/>
  <c r="K39" i="2"/>
  <c r="K31" i="2"/>
  <c r="K23" i="2"/>
  <c r="K15" i="2"/>
  <c r="K7" i="2"/>
  <c r="K798" i="2"/>
  <c r="K790" i="2"/>
  <c r="K782" i="2"/>
  <c r="K774" i="2"/>
  <c r="K766" i="2"/>
  <c r="K758" i="2"/>
  <c r="K750" i="2"/>
  <c r="K742" i="2"/>
  <c r="K734" i="2"/>
  <c r="K726" i="2"/>
  <c r="K718" i="2"/>
  <c r="K710" i="2"/>
  <c r="K702" i="2"/>
  <c r="K694" i="2"/>
  <c r="K686" i="2"/>
  <c r="K678" i="2"/>
  <c r="K670" i="2"/>
  <c r="K662" i="2"/>
  <c r="K654" i="2"/>
  <c r="K646" i="2"/>
  <c r="K638" i="2"/>
  <c r="K630" i="2"/>
  <c r="K622" i="2"/>
  <c r="K614" i="2"/>
  <c r="K606" i="2"/>
  <c r="K598" i="2"/>
  <c r="K590" i="2"/>
  <c r="K582" i="2"/>
  <c r="K574" i="2"/>
  <c r="K566" i="2"/>
  <c r="K558" i="2"/>
  <c r="K550" i="2"/>
  <c r="K542" i="2"/>
  <c r="K534" i="2"/>
  <c r="K526" i="2"/>
  <c r="K518" i="2"/>
  <c r="K510" i="2"/>
  <c r="K502" i="2"/>
  <c r="K494" i="2"/>
  <c r="K486" i="2"/>
  <c r="K478" i="2"/>
  <c r="K470" i="2"/>
  <c r="K462" i="2"/>
  <c r="K454" i="2"/>
  <c r="K446" i="2"/>
  <c r="K438" i="2"/>
  <c r="K430" i="2"/>
  <c r="K422" i="2"/>
  <c r="K414" i="2"/>
  <c r="K406" i="2"/>
  <c r="K398" i="2"/>
  <c r="K390" i="2"/>
  <c r="K382" i="2"/>
  <c r="K374" i="2"/>
  <c r="K366" i="2"/>
  <c r="K358" i="2"/>
  <c r="K350" i="2"/>
  <c r="K342" i="2"/>
  <c r="K334" i="2"/>
  <c r="K326" i="2"/>
  <c r="K318" i="2"/>
  <c r="K310" i="2"/>
  <c r="K308" i="2"/>
  <c r="K300" i="2"/>
  <c r="K292" i="2"/>
  <c r="K284" i="2"/>
  <c r="K276" i="2"/>
  <c r="K268" i="2"/>
  <c r="K260" i="2"/>
  <c r="K252" i="2"/>
  <c r="K244" i="2"/>
  <c r="K236" i="2"/>
  <c r="K228" i="2"/>
  <c r="K220" i="2"/>
  <c r="K212" i="2"/>
  <c r="K204" i="2"/>
  <c r="K196" i="2"/>
  <c r="K188" i="2"/>
  <c r="K180" i="2"/>
  <c r="K172" i="2"/>
  <c r="K164" i="2"/>
  <c r="K156" i="2"/>
  <c r="K148" i="2"/>
  <c r="K140" i="2"/>
  <c r="K132" i="2"/>
  <c r="K124" i="2"/>
  <c r="L51" i="1" s="1"/>
  <c r="K116" i="2"/>
  <c r="K108" i="2"/>
  <c r="K100" i="2"/>
  <c r="K92" i="2"/>
  <c r="K84" i="2"/>
  <c r="K76" i="2"/>
  <c r="K68" i="2"/>
  <c r="K60" i="2"/>
  <c r="K52" i="2"/>
  <c r="K44" i="2"/>
  <c r="K36" i="2"/>
  <c r="K28" i="2"/>
  <c r="K20" i="2"/>
  <c r="K12" i="2"/>
  <c r="K4" i="2"/>
  <c r="K291" i="2"/>
  <c r="K283" i="2"/>
  <c r="K275" i="2"/>
  <c r="K267" i="2"/>
  <c r="K259" i="2"/>
  <c r="K251" i="2"/>
  <c r="K243" i="2"/>
  <c r="K235" i="2"/>
  <c r="K227" i="2"/>
  <c r="K219" i="2"/>
  <c r="K211" i="2"/>
  <c r="K203" i="2"/>
  <c r="K195" i="2"/>
  <c r="K187" i="2"/>
  <c r="K179" i="2"/>
  <c r="K171" i="2"/>
  <c r="K163" i="2"/>
  <c r="K155" i="2"/>
  <c r="K147" i="2"/>
  <c r="K139" i="2"/>
  <c r="K131" i="2"/>
  <c r="K123" i="2"/>
  <c r="K115" i="2"/>
  <c r="K107" i="2"/>
  <c r="K99" i="2"/>
  <c r="K91" i="2"/>
  <c r="K83" i="2"/>
  <c r="K75" i="2"/>
  <c r="K67" i="2"/>
  <c r="K59" i="2"/>
  <c r="K51" i="2"/>
  <c r="K43" i="2"/>
  <c r="K35" i="2"/>
  <c r="K27" i="2"/>
  <c r="K19" i="2"/>
  <c r="K11" i="2"/>
  <c r="K3" i="2"/>
  <c r="K314" i="2"/>
  <c r="K306" i="2"/>
  <c r="K298" i="2"/>
  <c r="K290" i="2"/>
  <c r="K282" i="2"/>
  <c r="K274" i="2"/>
  <c r="K266" i="2"/>
  <c r="K258" i="2"/>
  <c r="K250" i="2"/>
  <c r="K242" i="2"/>
  <c r="K234" i="2"/>
  <c r="K226" i="2"/>
  <c r="K218" i="2"/>
  <c r="K210" i="2"/>
  <c r="K202" i="2"/>
  <c r="K194" i="2"/>
  <c r="K186" i="2"/>
  <c r="K178" i="2"/>
  <c r="K170" i="2"/>
  <c r="K162" i="2"/>
  <c r="K154" i="2"/>
  <c r="K146" i="2"/>
  <c r="K138" i="2"/>
  <c r="K130" i="2"/>
  <c r="K122" i="2"/>
  <c r="K114" i="2"/>
  <c r="K106" i="2"/>
  <c r="K98" i="2"/>
  <c r="K90" i="2"/>
  <c r="K82" i="2"/>
  <c r="K74" i="2"/>
  <c r="K66" i="2"/>
  <c r="K58" i="2"/>
  <c r="K50" i="2"/>
  <c r="K42" i="2"/>
  <c r="K34" i="2"/>
  <c r="K26" i="2"/>
  <c r="K18" i="2"/>
  <c r="K10" i="2"/>
  <c r="K2" i="2"/>
  <c r="L2" i="1" s="1"/>
  <c r="K297" i="2"/>
  <c r="K289" i="2"/>
  <c r="K281" i="2"/>
  <c r="K273" i="2"/>
  <c r="K265" i="2"/>
  <c r="K257" i="2"/>
  <c r="K249" i="2"/>
  <c r="K241" i="2"/>
  <c r="K233" i="2"/>
  <c r="K225" i="2"/>
  <c r="K217" i="2"/>
  <c r="K209" i="2"/>
  <c r="K201" i="2"/>
  <c r="K193" i="2"/>
  <c r="K185" i="2"/>
  <c r="K177" i="2"/>
  <c r="K169" i="2"/>
  <c r="K161" i="2"/>
  <c r="K153" i="2"/>
  <c r="K145" i="2"/>
  <c r="K137" i="2"/>
  <c r="K129" i="2"/>
  <c r="K121" i="2"/>
  <c r="K113" i="2"/>
  <c r="K105" i="2"/>
  <c r="K97" i="2"/>
  <c r="K89" i="2"/>
  <c r="K81" i="2"/>
  <c r="K73" i="2"/>
  <c r="K65" i="2"/>
  <c r="K57" i="2"/>
  <c r="K49" i="2"/>
  <c r="K41" i="2"/>
  <c r="K33" i="2"/>
  <c r="K25" i="2"/>
  <c r="K17" i="2"/>
  <c r="K9" i="2"/>
  <c r="K296" i="2"/>
  <c r="K288" i="2"/>
  <c r="K280" i="2"/>
  <c r="K272" i="2"/>
  <c r="K264" i="2"/>
  <c r="K256" i="2"/>
  <c r="K248" i="2"/>
  <c r="K240" i="2"/>
  <c r="K232" i="2"/>
  <c r="K224" i="2"/>
  <c r="K216" i="2"/>
  <c r="K208" i="2"/>
  <c r="K200" i="2"/>
  <c r="K192" i="2"/>
  <c r="K184" i="2"/>
  <c r="K176" i="2"/>
  <c r="K168" i="2"/>
  <c r="K160" i="2"/>
  <c r="K152" i="2"/>
  <c r="K144" i="2"/>
  <c r="K136" i="2"/>
  <c r="K128" i="2"/>
  <c r="K120" i="2"/>
  <c r="K112" i="2"/>
  <c r="K104" i="2"/>
  <c r="K96" i="2"/>
  <c r="K88" i="2"/>
  <c r="K80" i="2"/>
  <c r="K72" i="2"/>
  <c r="K64" i="2"/>
  <c r="K56" i="2"/>
  <c r="K48" i="2"/>
  <c r="K40" i="2"/>
  <c r="K32" i="2"/>
  <c r="K24" i="2"/>
  <c r="K16" i="2"/>
  <c r="K8" i="2"/>
  <c r="K302" i="2"/>
  <c r="K294" i="2"/>
  <c r="K286" i="2"/>
  <c r="K278" i="2"/>
  <c r="K270" i="2"/>
  <c r="K262" i="2"/>
  <c r="K254" i="2"/>
  <c r="K246" i="2"/>
  <c r="K238" i="2"/>
  <c r="K230" i="2"/>
  <c r="K222" i="2"/>
  <c r="K214" i="2"/>
  <c r="K206" i="2"/>
  <c r="K198" i="2"/>
  <c r="K190" i="2"/>
  <c r="K182" i="2"/>
  <c r="K174" i="2"/>
  <c r="K166" i="2"/>
  <c r="K158" i="2"/>
  <c r="K150" i="2"/>
  <c r="K142" i="2"/>
  <c r="K134" i="2"/>
  <c r="K126" i="2"/>
  <c r="K118" i="2"/>
  <c r="K110" i="2"/>
  <c r="K102" i="2"/>
  <c r="K94" i="2"/>
  <c r="K86" i="2"/>
  <c r="K78" i="2"/>
  <c r="K70" i="2"/>
  <c r="K62" i="2"/>
  <c r="K54" i="2"/>
  <c r="K46" i="2"/>
  <c r="K38" i="2"/>
  <c r="K30" i="2"/>
  <c r="K22" i="2"/>
  <c r="K14" i="2"/>
  <c r="K6" i="2"/>
  <c r="I15" i="15" l="1"/>
  <c r="I12" i="15"/>
  <c r="L223" i="1"/>
  <c r="L259" i="1"/>
  <c r="L340" i="1"/>
  <c r="L16" i="1"/>
  <c r="L218" i="1"/>
  <c r="L166" i="1"/>
  <c r="L41" i="1"/>
  <c r="L170" i="1"/>
  <c r="L266" i="1"/>
  <c r="L93" i="1"/>
  <c r="L32" i="1"/>
  <c r="L112" i="1"/>
  <c r="L253" i="1"/>
  <c r="L152" i="1"/>
  <c r="L224" i="1"/>
  <c r="L176" i="1"/>
  <c r="L250" i="1"/>
  <c r="L302" i="1"/>
  <c r="L137" i="1"/>
  <c r="L211" i="1"/>
  <c r="L234" i="1"/>
  <c r="L262" i="1"/>
  <c r="L53" i="1"/>
  <c r="L241" i="1"/>
  <c r="L355" i="1"/>
  <c r="L133" i="1"/>
  <c r="L143" i="1"/>
  <c r="L351" i="1"/>
  <c r="L132" i="1"/>
  <c r="L55" i="1"/>
  <c r="L79" i="1"/>
  <c r="L122" i="1"/>
  <c r="L57" i="1"/>
  <c r="L111" i="1"/>
  <c r="L100" i="1"/>
  <c r="L81" i="1"/>
  <c r="L73" i="1"/>
  <c r="L230" i="1"/>
  <c r="L157" i="1"/>
  <c r="L63" i="1"/>
  <c r="L215" i="1"/>
  <c r="L271" i="1"/>
  <c r="L265" i="1"/>
  <c r="L345" i="1"/>
  <c r="L27" i="1"/>
  <c r="L85" i="1"/>
  <c r="L76" i="1"/>
  <c r="L232" i="1"/>
  <c r="L148" i="1"/>
  <c r="L268" i="1"/>
  <c r="L205" i="1"/>
  <c r="L227" i="1"/>
  <c r="L252" i="1"/>
  <c r="L324" i="1"/>
  <c r="L306" i="1"/>
  <c r="L332" i="1"/>
  <c r="L356" i="1"/>
  <c r="L337" i="1"/>
  <c r="L323" i="1"/>
  <c r="L348" i="1"/>
  <c r="L308" i="1"/>
  <c r="L358" i="1"/>
  <c r="L194" i="1"/>
  <c r="L56" i="1"/>
  <c r="L80" i="1"/>
  <c r="L146" i="1"/>
  <c r="L359" i="1"/>
  <c r="L243" i="1"/>
  <c r="L115" i="1"/>
  <c r="L322" i="1"/>
  <c r="L244" i="1"/>
  <c r="L361" i="1"/>
  <c r="L31" i="1"/>
  <c r="L159" i="1"/>
  <c r="L136" i="1"/>
  <c r="L210" i="1"/>
  <c r="L307" i="1"/>
  <c r="L312" i="1"/>
  <c r="L263" i="1"/>
  <c r="L343" i="1"/>
  <c r="L325" i="1"/>
  <c r="L357" i="1"/>
  <c r="L339" i="1"/>
  <c r="L297" i="1"/>
  <c r="L28" i="1"/>
  <c r="L19" i="1"/>
  <c r="L96" i="1"/>
  <c r="L29" i="1"/>
  <c r="L129" i="1"/>
  <c r="L226" i="1"/>
  <c r="L251" i="1"/>
  <c r="L272" i="1"/>
  <c r="L39" i="1"/>
  <c r="L172" i="1"/>
  <c r="L197" i="1"/>
  <c r="L221" i="1"/>
  <c r="L246" i="1"/>
  <c r="L149" i="1"/>
  <c r="L316" i="1"/>
  <c r="L231" i="1"/>
  <c r="I287" i="1"/>
  <c r="L287" i="1"/>
  <c r="I314" i="1"/>
  <c r="Q314" i="1" s="1"/>
  <c r="L314" i="1"/>
  <c r="I315" i="1"/>
  <c r="Q315" i="1" s="1"/>
  <c r="L315" i="1"/>
  <c r="I296" i="1"/>
  <c r="L296" i="1"/>
  <c r="I352" i="1"/>
  <c r="L352" i="1"/>
  <c r="I160" i="1"/>
  <c r="L160" i="1"/>
  <c r="I26" i="1"/>
  <c r="L26" i="1"/>
  <c r="I106" i="1"/>
  <c r="L106" i="1"/>
  <c r="L153" i="1"/>
  <c r="L177" i="1"/>
  <c r="I201" i="1"/>
  <c r="L201" i="1"/>
  <c r="I225" i="1"/>
  <c r="L225" i="1"/>
  <c r="L277" i="1"/>
  <c r="I47" i="1"/>
  <c r="L47" i="1"/>
  <c r="I145" i="1"/>
  <c r="Q145" i="1" s="1"/>
  <c r="L145" i="1"/>
  <c r="I193" i="1"/>
  <c r="L193" i="1"/>
  <c r="I305" i="1"/>
  <c r="Q305" i="1" s="1"/>
  <c r="L305" i="1"/>
  <c r="L124" i="1"/>
  <c r="I260" i="1"/>
  <c r="L260" i="1"/>
  <c r="L156" i="1"/>
  <c r="L36" i="1"/>
  <c r="L72" i="1"/>
  <c r="L3" i="1"/>
  <c r="I54" i="1"/>
  <c r="L54" i="1"/>
  <c r="L109" i="1"/>
  <c r="L14" i="1"/>
  <c r="I37" i="1"/>
  <c r="L37" i="1"/>
  <c r="I65" i="1"/>
  <c r="L65" i="1"/>
  <c r="L90" i="1"/>
  <c r="L117" i="1"/>
  <c r="L138" i="1"/>
  <c r="L162" i="1"/>
  <c r="I235" i="1"/>
  <c r="L235" i="1"/>
  <c r="L281" i="1"/>
  <c r="L23" i="1"/>
  <c r="L49" i="1"/>
  <c r="L75" i="1"/>
  <c r="L102" i="1"/>
  <c r="I126" i="1"/>
  <c r="Q126" i="1" s="1"/>
  <c r="L126" i="1"/>
  <c r="I151" i="1"/>
  <c r="L151" i="1"/>
  <c r="L175" i="1"/>
  <c r="I199" i="1"/>
  <c r="L199" i="1"/>
  <c r="I248" i="1"/>
  <c r="L248" i="1"/>
  <c r="L127" i="1"/>
  <c r="L200" i="1"/>
  <c r="L249" i="1"/>
  <c r="I295" i="1"/>
  <c r="Q295" i="1" s="1"/>
  <c r="L295" i="1"/>
  <c r="I181" i="1"/>
  <c r="Q181" i="1" s="1"/>
  <c r="L181" i="1"/>
  <c r="L182" i="1"/>
  <c r="L255" i="1"/>
  <c r="I303" i="1"/>
  <c r="L303" i="1"/>
  <c r="L334" i="1"/>
  <c r="L341" i="1"/>
  <c r="I191" i="1"/>
  <c r="Q191" i="1" s="1"/>
  <c r="L191" i="1"/>
  <c r="L286" i="1"/>
  <c r="L8" i="1"/>
  <c r="I83" i="1"/>
  <c r="L83" i="1"/>
  <c r="L134" i="1"/>
  <c r="L158" i="1"/>
  <c r="L208" i="1"/>
  <c r="L284" i="1"/>
  <c r="L310" i="1"/>
  <c r="L336" i="1"/>
  <c r="I7" i="1"/>
  <c r="L7" i="1"/>
  <c r="L52" i="1"/>
  <c r="I196" i="1"/>
  <c r="L196" i="1"/>
  <c r="I220" i="1"/>
  <c r="L220" i="1"/>
  <c r="L179" i="1"/>
  <c r="I326" i="1"/>
  <c r="L326" i="1"/>
  <c r="L206" i="1"/>
  <c r="L116" i="1"/>
  <c r="L99" i="1"/>
  <c r="I2" i="1"/>
  <c r="Q2" i="1" s="1"/>
  <c r="I78" i="1"/>
  <c r="Q78" i="1" s="1"/>
  <c r="L78" i="1"/>
  <c r="I59" i="1"/>
  <c r="L59" i="1"/>
  <c r="L84" i="1"/>
  <c r="L15" i="1"/>
  <c r="L67" i="1"/>
  <c r="I6" i="1"/>
  <c r="L6" i="1"/>
  <c r="L58" i="1"/>
  <c r="L68" i="1"/>
  <c r="I120" i="1"/>
  <c r="L120" i="1"/>
  <c r="L141" i="1"/>
  <c r="L164" i="1"/>
  <c r="L261" i="1"/>
  <c r="L77" i="1"/>
  <c r="I154" i="1"/>
  <c r="Q154" i="1" s="1"/>
  <c r="L154" i="1"/>
  <c r="I203" i="1"/>
  <c r="L203" i="1"/>
  <c r="L178" i="1"/>
  <c r="I204" i="1"/>
  <c r="Q204" i="1" s="1"/>
  <c r="L204" i="1"/>
  <c r="L300" i="1"/>
  <c r="L130" i="1"/>
  <c r="L155" i="1"/>
  <c r="L273" i="1"/>
  <c r="L185" i="1"/>
  <c r="I233" i="1"/>
  <c r="L233" i="1"/>
  <c r="L257" i="1"/>
  <c r="L279" i="1"/>
  <c r="L311" i="1"/>
  <c r="L333" i="1"/>
  <c r="L195" i="1"/>
  <c r="L289" i="1"/>
  <c r="I317" i="1"/>
  <c r="L317" i="1"/>
  <c r="L11" i="1"/>
  <c r="L35" i="1"/>
  <c r="L62" i="1"/>
  <c r="L87" i="1"/>
  <c r="I161" i="1"/>
  <c r="L161" i="1"/>
  <c r="L186" i="1"/>
  <c r="L258" i="1"/>
  <c r="L313" i="1"/>
  <c r="I82" i="1"/>
  <c r="Q82" i="1" s="1"/>
  <c r="L82" i="1"/>
  <c r="L107" i="1"/>
  <c r="I24" i="1"/>
  <c r="L24" i="1"/>
  <c r="I344" i="1"/>
  <c r="L344" i="1"/>
  <c r="L4" i="1"/>
  <c r="L228" i="1"/>
  <c r="I354" i="1"/>
  <c r="Q354" i="1" s="1"/>
  <c r="L354" i="1"/>
  <c r="I280" i="1"/>
  <c r="L280" i="1"/>
  <c r="L43" i="1"/>
  <c r="L69" i="1"/>
  <c r="L95" i="1"/>
  <c r="L108" i="1"/>
  <c r="L10" i="1"/>
  <c r="L61" i="1"/>
  <c r="L114" i="1"/>
  <c r="L34" i="1"/>
  <c r="L86" i="1"/>
  <c r="I44" i="1"/>
  <c r="Q44" i="1" s="1"/>
  <c r="L44" i="1"/>
  <c r="L70" i="1"/>
  <c r="I144" i="1"/>
  <c r="L144" i="1"/>
  <c r="I168" i="1"/>
  <c r="L168" i="1"/>
  <c r="L242" i="1"/>
  <c r="L264" i="1"/>
  <c r="I110" i="1"/>
  <c r="L110" i="1"/>
  <c r="I180" i="1"/>
  <c r="L180" i="1"/>
  <c r="I229" i="1"/>
  <c r="L229" i="1"/>
  <c r="L207" i="1"/>
  <c r="L254" i="1"/>
  <c r="L276" i="1"/>
  <c r="I139" i="1"/>
  <c r="Q139" i="1" s="1"/>
  <c r="L139" i="1"/>
  <c r="L163" i="1"/>
  <c r="I238" i="1"/>
  <c r="L238" i="1"/>
  <c r="L283" i="1"/>
  <c r="L140" i="1"/>
  <c r="L239" i="1"/>
  <c r="L347" i="1"/>
  <c r="L330" i="1"/>
  <c r="L269" i="1"/>
  <c r="I292" i="1"/>
  <c r="L292" i="1"/>
  <c r="L66" i="1"/>
  <c r="L189" i="1"/>
  <c r="L214" i="1"/>
  <c r="L318" i="1"/>
  <c r="I40" i="1"/>
  <c r="L40" i="1"/>
  <c r="I169" i="1"/>
  <c r="L169" i="1"/>
  <c r="I217" i="1"/>
  <c r="L217" i="1"/>
  <c r="I13" i="1"/>
  <c r="L13" i="1"/>
  <c r="I89" i="1"/>
  <c r="L89" i="1"/>
  <c r="I64" i="1"/>
  <c r="L64" i="1"/>
  <c r="L22" i="1"/>
  <c r="L48" i="1"/>
  <c r="L171" i="1"/>
  <c r="I219" i="1"/>
  <c r="Q219" i="1" s="1"/>
  <c r="L219" i="1"/>
  <c r="L245" i="1"/>
  <c r="I267" i="1"/>
  <c r="L267" i="1"/>
  <c r="L9" i="1"/>
  <c r="L33" i="1"/>
  <c r="L60" i="1"/>
  <c r="L113" i="1"/>
  <c r="I183" i="1"/>
  <c r="L183" i="1"/>
  <c r="I209" i="1"/>
  <c r="L209" i="1"/>
  <c r="I256" i="1"/>
  <c r="L256" i="1"/>
  <c r="I135" i="1"/>
  <c r="L135" i="1"/>
  <c r="I184" i="1"/>
  <c r="L184" i="1"/>
  <c r="I278" i="1"/>
  <c r="L278" i="1"/>
  <c r="I142" i="1"/>
  <c r="L142" i="1"/>
  <c r="L216" i="1"/>
  <c r="L290" i="1"/>
  <c r="L319" i="1"/>
  <c r="L350" i="1"/>
  <c r="I360" i="1"/>
  <c r="L360" i="1"/>
  <c r="L128" i="1"/>
  <c r="L121" i="1"/>
  <c r="I167" i="1"/>
  <c r="L167" i="1"/>
  <c r="L192" i="1"/>
  <c r="L342" i="1"/>
  <c r="L293" i="1"/>
  <c r="I321" i="1"/>
  <c r="Q321" i="1" s="1"/>
  <c r="L321" i="1"/>
  <c r="L346" i="1"/>
  <c r="I50" i="1"/>
  <c r="L50" i="1"/>
  <c r="I103" i="1"/>
  <c r="L103" i="1"/>
  <c r="I104" i="1"/>
  <c r="L104" i="1"/>
  <c r="I38" i="1"/>
  <c r="L38" i="1"/>
  <c r="L21" i="1"/>
  <c r="L46" i="1"/>
  <c r="I71" i="1"/>
  <c r="L71" i="1"/>
  <c r="I98" i="1"/>
  <c r="L98" i="1"/>
  <c r="I5" i="1"/>
  <c r="L5" i="1"/>
  <c r="L17" i="1"/>
  <c r="L42" i="1"/>
  <c r="L94" i="1"/>
  <c r="I92" i="1"/>
  <c r="Q92" i="1" s="1"/>
  <c r="L92" i="1"/>
  <c r="I119" i="1"/>
  <c r="Q119" i="1" s="1"/>
  <c r="L119" i="1"/>
  <c r="I25" i="1"/>
  <c r="Q25" i="1" s="1"/>
  <c r="L25" i="1"/>
  <c r="I105" i="1"/>
  <c r="Q105" i="1" s="1"/>
  <c r="L105" i="1"/>
  <c r="I174" i="1"/>
  <c r="Q174" i="1" s="1"/>
  <c r="L174" i="1"/>
  <c r="I247" i="1"/>
  <c r="Q247" i="1" s="1"/>
  <c r="L247" i="1"/>
  <c r="L88" i="1"/>
  <c r="I212" i="1"/>
  <c r="L212" i="1"/>
  <c r="I236" i="1"/>
  <c r="L236" i="1"/>
  <c r="I187" i="1"/>
  <c r="L187" i="1"/>
  <c r="I237" i="1"/>
  <c r="L237" i="1"/>
  <c r="L188" i="1"/>
  <c r="L213" i="1"/>
  <c r="I282" i="1"/>
  <c r="L282" i="1"/>
  <c r="L309" i="1"/>
  <c r="I288" i="1"/>
  <c r="Q288" i="1" s="1"/>
  <c r="L288" i="1"/>
  <c r="L123" i="1"/>
  <c r="L147" i="1"/>
  <c r="L270" i="1"/>
  <c r="L294" i="1"/>
  <c r="I329" i="1"/>
  <c r="Q329" i="1" s="1"/>
  <c r="L329" i="1"/>
  <c r="L353" i="1"/>
  <c r="L335" i="1"/>
  <c r="I338" i="1"/>
  <c r="Q338" i="1" s="1"/>
  <c r="L338" i="1"/>
  <c r="L131" i="1"/>
  <c r="I274" i="1"/>
  <c r="L274" i="1"/>
  <c r="L301" i="1"/>
  <c r="I327" i="1"/>
  <c r="Q327" i="1" s="1"/>
  <c r="L327" i="1"/>
  <c r="L20" i="1"/>
  <c r="L45" i="1"/>
  <c r="L97" i="1"/>
  <c r="I74" i="1"/>
  <c r="L74" i="1"/>
  <c r="I30" i="1"/>
  <c r="L30" i="1"/>
  <c r="I12" i="1"/>
  <c r="L12" i="1"/>
  <c r="I18" i="1"/>
  <c r="L18" i="1"/>
  <c r="I202" i="1"/>
  <c r="L202" i="1"/>
  <c r="I298" i="1"/>
  <c r="L298" i="1"/>
  <c r="L91" i="1"/>
  <c r="L118" i="1"/>
  <c r="I240" i="1"/>
  <c r="L240" i="1"/>
  <c r="I165" i="1"/>
  <c r="L165" i="1"/>
  <c r="L190" i="1"/>
  <c r="L285" i="1"/>
  <c r="I291" i="1"/>
  <c r="L291" i="1"/>
  <c r="L125" i="1"/>
  <c r="I299" i="1"/>
  <c r="Q299" i="1" s="1"/>
  <c r="L299" i="1"/>
  <c r="I320" i="1"/>
  <c r="Q320" i="1" s="1"/>
  <c r="L320" i="1"/>
  <c r="I304" i="1"/>
  <c r="Q304" i="1" s="1"/>
  <c r="L304" i="1"/>
  <c r="L331" i="1"/>
  <c r="L101" i="1"/>
  <c r="L150" i="1"/>
  <c r="I173" i="1"/>
  <c r="L173" i="1"/>
  <c r="L198" i="1"/>
  <c r="I222" i="1"/>
  <c r="Q222" i="1" s="1"/>
  <c r="L222" i="1"/>
  <c r="L349" i="1"/>
  <c r="L275" i="1"/>
  <c r="L328" i="1"/>
  <c r="I55" i="1"/>
  <c r="Q55" i="1" s="1"/>
  <c r="I79" i="1"/>
  <c r="Q79" i="1" s="1"/>
  <c r="I231" i="1"/>
  <c r="Q231" i="1" s="1"/>
  <c r="I234" i="1"/>
  <c r="B2" i="12"/>
  <c r="A3" i="12"/>
  <c r="C2" i="12"/>
  <c r="D2" i="12"/>
  <c r="I361" i="1"/>
  <c r="Q361" i="1" s="1"/>
  <c r="I312" i="1"/>
  <c r="Q312" i="1" s="1"/>
  <c r="I241" i="1"/>
  <c r="I263" i="1"/>
  <c r="Q263" i="1" s="1"/>
  <c r="I339" i="1"/>
  <c r="Q339" i="1" s="1"/>
  <c r="I42" i="1"/>
  <c r="Q42" i="1" s="1"/>
  <c r="I94" i="1"/>
  <c r="Q94" i="1" s="1"/>
  <c r="I51" i="1"/>
  <c r="I223" i="1"/>
  <c r="I166" i="1"/>
  <c r="I93" i="1"/>
  <c r="I259" i="1"/>
  <c r="I340" i="1"/>
  <c r="I96" i="1"/>
  <c r="Q96" i="1" s="1"/>
  <c r="I29" i="1"/>
  <c r="Q29" i="1" s="1"/>
  <c r="I129" i="1"/>
  <c r="Q129" i="1" s="1"/>
  <c r="I226" i="1"/>
  <c r="Q226" i="1" s="1"/>
  <c r="I251" i="1"/>
  <c r="Q251" i="1" s="1"/>
  <c r="I272" i="1"/>
  <c r="Q272" i="1" s="1"/>
  <c r="I172" i="1"/>
  <c r="Q172" i="1" s="1"/>
  <c r="I197" i="1"/>
  <c r="Q197" i="1" s="1"/>
  <c r="I221" i="1"/>
  <c r="Q221" i="1" s="1"/>
  <c r="I246" i="1"/>
  <c r="Q246" i="1" s="1"/>
  <c r="I149" i="1"/>
  <c r="Q149" i="1" s="1"/>
  <c r="I17" i="1"/>
  <c r="Q17" i="1" s="1"/>
  <c r="I16" i="1"/>
  <c r="I137" i="1"/>
  <c r="Q137" i="1" s="1"/>
  <c r="I41" i="1"/>
  <c r="I253" i="1"/>
  <c r="I31" i="1"/>
  <c r="Q31" i="1" s="1"/>
  <c r="I56" i="1"/>
  <c r="Q56" i="1" s="1"/>
  <c r="I80" i="1"/>
  <c r="Q80" i="1" s="1"/>
  <c r="I28" i="1"/>
  <c r="Q28" i="1" s="1"/>
  <c r="I19" i="1"/>
  <c r="Q19" i="1" s="1"/>
  <c r="I215" i="1"/>
  <c r="Q215" i="1" s="1"/>
  <c r="I262" i="1"/>
  <c r="I190" i="1"/>
  <c r="Q190" i="1" s="1"/>
  <c r="I285" i="1"/>
  <c r="Q285" i="1" s="1"/>
  <c r="I152" i="1"/>
  <c r="I224" i="1"/>
  <c r="I176" i="1"/>
  <c r="I250" i="1"/>
  <c r="I63" i="1"/>
  <c r="Q63" i="1" s="1"/>
  <c r="I143" i="1"/>
  <c r="I188" i="1"/>
  <c r="Q188" i="1" s="1"/>
  <c r="I213" i="1"/>
  <c r="Q213" i="1" s="1"/>
  <c r="I309" i="1"/>
  <c r="Q309" i="1" s="1"/>
  <c r="I132" i="1"/>
  <c r="Q132" i="1" s="1"/>
  <c r="I230" i="1"/>
  <c r="Q230" i="1" s="1"/>
  <c r="I254" i="1"/>
  <c r="Q254" i="1" s="1"/>
  <c r="I294" i="1"/>
  <c r="Q294" i="1" s="1"/>
  <c r="I100" i="1"/>
  <c r="Q100" i="1" s="1"/>
  <c r="I81" i="1"/>
  <c r="Q81" i="1" s="1"/>
  <c r="I302" i="1"/>
  <c r="Q302" i="1" s="1"/>
  <c r="I57" i="1"/>
  <c r="Q57" i="1" s="1"/>
  <c r="I111" i="1"/>
  <c r="Q111" i="1" s="1"/>
  <c r="I84" i="1"/>
  <c r="Q84" i="1" s="1"/>
  <c r="I170" i="1"/>
  <c r="I218" i="1"/>
  <c r="I266" i="1"/>
  <c r="I353" i="1"/>
  <c r="Q353" i="1" s="1"/>
  <c r="I335" i="1"/>
  <c r="Q335" i="1" s="1"/>
  <c r="I32" i="1"/>
  <c r="I112" i="1"/>
  <c r="I27" i="1"/>
  <c r="Q27" i="1" s="1"/>
  <c r="I159" i="1"/>
  <c r="Q159" i="1" s="1"/>
  <c r="I88" i="1"/>
  <c r="Q88" i="1" s="1"/>
  <c r="I123" i="1"/>
  <c r="Q123" i="1" s="1"/>
  <c r="I147" i="1"/>
  <c r="Q147" i="1" s="1"/>
  <c r="I270" i="1"/>
  <c r="Q270" i="1" s="1"/>
  <c r="I131" i="1"/>
  <c r="Q131" i="1" s="1"/>
  <c r="I301" i="1"/>
  <c r="Q301" i="1" s="1"/>
  <c r="I20" i="1"/>
  <c r="Q20" i="1" s="1"/>
  <c r="I45" i="1"/>
  <c r="Q45" i="1" s="1"/>
  <c r="I97" i="1"/>
  <c r="I232" i="1"/>
  <c r="Q232" i="1" s="1"/>
  <c r="I148" i="1"/>
  <c r="Q148" i="1" s="1"/>
  <c r="I268" i="1"/>
  <c r="Q268" i="1" s="1"/>
  <c r="I324" i="1"/>
  <c r="Q324" i="1" s="1"/>
  <c r="I306" i="1"/>
  <c r="Q306" i="1" s="1"/>
  <c r="I332" i="1"/>
  <c r="Q332" i="1" s="1"/>
  <c r="I356" i="1"/>
  <c r="Q356" i="1" s="1"/>
  <c r="I337" i="1"/>
  <c r="Q337" i="1" s="1"/>
  <c r="I348" i="1"/>
  <c r="Q348" i="1" s="1"/>
  <c r="I358" i="1"/>
  <c r="Q358" i="1" s="1"/>
  <c r="I133" i="1"/>
  <c r="Q133" i="1" s="1"/>
  <c r="I73" i="1"/>
  <c r="Q73" i="1" s="1"/>
  <c r="I141" i="1"/>
  <c r="Q141" i="1" s="1"/>
  <c r="I261" i="1"/>
  <c r="Q261" i="1" s="1"/>
  <c r="I185" i="1"/>
  <c r="Q185" i="1" s="1"/>
  <c r="I257" i="1"/>
  <c r="Q257" i="1" s="1"/>
  <c r="I279" i="1"/>
  <c r="Q279" i="1" s="1"/>
  <c r="I164" i="1"/>
  <c r="Q164" i="1" s="1"/>
  <c r="I157" i="1"/>
  <c r="Q157" i="1" s="1"/>
  <c r="I207" i="1"/>
  <c r="Q207" i="1" s="1"/>
  <c r="I136" i="1"/>
  <c r="Q136" i="1" s="1"/>
  <c r="I210" i="1"/>
  <c r="Q210" i="1" s="1"/>
  <c r="I307" i="1"/>
  <c r="Q307" i="1" s="1"/>
  <c r="I343" i="1"/>
  <c r="Q343" i="1" s="1"/>
  <c r="I325" i="1"/>
  <c r="Q325" i="1" s="1"/>
  <c r="I357" i="1"/>
  <c r="Q357" i="1" s="1"/>
  <c r="I128" i="1"/>
  <c r="Q128" i="1" s="1"/>
  <c r="I39" i="1"/>
  <c r="Q39" i="1" s="1"/>
  <c r="I91" i="1"/>
  <c r="Q91" i="1" s="1"/>
  <c r="I118" i="1"/>
  <c r="Q118" i="1" s="1"/>
  <c r="I125" i="1"/>
  <c r="Q125" i="1" s="1"/>
  <c r="I316" i="1"/>
  <c r="Q316" i="1" s="1"/>
  <c r="I331" i="1"/>
  <c r="Q331" i="1" s="1"/>
  <c r="I101" i="1"/>
  <c r="Q101" i="1" s="1"/>
  <c r="I150" i="1"/>
  <c r="Q150" i="1" s="1"/>
  <c r="I198" i="1"/>
  <c r="Q198" i="1" s="1"/>
  <c r="I349" i="1"/>
  <c r="Q349" i="1" s="1"/>
  <c r="I275" i="1"/>
  <c r="Q275" i="1" s="1"/>
  <c r="I328" i="1"/>
  <c r="I271" i="1"/>
  <c r="Q271" i="1" s="1"/>
  <c r="I322" i="1"/>
  <c r="Q322" i="1" s="1"/>
  <c r="I359" i="1"/>
  <c r="Q359" i="1" s="1"/>
  <c r="I345" i="1"/>
  <c r="Q345" i="1" s="1"/>
  <c r="I211" i="1"/>
  <c r="I153" i="1"/>
  <c r="Q153" i="1" s="1"/>
  <c r="I177" i="1"/>
  <c r="Q177" i="1" s="1"/>
  <c r="I351" i="1"/>
  <c r="I277" i="1"/>
  <c r="Q277" i="1" s="1"/>
  <c r="I355" i="1"/>
  <c r="I323" i="1"/>
  <c r="Q323" i="1" s="1"/>
  <c r="I4" i="1"/>
  <c r="Q4" i="1" s="1"/>
  <c r="I156" i="1"/>
  <c r="Q156" i="1" s="1"/>
  <c r="I206" i="1"/>
  <c r="Q206" i="1" s="1"/>
  <c r="I228" i="1"/>
  <c r="Q228" i="1" s="1"/>
  <c r="I308" i="1"/>
  <c r="Q308" i="1" s="1"/>
  <c r="I194" i="1"/>
  <c r="Q194" i="1" s="1"/>
  <c r="I124" i="1"/>
  <c r="Q124" i="1" s="1"/>
  <c r="I205" i="1"/>
  <c r="Q205" i="1" s="1"/>
  <c r="I36" i="1"/>
  <c r="Q36" i="1" s="1"/>
  <c r="I3" i="1"/>
  <c r="Q3" i="1" s="1"/>
  <c r="I109" i="1"/>
  <c r="Q109" i="1" s="1"/>
  <c r="I14" i="1"/>
  <c r="Q14" i="1" s="1"/>
  <c r="I90" i="1"/>
  <c r="Q90" i="1" s="1"/>
  <c r="I117" i="1"/>
  <c r="Q117" i="1" s="1"/>
  <c r="I138" i="1"/>
  <c r="Q138" i="1" s="1"/>
  <c r="I162" i="1"/>
  <c r="Q162" i="1" s="1"/>
  <c r="I281" i="1"/>
  <c r="Q281" i="1" s="1"/>
  <c r="I23" i="1"/>
  <c r="Q23" i="1" s="1"/>
  <c r="I49" i="1"/>
  <c r="Q49" i="1" s="1"/>
  <c r="I75" i="1"/>
  <c r="Q75" i="1" s="1"/>
  <c r="I102" i="1"/>
  <c r="Q102" i="1" s="1"/>
  <c r="I175" i="1"/>
  <c r="Q175" i="1" s="1"/>
  <c r="I127" i="1"/>
  <c r="Q127" i="1" s="1"/>
  <c r="I200" i="1"/>
  <c r="Q200" i="1" s="1"/>
  <c r="I249" i="1"/>
  <c r="Q249" i="1" s="1"/>
  <c r="I182" i="1"/>
  <c r="Q182" i="1" s="1"/>
  <c r="I255" i="1"/>
  <c r="Q255" i="1" s="1"/>
  <c r="I334" i="1"/>
  <c r="Q334" i="1" s="1"/>
  <c r="I341" i="1"/>
  <c r="Q341" i="1" s="1"/>
  <c r="I286" i="1"/>
  <c r="Q286" i="1" s="1"/>
  <c r="I8" i="1"/>
  <c r="Q8" i="1" s="1"/>
  <c r="I134" i="1"/>
  <c r="Q134" i="1" s="1"/>
  <c r="I158" i="1"/>
  <c r="Q158" i="1" s="1"/>
  <c r="I208" i="1"/>
  <c r="Q208" i="1" s="1"/>
  <c r="I284" i="1"/>
  <c r="Q284" i="1" s="1"/>
  <c r="I310" i="1"/>
  <c r="Q310" i="1" s="1"/>
  <c r="I336" i="1"/>
  <c r="Q336" i="1" s="1"/>
  <c r="I85" i="1"/>
  <c r="Q85" i="1" s="1"/>
  <c r="I76" i="1"/>
  <c r="Q76" i="1" s="1"/>
  <c r="I227" i="1"/>
  <c r="Q227" i="1" s="1"/>
  <c r="I179" i="1"/>
  <c r="Q179" i="1" s="1"/>
  <c r="I72" i="1"/>
  <c r="Q72" i="1" s="1"/>
  <c r="I67" i="1"/>
  <c r="Q67" i="1" s="1"/>
  <c r="I58" i="1"/>
  <c r="Q58" i="1" s="1"/>
  <c r="I68" i="1"/>
  <c r="Q68" i="1" s="1"/>
  <c r="I77" i="1"/>
  <c r="Q77" i="1" s="1"/>
  <c r="I178" i="1"/>
  <c r="Q178" i="1" s="1"/>
  <c r="I300" i="1"/>
  <c r="Q300" i="1" s="1"/>
  <c r="I130" i="1"/>
  <c r="Q130" i="1" s="1"/>
  <c r="I155" i="1"/>
  <c r="Q155" i="1" s="1"/>
  <c r="I273" i="1"/>
  <c r="Q273" i="1" s="1"/>
  <c r="I311" i="1"/>
  <c r="Q311" i="1" s="1"/>
  <c r="I333" i="1"/>
  <c r="Q333" i="1" s="1"/>
  <c r="I195" i="1"/>
  <c r="Q195" i="1" s="1"/>
  <c r="I244" i="1"/>
  <c r="Q244" i="1" s="1"/>
  <c r="I289" i="1"/>
  <c r="Q289" i="1" s="1"/>
  <c r="I11" i="1"/>
  <c r="Q11" i="1" s="1"/>
  <c r="I35" i="1"/>
  <c r="Q35" i="1" s="1"/>
  <c r="I62" i="1"/>
  <c r="Q62" i="1" s="1"/>
  <c r="I87" i="1"/>
  <c r="Q87" i="1" s="1"/>
  <c r="I186" i="1"/>
  <c r="Q186" i="1" s="1"/>
  <c r="I258" i="1"/>
  <c r="Q258" i="1" s="1"/>
  <c r="I313" i="1"/>
  <c r="Q313" i="1" s="1"/>
  <c r="I122" i="1"/>
  <c r="Q122" i="1" s="1"/>
  <c r="I146" i="1"/>
  <c r="Q146" i="1" s="1"/>
  <c r="I265" i="1"/>
  <c r="Q265" i="1" s="1"/>
  <c r="I107" i="1"/>
  <c r="Q107" i="1" s="1"/>
  <c r="I252" i="1"/>
  <c r="Q252" i="1" s="1"/>
  <c r="I116" i="1"/>
  <c r="Q116" i="1" s="1"/>
  <c r="I99" i="1"/>
  <c r="Q99" i="1" s="1"/>
  <c r="I15" i="1"/>
  <c r="Q15" i="1" s="1"/>
  <c r="I115" i="1"/>
  <c r="Q115" i="1" s="1"/>
  <c r="I43" i="1"/>
  <c r="Q43" i="1" s="1"/>
  <c r="I69" i="1"/>
  <c r="Q69" i="1" s="1"/>
  <c r="I95" i="1"/>
  <c r="Q95" i="1" s="1"/>
  <c r="I53" i="1"/>
  <c r="I108" i="1"/>
  <c r="Q108" i="1" s="1"/>
  <c r="I10" i="1"/>
  <c r="Q10" i="1" s="1"/>
  <c r="I61" i="1"/>
  <c r="Q61" i="1" s="1"/>
  <c r="I114" i="1"/>
  <c r="Q114" i="1" s="1"/>
  <c r="I34" i="1"/>
  <c r="Q34" i="1" s="1"/>
  <c r="I86" i="1"/>
  <c r="Q86" i="1" s="1"/>
  <c r="I70" i="1"/>
  <c r="Q70" i="1" s="1"/>
  <c r="I242" i="1"/>
  <c r="Q242" i="1" s="1"/>
  <c r="I264" i="1"/>
  <c r="Q264" i="1" s="1"/>
  <c r="I276" i="1"/>
  <c r="Q276" i="1" s="1"/>
  <c r="I163" i="1"/>
  <c r="Q163" i="1" s="1"/>
  <c r="I283" i="1"/>
  <c r="Q283" i="1" s="1"/>
  <c r="I140" i="1"/>
  <c r="Q140" i="1" s="1"/>
  <c r="I239" i="1"/>
  <c r="Q239" i="1" s="1"/>
  <c r="I347" i="1"/>
  <c r="Q347" i="1" s="1"/>
  <c r="I330" i="1"/>
  <c r="Q330" i="1" s="1"/>
  <c r="I269" i="1"/>
  <c r="Q269" i="1" s="1"/>
  <c r="I66" i="1"/>
  <c r="Q66" i="1" s="1"/>
  <c r="I189" i="1"/>
  <c r="Q189" i="1" s="1"/>
  <c r="I214" i="1"/>
  <c r="Q214" i="1" s="1"/>
  <c r="I318" i="1"/>
  <c r="Q318" i="1" s="1"/>
  <c r="I243" i="1"/>
  <c r="Q243" i="1" s="1"/>
  <c r="I52" i="1"/>
  <c r="Q52" i="1" s="1"/>
  <c r="I21" i="1"/>
  <c r="Q21" i="1" s="1"/>
  <c r="I46" i="1"/>
  <c r="Q46" i="1" s="1"/>
  <c r="I22" i="1"/>
  <c r="Q22" i="1" s="1"/>
  <c r="I48" i="1"/>
  <c r="Q48" i="1" s="1"/>
  <c r="I171" i="1"/>
  <c r="Q171" i="1" s="1"/>
  <c r="I245" i="1"/>
  <c r="Q245" i="1" s="1"/>
  <c r="I9" i="1"/>
  <c r="Q9" i="1" s="1"/>
  <c r="I33" i="1"/>
  <c r="Q33" i="1" s="1"/>
  <c r="I60" i="1"/>
  <c r="Q60" i="1" s="1"/>
  <c r="I113" i="1"/>
  <c r="Q113" i="1" s="1"/>
  <c r="I216" i="1"/>
  <c r="Q216" i="1" s="1"/>
  <c r="I290" i="1"/>
  <c r="Q290" i="1" s="1"/>
  <c r="I319" i="1"/>
  <c r="Q319" i="1" s="1"/>
  <c r="I350" i="1"/>
  <c r="Q350" i="1" s="1"/>
  <c r="I297" i="1"/>
  <c r="Q297" i="1" s="1"/>
  <c r="I121" i="1"/>
  <c r="Q121" i="1" s="1"/>
  <c r="I192" i="1"/>
  <c r="Q192" i="1" s="1"/>
  <c r="I342" i="1"/>
  <c r="Q342" i="1" s="1"/>
  <c r="I293" i="1"/>
  <c r="Q293" i="1" s="1"/>
  <c r="I346" i="1"/>
  <c r="Q346" i="1" s="1"/>
  <c r="A18" i="9"/>
  <c r="A9" i="9"/>
  <c r="A6" i="9"/>
  <c r="A24" i="9"/>
  <c r="M211" i="1" l="1"/>
  <c r="Q211" i="1"/>
  <c r="M32" i="1"/>
  <c r="Q32" i="1"/>
  <c r="M152" i="1"/>
  <c r="Q152" i="1"/>
  <c r="Q240" i="1"/>
  <c r="Q18" i="1"/>
  <c r="Q212" i="1"/>
  <c r="Q50" i="1"/>
  <c r="Q167" i="1"/>
  <c r="Q135" i="1"/>
  <c r="Q13" i="1"/>
  <c r="Q110" i="1"/>
  <c r="Q6" i="1"/>
  <c r="Q220" i="1"/>
  <c r="Q248" i="1"/>
  <c r="Q260" i="1"/>
  <c r="Q352" i="1"/>
  <c r="Q287" i="1"/>
  <c r="Q47" i="1"/>
  <c r="M253" i="1"/>
  <c r="Q253" i="1"/>
  <c r="M340" i="1"/>
  <c r="Q340" i="1"/>
  <c r="Q291" i="1"/>
  <c r="Q12" i="1"/>
  <c r="Q237" i="1"/>
  <c r="Q5" i="1"/>
  <c r="Q38" i="1"/>
  <c r="Q142" i="1"/>
  <c r="Q256" i="1"/>
  <c r="Q217" i="1"/>
  <c r="Q344" i="1"/>
  <c r="Q317" i="1"/>
  <c r="Q233" i="1"/>
  <c r="Q196" i="1"/>
  <c r="Q199" i="1"/>
  <c r="Q54" i="1"/>
  <c r="Q106" i="1"/>
  <c r="Q296" i="1"/>
  <c r="M355" i="1"/>
  <c r="Q355" i="1"/>
  <c r="M266" i="1"/>
  <c r="Q266" i="1"/>
  <c r="M143" i="1"/>
  <c r="Q143" i="1"/>
  <c r="M262" i="1"/>
  <c r="Q262" i="1"/>
  <c r="M41" i="1"/>
  <c r="Q41" i="1"/>
  <c r="M259" i="1"/>
  <c r="Q259" i="1"/>
  <c r="M234" i="1"/>
  <c r="Q234" i="1"/>
  <c r="Q97" i="1"/>
  <c r="M218" i="1"/>
  <c r="Q218" i="1"/>
  <c r="M93" i="1"/>
  <c r="Q93" i="1"/>
  <c r="M241" i="1"/>
  <c r="Q241" i="1"/>
  <c r="Q298" i="1"/>
  <c r="Q30" i="1"/>
  <c r="Q187" i="1"/>
  <c r="Q98" i="1"/>
  <c r="Q104" i="1"/>
  <c r="Q360" i="1"/>
  <c r="Q278" i="1"/>
  <c r="Q209" i="1"/>
  <c r="Q267" i="1"/>
  <c r="Q64" i="1"/>
  <c r="Q169" i="1"/>
  <c r="Q292" i="1"/>
  <c r="Q238" i="1"/>
  <c r="Q229" i="1"/>
  <c r="Q168" i="1"/>
  <c r="Q280" i="1"/>
  <c r="Q24" i="1"/>
  <c r="Q161" i="1"/>
  <c r="Q203" i="1"/>
  <c r="Q120" i="1"/>
  <c r="Q65" i="1"/>
  <c r="Q225" i="1"/>
  <c r="Q26" i="1"/>
  <c r="M351" i="1"/>
  <c r="Q351" i="1"/>
  <c r="Q328" i="1"/>
  <c r="M170" i="1"/>
  <c r="Q170" i="1"/>
  <c r="M250" i="1"/>
  <c r="Q250" i="1"/>
  <c r="M16" i="1"/>
  <c r="Q16" i="1"/>
  <c r="M166" i="1"/>
  <c r="Q166" i="1"/>
  <c r="Q59" i="1"/>
  <c r="Q326" i="1"/>
  <c r="Q7" i="1"/>
  <c r="Q83" i="1"/>
  <c r="Q303" i="1"/>
  <c r="Q151" i="1"/>
  <c r="Q193" i="1"/>
  <c r="M53" i="1"/>
  <c r="Q53" i="1"/>
  <c r="M176" i="1"/>
  <c r="Q176" i="1"/>
  <c r="M223" i="1"/>
  <c r="Q223" i="1"/>
  <c r="Q173" i="1"/>
  <c r="Q165" i="1"/>
  <c r="Q202" i="1"/>
  <c r="Q74" i="1"/>
  <c r="Q274" i="1"/>
  <c r="Q282" i="1"/>
  <c r="Q236" i="1"/>
  <c r="Q71" i="1"/>
  <c r="Q103" i="1"/>
  <c r="Q184" i="1"/>
  <c r="Q183" i="1"/>
  <c r="Q89" i="1"/>
  <c r="Q40" i="1"/>
  <c r="Q180" i="1"/>
  <c r="Q144" i="1"/>
  <c r="Q235" i="1"/>
  <c r="Q37" i="1"/>
  <c r="Q201" i="1"/>
  <c r="Q160" i="1"/>
  <c r="M112" i="1"/>
  <c r="Q112" i="1"/>
  <c r="M224" i="1"/>
  <c r="Q224" i="1"/>
  <c r="M51" i="1"/>
  <c r="Q51" i="1"/>
  <c r="M137" i="1"/>
  <c r="M196" i="1"/>
  <c r="M199" i="1"/>
  <c r="M133" i="1"/>
  <c r="M302" i="1"/>
  <c r="M54" i="1"/>
  <c r="M106" i="1"/>
  <c r="M296" i="1"/>
  <c r="M260" i="1"/>
  <c r="M352" i="1"/>
  <c r="M287" i="1"/>
  <c r="M219" i="1"/>
  <c r="M139" i="1"/>
  <c r="M82" i="1"/>
  <c r="M78" i="1"/>
  <c r="M235" i="1"/>
  <c r="M37" i="1"/>
  <c r="M201" i="1"/>
  <c r="M160" i="1"/>
  <c r="M314" i="1"/>
  <c r="M298" i="1"/>
  <c r="M30" i="1"/>
  <c r="M187" i="1"/>
  <c r="M98" i="1"/>
  <c r="M104" i="1"/>
  <c r="M360" i="1"/>
  <c r="M278" i="1"/>
  <c r="M209" i="1"/>
  <c r="M267" i="1"/>
  <c r="M64" i="1"/>
  <c r="M169" i="1"/>
  <c r="M292" i="1"/>
  <c r="M238" i="1"/>
  <c r="M229" i="1"/>
  <c r="M168" i="1"/>
  <c r="M280" i="1"/>
  <c r="M24" i="1"/>
  <c r="M338" i="1"/>
  <c r="M25" i="1"/>
  <c r="M44" i="1"/>
  <c r="M204" i="1"/>
  <c r="M2" i="1"/>
  <c r="M220" i="1"/>
  <c r="M248" i="1"/>
  <c r="M173" i="1"/>
  <c r="M165" i="1"/>
  <c r="M202" i="1"/>
  <c r="M74" i="1"/>
  <c r="M274" i="1"/>
  <c r="M282" i="1"/>
  <c r="M236" i="1"/>
  <c r="M71" i="1"/>
  <c r="M103" i="1"/>
  <c r="M184" i="1"/>
  <c r="M183" i="1"/>
  <c r="M89" i="1"/>
  <c r="M40" i="1"/>
  <c r="M180" i="1"/>
  <c r="M144" i="1"/>
  <c r="M354" i="1"/>
  <c r="M154" i="1"/>
  <c r="M326" i="1"/>
  <c r="M7" i="1"/>
  <c r="M83" i="1"/>
  <c r="M303" i="1"/>
  <c r="M151" i="1"/>
  <c r="M193" i="1"/>
  <c r="M275" i="1"/>
  <c r="M101" i="1"/>
  <c r="M125" i="1"/>
  <c r="M45" i="1"/>
  <c r="M147" i="1"/>
  <c r="M188" i="1"/>
  <c r="M17" i="1"/>
  <c r="M21" i="1"/>
  <c r="M216" i="1"/>
  <c r="M60" i="1"/>
  <c r="M171" i="1"/>
  <c r="M214" i="1"/>
  <c r="M276" i="1"/>
  <c r="M95" i="1"/>
  <c r="M4" i="1"/>
  <c r="M313" i="1"/>
  <c r="M11" i="1"/>
  <c r="M257" i="1"/>
  <c r="M261" i="1"/>
  <c r="M310" i="1"/>
  <c r="M286" i="1"/>
  <c r="M222" i="1"/>
  <c r="M304" i="1"/>
  <c r="M91" i="1"/>
  <c r="M327" i="1"/>
  <c r="M288" i="1"/>
  <c r="M247" i="1"/>
  <c r="M119" i="1"/>
  <c r="M321" i="1"/>
  <c r="M328" i="1"/>
  <c r="M150" i="1"/>
  <c r="M240" i="1"/>
  <c r="M18" i="1"/>
  <c r="M97" i="1"/>
  <c r="M131" i="1"/>
  <c r="M270" i="1"/>
  <c r="M213" i="1"/>
  <c r="M212" i="1"/>
  <c r="M42" i="1"/>
  <c r="M46" i="1"/>
  <c r="M50" i="1"/>
  <c r="M167" i="1"/>
  <c r="M290" i="1"/>
  <c r="M135" i="1"/>
  <c r="M113" i="1"/>
  <c r="M13" i="1"/>
  <c r="M318" i="1"/>
  <c r="M347" i="1"/>
  <c r="M110" i="1"/>
  <c r="M70" i="1"/>
  <c r="M108" i="1"/>
  <c r="M228" i="1"/>
  <c r="M35" i="1"/>
  <c r="M279" i="1"/>
  <c r="M300" i="1"/>
  <c r="M77" i="1"/>
  <c r="M6" i="1"/>
  <c r="M179" i="1"/>
  <c r="M336" i="1"/>
  <c r="M8" i="1"/>
  <c r="M255" i="1"/>
  <c r="M127" i="1"/>
  <c r="M126" i="1"/>
  <c r="M156" i="1"/>
  <c r="M145" i="1"/>
  <c r="M197" i="1"/>
  <c r="M96" i="1"/>
  <c r="M263" i="1"/>
  <c r="M244" i="1"/>
  <c r="M194" i="1"/>
  <c r="M306" i="1"/>
  <c r="M76" i="1"/>
  <c r="M157" i="1"/>
  <c r="M182" i="1"/>
  <c r="M162" i="1"/>
  <c r="M14" i="1"/>
  <c r="M177" i="1"/>
  <c r="M172" i="1"/>
  <c r="M19" i="1"/>
  <c r="M312" i="1"/>
  <c r="M322" i="1"/>
  <c r="M358" i="1"/>
  <c r="M324" i="1"/>
  <c r="M85" i="1"/>
  <c r="M230" i="1"/>
  <c r="M79" i="1"/>
  <c r="M132" i="1"/>
  <c r="M349" i="1"/>
  <c r="M331" i="1"/>
  <c r="M291" i="1"/>
  <c r="M118" i="1"/>
  <c r="M12" i="1"/>
  <c r="M20" i="1"/>
  <c r="M123" i="1"/>
  <c r="M237" i="1"/>
  <c r="M88" i="1"/>
  <c r="M5" i="1"/>
  <c r="M38" i="1"/>
  <c r="M346" i="1"/>
  <c r="M121" i="1"/>
  <c r="M142" i="1"/>
  <c r="M256" i="1"/>
  <c r="M33" i="1"/>
  <c r="M48" i="1"/>
  <c r="M217" i="1"/>
  <c r="M189" i="1"/>
  <c r="M140" i="1"/>
  <c r="M254" i="1"/>
  <c r="M264" i="1"/>
  <c r="M69" i="1"/>
  <c r="M344" i="1"/>
  <c r="M258" i="1"/>
  <c r="M317" i="1"/>
  <c r="M233" i="1"/>
  <c r="M164" i="1"/>
  <c r="M67" i="1"/>
  <c r="M284" i="1"/>
  <c r="M191" i="1"/>
  <c r="M181" i="1"/>
  <c r="M102" i="1"/>
  <c r="M138" i="1"/>
  <c r="M109" i="1"/>
  <c r="M47" i="1"/>
  <c r="M153" i="1"/>
  <c r="M39" i="1"/>
  <c r="M28" i="1"/>
  <c r="M307" i="1"/>
  <c r="M115" i="1"/>
  <c r="M308" i="1"/>
  <c r="M252" i="1"/>
  <c r="M27" i="1"/>
  <c r="M73" i="1"/>
  <c r="M55" i="1"/>
  <c r="M335" i="1"/>
  <c r="M128" i="1"/>
  <c r="M9" i="1"/>
  <c r="M22" i="1"/>
  <c r="M66" i="1"/>
  <c r="M283" i="1"/>
  <c r="M207" i="1"/>
  <c r="M242" i="1"/>
  <c r="M86" i="1"/>
  <c r="M43" i="1"/>
  <c r="M186" i="1"/>
  <c r="M178" i="1"/>
  <c r="M141" i="1"/>
  <c r="M15" i="1"/>
  <c r="M99" i="1"/>
  <c r="M208" i="1"/>
  <c r="M75" i="1"/>
  <c r="M117" i="1"/>
  <c r="M124" i="1"/>
  <c r="M231" i="1"/>
  <c r="M272" i="1"/>
  <c r="M297" i="1"/>
  <c r="M210" i="1"/>
  <c r="M243" i="1"/>
  <c r="M348" i="1"/>
  <c r="M227" i="1"/>
  <c r="M345" i="1"/>
  <c r="M81" i="1"/>
  <c r="M285" i="1"/>
  <c r="M353" i="1"/>
  <c r="M34" i="1"/>
  <c r="M161" i="1"/>
  <c r="M289" i="1"/>
  <c r="M185" i="1"/>
  <c r="M203" i="1"/>
  <c r="M120" i="1"/>
  <c r="M84" i="1"/>
  <c r="M116" i="1"/>
  <c r="M158" i="1"/>
  <c r="M341" i="1"/>
  <c r="M295" i="1"/>
  <c r="M49" i="1"/>
  <c r="M90" i="1"/>
  <c r="M305" i="1"/>
  <c r="M277" i="1"/>
  <c r="M316" i="1"/>
  <c r="M251" i="1"/>
  <c r="M339" i="1"/>
  <c r="M136" i="1"/>
  <c r="M359" i="1"/>
  <c r="M323" i="1"/>
  <c r="M205" i="1"/>
  <c r="M265" i="1"/>
  <c r="M100" i="1"/>
  <c r="M198" i="1"/>
  <c r="M320" i="1"/>
  <c r="M190" i="1"/>
  <c r="M301" i="1"/>
  <c r="M329" i="1"/>
  <c r="M309" i="1"/>
  <c r="M174" i="1"/>
  <c r="M92" i="1"/>
  <c r="M293" i="1"/>
  <c r="M114" i="1"/>
  <c r="M195" i="1"/>
  <c r="M273" i="1"/>
  <c r="M59" i="1"/>
  <c r="M206" i="1"/>
  <c r="M52" i="1"/>
  <c r="M134" i="1"/>
  <c r="M334" i="1"/>
  <c r="M175" i="1"/>
  <c r="M23" i="1"/>
  <c r="M65" i="1"/>
  <c r="M3" i="1"/>
  <c r="M225" i="1"/>
  <c r="M26" i="1"/>
  <c r="M315" i="1"/>
  <c r="M149" i="1"/>
  <c r="M226" i="1"/>
  <c r="M357" i="1"/>
  <c r="M159" i="1"/>
  <c r="M146" i="1"/>
  <c r="M337" i="1"/>
  <c r="M268" i="1"/>
  <c r="M271" i="1"/>
  <c r="M111" i="1"/>
  <c r="M342" i="1"/>
  <c r="M350" i="1"/>
  <c r="M245" i="1"/>
  <c r="M269" i="1"/>
  <c r="M163" i="1"/>
  <c r="M61" i="1"/>
  <c r="M107" i="1"/>
  <c r="M87" i="1"/>
  <c r="M333" i="1"/>
  <c r="M155" i="1"/>
  <c r="M68" i="1"/>
  <c r="M249" i="1"/>
  <c r="M281" i="1"/>
  <c r="M72" i="1"/>
  <c r="M246" i="1"/>
  <c r="M129" i="1"/>
  <c r="M325" i="1"/>
  <c r="M31" i="1"/>
  <c r="M80" i="1"/>
  <c r="M356" i="1"/>
  <c r="M148" i="1"/>
  <c r="M215" i="1"/>
  <c r="M57" i="1"/>
  <c r="M239" i="1"/>
  <c r="M299" i="1"/>
  <c r="M294" i="1"/>
  <c r="M105" i="1"/>
  <c r="M94" i="1"/>
  <c r="M192" i="1"/>
  <c r="M319" i="1"/>
  <c r="M330" i="1"/>
  <c r="M10" i="1"/>
  <c r="M62" i="1"/>
  <c r="M311" i="1"/>
  <c r="M130" i="1"/>
  <c r="M58" i="1"/>
  <c r="M200" i="1"/>
  <c r="M36" i="1"/>
  <c r="M221" i="1"/>
  <c r="M29" i="1"/>
  <c r="M343" i="1"/>
  <c r="M361" i="1"/>
  <c r="M56" i="1"/>
  <c r="M332" i="1"/>
  <c r="M232" i="1"/>
  <c r="M63" i="1"/>
  <c r="M122" i="1"/>
  <c r="E2" i="12"/>
  <c r="D3" i="12"/>
  <c r="A4" i="12"/>
  <c r="C3" i="12"/>
  <c r="B3" i="12"/>
  <c r="B29" i="9"/>
  <c r="B31" i="9"/>
  <c r="B30" i="9"/>
  <c r="A12" i="9"/>
  <c r="A5" i="12" l="1"/>
  <c r="D4" i="12"/>
  <c r="B4" i="12"/>
  <c r="C4" i="12"/>
  <c r="E3" i="12"/>
  <c r="E4" i="12" l="1"/>
  <c r="B5" i="12"/>
  <c r="C5" i="12"/>
  <c r="A6" i="12"/>
  <c r="D5" i="12"/>
  <c r="E5" i="12" l="1"/>
  <c r="C6" i="12"/>
  <c r="A7" i="12"/>
  <c r="D6" i="12"/>
  <c r="B6" i="12"/>
  <c r="E6" i="12" l="1"/>
  <c r="B7" i="12"/>
  <c r="C7" i="12"/>
  <c r="A8" i="12"/>
  <c r="D7" i="12"/>
  <c r="E7" i="12" l="1"/>
  <c r="B8" i="12"/>
  <c r="A9" i="12"/>
  <c r="D8" i="12"/>
  <c r="C8" i="12"/>
  <c r="E8" i="12" l="1"/>
  <c r="B9" i="12"/>
  <c r="D9" i="12"/>
  <c r="A10" i="12"/>
  <c r="C9" i="12"/>
  <c r="E9" i="12" l="1"/>
  <c r="D10" i="12"/>
  <c r="A11" i="12"/>
  <c r="C10" i="12"/>
  <c r="B10" i="12"/>
  <c r="E10" i="12" l="1"/>
  <c r="C11" i="12"/>
  <c r="A12" i="12"/>
  <c r="D11" i="12"/>
  <c r="B11" i="12"/>
  <c r="E11" i="12" l="1"/>
  <c r="C12" i="12"/>
  <c r="A13" i="12"/>
  <c r="D12" i="12"/>
  <c r="B12" i="12"/>
  <c r="E12" i="12" l="1"/>
  <c r="C13" i="12"/>
  <c r="A14" i="12"/>
  <c r="D13" i="12"/>
  <c r="B13" i="12"/>
  <c r="E13" i="12" l="1"/>
  <c r="C14" i="12"/>
  <c r="A15" i="12"/>
  <c r="D14" i="12"/>
  <c r="B14" i="12"/>
  <c r="E14" i="12" l="1"/>
  <c r="B15" i="12"/>
  <c r="A16" i="12"/>
  <c r="C15" i="12"/>
  <c r="D15" i="12"/>
  <c r="E15" i="12" l="1"/>
  <c r="B16" i="12"/>
  <c r="A17" i="12"/>
  <c r="C16" i="12"/>
  <c r="D16" i="12"/>
  <c r="E16" i="12" l="1"/>
  <c r="D17" i="12"/>
  <c r="A18" i="12"/>
  <c r="C17" i="12"/>
  <c r="B17" i="12"/>
  <c r="D18" i="12" l="1"/>
  <c r="A19" i="12"/>
  <c r="C18" i="12"/>
  <c r="B18" i="12"/>
  <c r="E17" i="12"/>
  <c r="C19" i="12" l="1"/>
  <c r="A20" i="12"/>
  <c r="D19" i="12"/>
  <c r="B19" i="12"/>
  <c r="E18" i="12"/>
  <c r="E19" i="12" l="1"/>
  <c r="C20" i="12"/>
  <c r="A21" i="12"/>
  <c r="D20" i="12"/>
  <c r="B20" i="12"/>
  <c r="E20" i="12" l="1"/>
  <c r="A22" i="12"/>
  <c r="D21" i="12"/>
  <c r="B21" i="12"/>
  <c r="C21" i="12"/>
  <c r="E21" i="12" l="1"/>
  <c r="A23" i="12"/>
  <c r="D22" i="12"/>
  <c r="B22" i="12"/>
  <c r="C22" i="12"/>
  <c r="E22" i="12" l="1"/>
  <c r="B23" i="12"/>
  <c r="A24" i="12"/>
  <c r="C23" i="12"/>
  <c r="D23" i="12"/>
  <c r="E23" i="12" l="1"/>
  <c r="B24" i="12"/>
  <c r="A25" i="12"/>
  <c r="C24" i="12"/>
  <c r="D24" i="12"/>
  <c r="E24" i="12" l="1"/>
  <c r="B25" i="12"/>
  <c r="A26" i="12"/>
  <c r="C25" i="12"/>
  <c r="D25" i="12"/>
  <c r="E25" i="12" l="1"/>
  <c r="D26" i="12"/>
  <c r="A27" i="12"/>
  <c r="B26" i="12"/>
  <c r="C26" i="12"/>
  <c r="C27" i="12" l="1"/>
  <c r="A28" i="12"/>
  <c r="D27" i="12"/>
  <c r="B27" i="12"/>
  <c r="E26" i="12"/>
  <c r="E27" i="12" l="1"/>
  <c r="C28" i="12"/>
  <c r="A29" i="12"/>
  <c r="D28" i="12"/>
  <c r="B28" i="12"/>
  <c r="E28" i="12" l="1"/>
  <c r="B29" i="12"/>
  <c r="A30" i="12"/>
  <c r="C29" i="12"/>
  <c r="D29" i="12"/>
  <c r="E29" i="12" l="1"/>
  <c r="A31" i="12"/>
  <c r="D30" i="12"/>
  <c r="B30" i="12"/>
  <c r="C30" i="12"/>
  <c r="E30" i="12" l="1"/>
  <c r="B31" i="12"/>
  <c r="A32" i="12"/>
  <c r="C31" i="12"/>
  <c r="D31" i="12"/>
  <c r="E31" i="12" l="1"/>
  <c r="B32" i="12"/>
  <c r="A33" i="12"/>
  <c r="C32" i="12"/>
  <c r="D32" i="12"/>
  <c r="E32" i="12" l="1"/>
  <c r="B33" i="12"/>
  <c r="A34" i="12"/>
  <c r="C33" i="12"/>
  <c r="D33" i="12"/>
  <c r="D34" i="12" l="1"/>
  <c r="A35" i="12"/>
  <c r="B34" i="12"/>
  <c r="C34" i="12"/>
  <c r="E33" i="12"/>
  <c r="A36" i="12" l="1"/>
  <c r="D35" i="12"/>
  <c r="B35" i="12"/>
  <c r="C35" i="12"/>
  <c r="E34" i="12"/>
  <c r="E35" i="12" l="1"/>
  <c r="C36" i="12"/>
  <c r="A37" i="12"/>
  <c r="D36" i="12"/>
  <c r="B36" i="12"/>
  <c r="E36" i="12" l="1"/>
  <c r="A38" i="12"/>
  <c r="D37" i="12"/>
  <c r="B37" i="12"/>
  <c r="C37" i="12"/>
  <c r="E37" i="12" l="1"/>
  <c r="C38" i="12"/>
  <c r="A39" i="12"/>
  <c r="D38" i="12"/>
  <c r="B38" i="12"/>
  <c r="B39" i="12" l="1"/>
  <c r="A40" i="12"/>
  <c r="C39" i="12"/>
  <c r="D39" i="12"/>
  <c r="E38" i="12"/>
  <c r="E39" i="12" l="1"/>
  <c r="B40" i="12"/>
  <c r="A41" i="12"/>
  <c r="C40" i="12"/>
  <c r="D40" i="12"/>
  <c r="E40" i="12" l="1"/>
  <c r="D41" i="12"/>
  <c r="A42" i="12"/>
  <c r="C41" i="12"/>
  <c r="B41" i="12"/>
  <c r="A43" i="12" l="1"/>
  <c r="B42" i="12"/>
  <c r="D42" i="12"/>
  <c r="C42" i="12"/>
  <c r="E41" i="12"/>
  <c r="E42" i="12" l="1"/>
  <c r="D43" i="12"/>
  <c r="A44" i="12"/>
  <c r="B43" i="12"/>
  <c r="C43" i="12"/>
  <c r="E43" i="12" l="1"/>
  <c r="C44" i="12"/>
  <c r="A45" i="12"/>
  <c r="D44" i="12"/>
  <c r="B44" i="12"/>
  <c r="E44" i="12" l="1"/>
  <c r="C45" i="12"/>
  <c r="A46" i="12"/>
  <c r="D45" i="12"/>
  <c r="B45" i="12"/>
  <c r="E45" i="12" l="1"/>
  <c r="C46" i="12"/>
  <c r="A47" i="12"/>
  <c r="D46" i="12"/>
  <c r="B46" i="12"/>
  <c r="E46" i="12" l="1"/>
  <c r="B47" i="12"/>
  <c r="A48" i="12"/>
  <c r="C47" i="12"/>
  <c r="D47" i="12"/>
  <c r="E47" i="12" l="1"/>
  <c r="B48" i="12"/>
  <c r="A49" i="12"/>
  <c r="C48" i="12"/>
  <c r="D48" i="12"/>
  <c r="E48" i="12" l="1"/>
  <c r="B49" i="12"/>
  <c r="A50" i="12"/>
  <c r="C49" i="12"/>
  <c r="D49" i="12"/>
  <c r="E49" i="12" l="1"/>
  <c r="D50" i="12"/>
  <c r="A51" i="12"/>
  <c r="C50" i="12"/>
  <c r="B50" i="12"/>
  <c r="E50" i="12" l="1"/>
  <c r="C51" i="12"/>
  <c r="A52" i="12"/>
  <c r="D51" i="12"/>
  <c r="B51" i="12"/>
  <c r="E51" i="12" l="1"/>
  <c r="C52" i="12"/>
  <c r="A53" i="12"/>
  <c r="D52" i="12"/>
  <c r="B52" i="12"/>
  <c r="E52" i="12" l="1"/>
  <c r="B53" i="12"/>
  <c r="A54" i="12"/>
  <c r="C53" i="12"/>
  <c r="D53" i="12"/>
  <c r="E53" i="12" l="1"/>
  <c r="C54" i="12"/>
  <c r="A55" i="12"/>
  <c r="D54" i="12"/>
  <c r="B54" i="12"/>
  <c r="E54" i="12" l="1"/>
  <c r="B55" i="12"/>
  <c r="A56" i="12"/>
  <c r="C55" i="12"/>
  <c r="D55" i="12"/>
  <c r="E55" i="12" l="1"/>
  <c r="B56" i="12"/>
  <c r="A57" i="12"/>
  <c r="C56" i="12"/>
  <c r="D56" i="12"/>
  <c r="E56" i="12" l="1"/>
  <c r="B57" i="12"/>
  <c r="A58" i="12"/>
  <c r="C57" i="12"/>
  <c r="D57" i="12"/>
  <c r="E57" i="12" l="1"/>
  <c r="D58" i="12"/>
  <c r="A59" i="12"/>
  <c r="C58" i="12"/>
  <c r="B58" i="12"/>
  <c r="E58" i="12" l="1"/>
  <c r="C59" i="12"/>
  <c r="A60" i="12"/>
  <c r="D59" i="12"/>
  <c r="B59" i="12"/>
  <c r="E59" i="12" l="1"/>
  <c r="C60" i="12"/>
  <c r="D60" i="12"/>
  <c r="B60" i="12"/>
  <c r="A61" i="12"/>
  <c r="A62" i="12" l="1"/>
  <c r="D61" i="12"/>
  <c r="B61" i="12"/>
  <c r="C61" i="12"/>
  <c r="E60" i="12"/>
  <c r="E61" i="12" l="1"/>
  <c r="A63" i="12"/>
  <c r="D62" i="12"/>
  <c r="B62" i="12"/>
  <c r="C62" i="12"/>
  <c r="B63" i="12" l="1"/>
  <c r="C63" i="12"/>
  <c r="D63" i="12"/>
  <c r="E62" i="12"/>
  <c r="E63" i="12" l="1"/>
</calcChain>
</file>

<file path=xl/sharedStrings.xml><?xml version="1.0" encoding="utf-8"?>
<sst xmlns="http://schemas.openxmlformats.org/spreadsheetml/2006/main" count="4707" uniqueCount="593">
  <si>
    <t>OrderID</t>
  </si>
  <si>
    <t>OrderDateTime</t>
  </si>
  <si>
    <t>Branch</t>
  </si>
  <si>
    <t>CustomerType</t>
  </si>
  <si>
    <t>PaymentType</t>
  </si>
  <si>
    <t>Shift</t>
  </si>
  <si>
    <t>StaffID</t>
  </si>
  <si>
    <t>DiscountPct</t>
  </si>
  <si>
    <t>O00001</t>
  </si>
  <si>
    <t>Head Office Café</t>
  </si>
  <si>
    <t>Visitor</t>
  </si>
  <si>
    <t>UPI</t>
  </si>
  <si>
    <t>Breakfast</t>
  </si>
  <si>
    <t>E016</t>
  </si>
  <si>
    <t>O00002</t>
  </si>
  <si>
    <t>Plant 2 Canteen</t>
  </si>
  <si>
    <t>Staff</t>
  </si>
  <si>
    <t>Cash</t>
  </si>
  <si>
    <t>Dinner</t>
  </si>
  <si>
    <t>E004</t>
  </si>
  <si>
    <t>O00003</t>
  </si>
  <si>
    <t>Card</t>
  </si>
  <si>
    <t>Lunch</t>
  </si>
  <si>
    <t>E014</t>
  </si>
  <si>
    <t>O00004</t>
  </si>
  <si>
    <t>O00005</t>
  </si>
  <si>
    <t>O00006</t>
  </si>
  <si>
    <t>Plant 1 Canteen</t>
  </si>
  <si>
    <t>Worker</t>
  </si>
  <si>
    <t>E015</t>
  </si>
  <si>
    <t>O00007</t>
  </si>
  <si>
    <t>O00008</t>
  </si>
  <si>
    <t>O00009</t>
  </si>
  <si>
    <t>E003</t>
  </si>
  <si>
    <t>O00010</t>
  </si>
  <si>
    <t>O00011</t>
  </si>
  <si>
    <t>E013</t>
  </si>
  <si>
    <t>O00012</t>
  </si>
  <si>
    <t>E010</t>
  </si>
  <si>
    <t>O00013</t>
  </si>
  <si>
    <t>O00014</t>
  </si>
  <si>
    <t>E002</t>
  </si>
  <si>
    <t>O00015</t>
  </si>
  <si>
    <t>E011</t>
  </si>
  <si>
    <t>O00016</t>
  </si>
  <si>
    <t>E017</t>
  </si>
  <si>
    <t>O00017</t>
  </si>
  <si>
    <t>O00018</t>
  </si>
  <si>
    <t>E008</t>
  </si>
  <si>
    <t>O00019</t>
  </si>
  <si>
    <t>O00020</t>
  </si>
  <si>
    <t>O00021</t>
  </si>
  <si>
    <t>O00022</t>
  </si>
  <si>
    <t>O00023</t>
  </si>
  <si>
    <t>O00024</t>
  </si>
  <si>
    <t>E007</t>
  </si>
  <si>
    <t>O00025</t>
  </si>
  <si>
    <t>O00026</t>
  </si>
  <si>
    <t>O00027</t>
  </si>
  <si>
    <t>O00028</t>
  </si>
  <si>
    <t>O00029</t>
  </si>
  <si>
    <t>E018</t>
  </si>
  <si>
    <t>O00030</t>
  </si>
  <si>
    <t>O00031</t>
  </si>
  <si>
    <t>E009</t>
  </si>
  <si>
    <t>O00032</t>
  </si>
  <si>
    <t>O00033</t>
  </si>
  <si>
    <t>O00034</t>
  </si>
  <si>
    <t>O00035</t>
  </si>
  <si>
    <t>E001</t>
  </si>
  <si>
    <t>O00036</t>
  </si>
  <si>
    <t>O00037</t>
  </si>
  <si>
    <t>E005</t>
  </si>
  <si>
    <t>O00038</t>
  </si>
  <si>
    <t>E012</t>
  </si>
  <si>
    <t>O00039</t>
  </si>
  <si>
    <t>O00040</t>
  </si>
  <si>
    <t>O00041</t>
  </si>
  <si>
    <t>O00042</t>
  </si>
  <si>
    <t>O00043</t>
  </si>
  <si>
    <t>O00044</t>
  </si>
  <si>
    <t>O00045</t>
  </si>
  <si>
    <t>O00046</t>
  </si>
  <si>
    <t>O00047</t>
  </si>
  <si>
    <t>O00048</t>
  </si>
  <si>
    <t>O00049</t>
  </si>
  <si>
    <t>O00050</t>
  </si>
  <si>
    <t>O00051</t>
  </si>
  <si>
    <t>O00052</t>
  </si>
  <si>
    <t>O00053</t>
  </si>
  <si>
    <t>O00054</t>
  </si>
  <si>
    <t>O00055</t>
  </si>
  <si>
    <t>O00056</t>
  </si>
  <si>
    <t>O00057</t>
  </si>
  <si>
    <t>O00058</t>
  </si>
  <si>
    <t>E006</t>
  </si>
  <si>
    <t>O00059</t>
  </si>
  <si>
    <t>O00060</t>
  </si>
  <si>
    <t>O00061</t>
  </si>
  <si>
    <t>O00062</t>
  </si>
  <si>
    <t>O00063</t>
  </si>
  <si>
    <t>O00064</t>
  </si>
  <si>
    <t>O00065</t>
  </si>
  <si>
    <t>O00066</t>
  </si>
  <si>
    <t>O00067</t>
  </si>
  <si>
    <t>O00068</t>
  </si>
  <si>
    <t>O00069</t>
  </si>
  <si>
    <t>O00070</t>
  </si>
  <si>
    <t>O00071</t>
  </si>
  <si>
    <t>O00072</t>
  </si>
  <si>
    <t>O00073</t>
  </si>
  <si>
    <t>O00074</t>
  </si>
  <si>
    <t>O00075</t>
  </si>
  <si>
    <t>O00076</t>
  </si>
  <si>
    <t>O00077</t>
  </si>
  <si>
    <t>O00078</t>
  </si>
  <si>
    <t>O00079</t>
  </si>
  <si>
    <t>O00080</t>
  </si>
  <si>
    <t>O00081</t>
  </si>
  <si>
    <t>O00082</t>
  </si>
  <si>
    <t>O00083</t>
  </si>
  <si>
    <t>O00084</t>
  </si>
  <si>
    <t>O00085</t>
  </si>
  <si>
    <t>O00086</t>
  </si>
  <si>
    <t>O00087</t>
  </si>
  <si>
    <t>O00088</t>
  </si>
  <si>
    <t>O00089</t>
  </si>
  <si>
    <t>O00090</t>
  </si>
  <si>
    <t>O00091</t>
  </si>
  <si>
    <t>O00092</t>
  </si>
  <si>
    <t>O00093</t>
  </si>
  <si>
    <t>O00094</t>
  </si>
  <si>
    <t>O00095</t>
  </si>
  <si>
    <t>O00096</t>
  </si>
  <si>
    <t>O00097</t>
  </si>
  <si>
    <t>O00098</t>
  </si>
  <si>
    <t>O00099</t>
  </si>
  <si>
    <t>O00100</t>
  </si>
  <si>
    <t>O00101</t>
  </si>
  <si>
    <t>O00102</t>
  </si>
  <si>
    <t>O00103</t>
  </si>
  <si>
    <t>O00104</t>
  </si>
  <si>
    <t>O00105</t>
  </si>
  <si>
    <t>O00106</t>
  </si>
  <si>
    <t>O00107</t>
  </si>
  <si>
    <t>O00108</t>
  </si>
  <si>
    <t>O00109</t>
  </si>
  <si>
    <t>O00110</t>
  </si>
  <si>
    <t>O00111</t>
  </si>
  <si>
    <t>O00112</t>
  </si>
  <si>
    <t>O00113</t>
  </si>
  <si>
    <t>O00114</t>
  </si>
  <si>
    <t>O00115</t>
  </si>
  <si>
    <t>O00116</t>
  </si>
  <si>
    <t>O00117</t>
  </si>
  <si>
    <t>O00118</t>
  </si>
  <si>
    <t>O00119</t>
  </si>
  <si>
    <t>O00120</t>
  </si>
  <si>
    <t>O00121</t>
  </si>
  <si>
    <t>O00122</t>
  </si>
  <si>
    <t>O00123</t>
  </si>
  <si>
    <t>O00124</t>
  </si>
  <si>
    <t>O00125</t>
  </si>
  <si>
    <t>O00126</t>
  </si>
  <si>
    <t>O00127</t>
  </si>
  <si>
    <t>O00128</t>
  </si>
  <si>
    <t>O00129</t>
  </si>
  <si>
    <t>O00130</t>
  </si>
  <si>
    <t>O00131</t>
  </si>
  <si>
    <t>O00132</t>
  </si>
  <si>
    <t>O00133</t>
  </si>
  <si>
    <t>O00134</t>
  </si>
  <si>
    <t>O00135</t>
  </si>
  <si>
    <t>O00136</t>
  </si>
  <si>
    <t>O00137</t>
  </si>
  <si>
    <t>O00138</t>
  </si>
  <si>
    <t>O00139</t>
  </si>
  <si>
    <t>O00140</t>
  </si>
  <si>
    <t>O00141</t>
  </si>
  <si>
    <t>O00142</t>
  </si>
  <si>
    <t>O00143</t>
  </si>
  <si>
    <t>O00144</t>
  </si>
  <si>
    <t>O00145</t>
  </si>
  <si>
    <t>O00146</t>
  </si>
  <si>
    <t>O00147</t>
  </si>
  <si>
    <t>O00148</t>
  </si>
  <si>
    <t>O00149</t>
  </si>
  <si>
    <t>O00150</t>
  </si>
  <si>
    <t>O00151</t>
  </si>
  <si>
    <t>O00152</t>
  </si>
  <si>
    <t>O00153</t>
  </si>
  <si>
    <t>O00154</t>
  </si>
  <si>
    <t>O00155</t>
  </si>
  <si>
    <t>O00156</t>
  </si>
  <si>
    <t>O00157</t>
  </si>
  <si>
    <t>O00158</t>
  </si>
  <si>
    <t>O00159</t>
  </si>
  <si>
    <t>O00160</t>
  </si>
  <si>
    <t>O00161</t>
  </si>
  <si>
    <t>O00162</t>
  </si>
  <si>
    <t>O00163</t>
  </si>
  <si>
    <t>O00164</t>
  </si>
  <si>
    <t>O00165</t>
  </si>
  <si>
    <t>O00166</t>
  </si>
  <si>
    <t>O00167</t>
  </si>
  <si>
    <t>O00168</t>
  </si>
  <si>
    <t>O00169</t>
  </si>
  <si>
    <t>O00170</t>
  </si>
  <si>
    <t>O00171</t>
  </si>
  <si>
    <t>O00172</t>
  </si>
  <si>
    <t>O00173</t>
  </si>
  <si>
    <t>O00174</t>
  </si>
  <si>
    <t>O00175</t>
  </si>
  <si>
    <t>O00176</t>
  </si>
  <si>
    <t>O00177</t>
  </si>
  <si>
    <t>O00178</t>
  </si>
  <si>
    <t>O00179</t>
  </si>
  <si>
    <t>O00180</t>
  </si>
  <si>
    <t>O00181</t>
  </si>
  <si>
    <t>O00182</t>
  </si>
  <si>
    <t>O00183</t>
  </si>
  <si>
    <t>O00184</t>
  </si>
  <si>
    <t>O00185</t>
  </si>
  <si>
    <t>O00186</t>
  </si>
  <si>
    <t>O00187</t>
  </si>
  <si>
    <t>O00188</t>
  </si>
  <si>
    <t>O00189</t>
  </si>
  <si>
    <t>O00190</t>
  </si>
  <si>
    <t>O00191</t>
  </si>
  <si>
    <t>O00192</t>
  </si>
  <si>
    <t>O00193</t>
  </si>
  <si>
    <t>O00194</t>
  </si>
  <si>
    <t>O00195</t>
  </si>
  <si>
    <t>O00196</t>
  </si>
  <si>
    <t>O00197</t>
  </si>
  <si>
    <t>O00198</t>
  </si>
  <si>
    <t>O00199</t>
  </si>
  <si>
    <t>O00200</t>
  </si>
  <si>
    <t>O00201</t>
  </si>
  <si>
    <t>O00202</t>
  </si>
  <si>
    <t>O00203</t>
  </si>
  <si>
    <t>O00204</t>
  </si>
  <si>
    <t>O00205</t>
  </si>
  <si>
    <t>O00206</t>
  </si>
  <si>
    <t>O00207</t>
  </si>
  <si>
    <t>O00208</t>
  </si>
  <si>
    <t>O00209</t>
  </si>
  <si>
    <t>O00210</t>
  </si>
  <si>
    <t>O00211</t>
  </si>
  <si>
    <t>O00212</t>
  </si>
  <si>
    <t>O00213</t>
  </si>
  <si>
    <t>O00214</t>
  </si>
  <si>
    <t>O00215</t>
  </si>
  <si>
    <t>O00216</t>
  </si>
  <si>
    <t>O00217</t>
  </si>
  <si>
    <t>O00218</t>
  </si>
  <si>
    <t>O00219</t>
  </si>
  <si>
    <t>O00220</t>
  </si>
  <si>
    <t>O00221</t>
  </si>
  <si>
    <t>O00222</t>
  </si>
  <si>
    <t>O00223</t>
  </si>
  <si>
    <t>O00224</t>
  </si>
  <si>
    <t>O00225</t>
  </si>
  <si>
    <t>O00226</t>
  </si>
  <si>
    <t>O00227</t>
  </si>
  <si>
    <t>O00228</t>
  </si>
  <si>
    <t>O00229</t>
  </si>
  <si>
    <t>O00230</t>
  </si>
  <si>
    <t>O00231</t>
  </si>
  <si>
    <t>O00232</t>
  </si>
  <si>
    <t>O00233</t>
  </si>
  <si>
    <t>O00234</t>
  </si>
  <si>
    <t>O00235</t>
  </si>
  <si>
    <t>O00236</t>
  </si>
  <si>
    <t>O00237</t>
  </si>
  <si>
    <t>O00238</t>
  </si>
  <si>
    <t>O00239</t>
  </si>
  <si>
    <t>O00240</t>
  </si>
  <si>
    <t>O00241</t>
  </si>
  <si>
    <t>O00242</t>
  </si>
  <si>
    <t>O00243</t>
  </si>
  <si>
    <t>O00244</t>
  </si>
  <si>
    <t>O00245</t>
  </si>
  <si>
    <t>O00246</t>
  </si>
  <si>
    <t>O00247</t>
  </si>
  <si>
    <t>O00248</t>
  </si>
  <si>
    <t>O00249</t>
  </si>
  <si>
    <t>O00250</t>
  </si>
  <si>
    <t>O00251</t>
  </si>
  <si>
    <t>O00252</t>
  </si>
  <si>
    <t>O00253</t>
  </si>
  <si>
    <t>O00254</t>
  </si>
  <si>
    <t>O00255</t>
  </si>
  <si>
    <t>O00256</t>
  </si>
  <si>
    <t>O00257</t>
  </si>
  <si>
    <t>O00258</t>
  </si>
  <si>
    <t>O00259</t>
  </si>
  <si>
    <t>O00260</t>
  </si>
  <si>
    <t>O00261</t>
  </si>
  <si>
    <t>O00262</t>
  </si>
  <si>
    <t>O00263</t>
  </si>
  <si>
    <t>O00264</t>
  </si>
  <si>
    <t>O00265</t>
  </si>
  <si>
    <t>O00266</t>
  </si>
  <si>
    <t>O00267</t>
  </si>
  <si>
    <t>O00268</t>
  </si>
  <si>
    <t>O00269</t>
  </si>
  <si>
    <t>O00270</t>
  </si>
  <si>
    <t>O00271</t>
  </si>
  <si>
    <t>O00272</t>
  </si>
  <si>
    <t>O00273</t>
  </si>
  <si>
    <t>O00274</t>
  </si>
  <si>
    <t>O00275</t>
  </si>
  <si>
    <t>O00276</t>
  </si>
  <si>
    <t>O00277</t>
  </si>
  <si>
    <t>O00278</t>
  </si>
  <si>
    <t>O00279</t>
  </si>
  <si>
    <t>O00280</t>
  </si>
  <si>
    <t>O00281</t>
  </si>
  <si>
    <t>O00282</t>
  </si>
  <si>
    <t>O00283</t>
  </si>
  <si>
    <t>O00284</t>
  </si>
  <si>
    <t>O00285</t>
  </si>
  <si>
    <t>O00286</t>
  </si>
  <si>
    <t>O00287</t>
  </si>
  <si>
    <t>O00288</t>
  </si>
  <si>
    <t>O00289</t>
  </si>
  <si>
    <t>O00290</t>
  </si>
  <si>
    <t>O00291</t>
  </si>
  <si>
    <t>O00292</t>
  </si>
  <si>
    <t>O00293</t>
  </si>
  <si>
    <t>O00294</t>
  </si>
  <si>
    <t>O00295</t>
  </si>
  <si>
    <t>O00296</t>
  </si>
  <si>
    <t>O00297</t>
  </si>
  <si>
    <t>O00298</t>
  </si>
  <si>
    <t>O00299</t>
  </si>
  <si>
    <t>O00300</t>
  </si>
  <si>
    <t>O00301</t>
  </si>
  <si>
    <t>O00302</t>
  </si>
  <si>
    <t>O00303</t>
  </si>
  <si>
    <t>O00304</t>
  </si>
  <si>
    <t>O00305</t>
  </si>
  <si>
    <t>O00306</t>
  </si>
  <si>
    <t>O00307</t>
  </si>
  <si>
    <t>O00308</t>
  </si>
  <si>
    <t>O00309</t>
  </si>
  <si>
    <t>O00310</t>
  </si>
  <si>
    <t>O00311</t>
  </si>
  <si>
    <t>O00312</t>
  </si>
  <si>
    <t>O00313</t>
  </si>
  <si>
    <t>O00314</t>
  </si>
  <si>
    <t>O00315</t>
  </si>
  <si>
    <t>O00316</t>
  </si>
  <si>
    <t>O00317</t>
  </si>
  <si>
    <t>O00318</t>
  </si>
  <si>
    <t>O00319</t>
  </si>
  <si>
    <t>O00320</t>
  </si>
  <si>
    <t>O00321</t>
  </si>
  <si>
    <t>O00322</t>
  </si>
  <si>
    <t>O00323</t>
  </si>
  <si>
    <t>O00324</t>
  </si>
  <si>
    <t>O00325</t>
  </si>
  <si>
    <t>O00326</t>
  </si>
  <si>
    <t>O00327</t>
  </si>
  <si>
    <t>O00328</t>
  </si>
  <si>
    <t>O00329</t>
  </si>
  <si>
    <t>O00330</t>
  </si>
  <si>
    <t>O00331</t>
  </si>
  <si>
    <t>O00332</t>
  </si>
  <si>
    <t>O00333</t>
  </si>
  <si>
    <t>O00334</t>
  </si>
  <si>
    <t>O00335</t>
  </si>
  <si>
    <t>O00336</t>
  </si>
  <si>
    <t>O00337</t>
  </si>
  <si>
    <t>O00338</t>
  </si>
  <si>
    <t>O00339</t>
  </si>
  <si>
    <t>O00340</t>
  </si>
  <si>
    <t>O00341</t>
  </si>
  <si>
    <t>O00342</t>
  </si>
  <si>
    <t>O00343</t>
  </si>
  <si>
    <t>O00344</t>
  </si>
  <si>
    <t>O00345</t>
  </si>
  <si>
    <t>O00346</t>
  </si>
  <si>
    <t>O00347</t>
  </si>
  <si>
    <t>O00348</t>
  </si>
  <si>
    <t>O00349</t>
  </si>
  <si>
    <t>O00350</t>
  </si>
  <si>
    <t>O00351</t>
  </si>
  <si>
    <t>O00352</t>
  </si>
  <si>
    <t>O00353</t>
  </si>
  <si>
    <t>O00354</t>
  </si>
  <si>
    <t>O00355</t>
  </si>
  <si>
    <t>O00356</t>
  </si>
  <si>
    <t>O00357</t>
  </si>
  <si>
    <t>O00358</t>
  </si>
  <si>
    <t>O00359</t>
  </si>
  <si>
    <t>O00360</t>
  </si>
  <si>
    <t>SKU</t>
  </si>
  <si>
    <t>Qty</t>
  </si>
  <si>
    <t>UnitPrice</t>
  </si>
  <si>
    <t>SHJ7XV</t>
  </si>
  <si>
    <t>BTIQJ7</t>
  </si>
  <si>
    <t>DH9SDB</t>
  </si>
  <si>
    <t>BOC6UZ</t>
  </si>
  <si>
    <t>H3A3ZM</t>
  </si>
  <si>
    <t>SZBIKC</t>
  </si>
  <si>
    <t>HH1DNM</t>
  </si>
  <si>
    <t>SCKW5N</t>
  </si>
  <si>
    <t>B0T0PV</t>
  </si>
  <si>
    <t>BXO6QJ</t>
  </si>
  <si>
    <t>BHL1C3</t>
  </si>
  <si>
    <t>DYTJXE</t>
  </si>
  <si>
    <t>DFFYVN</t>
  </si>
  <si>
    <t>D9T84A</t>
  </si>
  <si>
    <t>HDPBHS</t>
  </si>
  <si>
    <t>HXAJI0</t>
  </si>
  <si>
    <t>HUZZPQ</t>
  </si>
  <si>
    <t>SV30T9</t>
  </si>
  <si>
    <t>S5NQ4F</t>
  </si>
  <si>
    <t>ItemName</t>
  </si>
  <si>
    <t>Category</t>
  </si>
  <si>
    <t>SupplierID</t>
  </si>
  <si>
    <t>UnitCost</t>
  </si>
  <si>
    <t>Veg Thali</t>
  </si>
  <si>
    <t>Hot Meal</t>
  </si>
  <si>
    <t>S009</t>
  </si>
  <si>
    <t>Chicken Thali</t>
  </si>
  <si>
    <t>S001</t>
  </si>
  <si>
    <t>Rajma Chawal</t>
  </si>
  <si>
    <t>S005</t>
  </si>
  <si>
    <t>Paneer Butter Masala + Naan</t>
  </si>
  <si>
    <t>S003</t>
  </si>
  <si>
    <t>Egg Curry + Rice</t>
  </si>
  <si>
    <t>S006</t>
  </si>
  <si>
    <t>Samosa</t>
  </si>
  <si>
    <t>Snack</t>
  </si>
  <si>
    <t>S007</t>
  </si>
  <si>
    <t>Veg Sandwich</t>
  </si>
  <si>
    <t>S004</t>
  </si>
  <si>
    <t>Paneer Roll</t>
  </si>
  <si>
    <t>Masala Puff</t>
  </si>
  <si>
    <t>Poha</t>
  </si>
  <si>
    <t>Tea</t>
  </si>
  <si>
    <t>Beverage</t>
  </si>
  <si>
    <t>Coffee</t>
  </si>
  <si>
    <t>Masala Chaas</t>
  </si>
  <si>
    <t>Nimbu Pani</t>
  </si>
  <si>
    <t>Bottled Water</t>
  </si>
  <si>
    <t>Gulab Jamun (2 pc)</t>
  </si>
  <si>
    <t>Dessert</t>
  </si>
  <si>
    <t>S002</t>
  </si>
  <si>
    <t>Kheer Cup</t>
  </si>
  <si>
    <t>S010</t>
  </si>
  <si>
    <t>Brownie</t>
  </si>
  <si>
    <t>Fruit Cup</t>
  </si>
  <si>
    <t>StaffName</t>
  </si>
  <si>
    <t>Role</t>
  </si>
  <si>
    <t>HourlyRateINR</t>
  </si>
  <si>
    <t>Tarun</t>
  </si>
  <si>
    <t>Cashier</t>
  </si>
  <si>
    <t>Payal</t>
  </si>
  <si>
    <t>Karan</t>
  </si>
  <si>
    <t>Cook</t>
  </si>
  <si>
    <t>Vikram</t>
  </si>
  <si>
    <t>Rina</t>
  </si>
  <si>
    <t>Sanjay</t>
  </si>
  <si>
    <t>Manish</t>
  </si>
  <si>
    <t>Pooja</t>
  </si>
  <si>
    <t>Server</t>
  </si>
  <si>
    <t>Sourav</t>
  </si>
  <si>
    <t>Neha</t>
  </si>
  <si>
    <t>Amit</t>
  </si>
  <si>
    <t>Sneha</t>
  </si>
  <si>
    <t>Iqbal</t>
  </si>
  <si>
    <t>OnHandQty</t>
  </si>
  <si>
    <t>ReorderPoint</t>
  </si>
  <si>
    <t>LeadTimeDays</t>
  </si>
  <si>
    <t>LastRestockDate</t>
  </si>
  <si>
    <t>SupplierName</t>
  </si>
  <si>
    <t>City</t>
  </si>
  <si>
    <t>Phone</t>
  </si>
  <si>
    <t>DailyDairy 1</t>
  </si>
  <si>
    <t>Howrah</t>
  </si>
  <si>
    <t>+91-9624636385</t>
  </si>
  <si>
    <t>BakersHub 2</t>
  </si>
  <si>
    <t>Durgapur</t>
  </si>
  <si>
    <t>+91-9120912992</t>
  </si>
  <si>
    <t>FreshFoods 3</t>
  </si>
  <si>
    <t>+91-9220117054</t>
  </si>
  <si>
    <t>Tea&amp;Co 4</t>
  </si>
  <si>
    <t>Jamshedpur</t>
  </si>
  <si>
    <t>+91-9489747629</t>
  </si>
  <si>
    <t>SpiceRoute 5</t>
  </si>
  <si>
    <t>+91-9992994062</t>
  </si>
  <si>
    <t>DailyDairy 6</t>
  </si>
  <si>
    <t>+91-9966267851</t>
  </si>
  <si>
    <t>SpiceRoute 7</t>
  </si>
  <si>
    <t>+91-9430190783</t>
  </si>
  <si>
    <t>S008</t>
  </si>
  <si>
    <t>AgroDelight 8</t>
  </si>
  <si>
    <t>Kolkata</t>
  </si>
  <si>
    <t>+91-9357109965</t>
  </si>
  <si>
    <t>Tea&amp;Co 9</t>
  </si>
  <si>
    <t>+91-9162196678</t>
  </si>
  <si>
    <t>SpiceRoute 10</t>
  </si>
  <si>
    <t>+91-9358633898</t>
  </si>
  <si>
    <t>Date</t>
  </si>
  <si>
    <t>Reason</t>
  </si>
  <si>
    <t>Spoilage</t>
  </si>
  <si>
    <t>Damaged</t>
  </si>
  <si>
    <t>Expired</t>
  </si>
  <si>
    <t>Overproduction</t>
  </si>
  <si>
    <t>Rating</t>
  </si>
  <si>
    <t>Comment</t>
  </si>
  <si>
    <t>Ok</t>
  </si>
  <si>
    <t>Great staff</t>
  </si>
  <si>
    <t>Good</t>
  </si>
  <si>
    <t>Less spicy</t>
  </si>
  <si>
    <t>Loved chai</t>
  </si>
  <si>
    <t>Crowded</t>
  </si>
  <si>
    <t>Slow service</t>
  </si>
  <si>
    <t>OrderDate</t>
  </si>
  <si>
    <t>Revenue – July 2025</t>
  </si>
  <si>
    <t>Revenue – August 2025</t>
  </si>
  <si>
    <t>Month-on-Month %</t>
  </si>
  <si>
    <r>
      <rPr>
        <sz val="14"/>
        <color theme="1"/>
        <rFont val="Calibri"/>
        <family val="2"/>
        <scheme val="minor"/>
      </rPr>
      <t>Revenue of July 2025 and August 2025 and  Month on Month revenue</t>
    </r>
    <r>
      <rPr>
        <sz val="11"/>
        <color theme="1"/>
        <rFont val="Calibri"/>
        <family val="2"/>
        <scheme val="minor"/>
      </rPr>
      <t xml:space="preserve">. 
</t>
    </r>
  </si>
  <si>
    <t>HasBeverage</t>
  </si>
  <si>
    <t>Orders – Beverage Item + UPI Payment (Unique Count)</t>
  </si>
  <si>
    <t>OrderTotal</t>
  </si>
  <si>
    <t xml:space="preserve"> Average ticket size by Shift for July and August combined. </t>
  </si>
  <si>
    <t>Lunch Revenue – Aug 2025 (Head Office Cafe)</t>
  </si>
  <si>
    <t>ComboFlag</t>
  </si>
  <si>
    <t>DiscountFlag</t>
  </si>
  <si>
    <t>Row Labels</t>
  </si>
  <si>
    <t>Grand Total</t>
  </si>
  <si>
    <t>(All)</t>
  </si>
  <si>
    <t>Sum of Qty</t>
  </si>
  <si>
    <t>(Multiple Items)</t>
  </si>
  <si>
    <t>Revenue</t>
  </si>
  <si>
    <t>Top 10 SKUs by Revenue (August Only)</t>
  </si>
  <si>
    <t>Revenue Contribution (%) by Branch within Each Category</t>
  </si>
  <si>
    <t>Sum of Revenue</t>
  </si>
  <si>
    <t>FoodCost</t>
  </si>
  <si>
    <t>Sum of GM%</t>
  </si>
  <si>
    <t>Food Cost</t>
  </si>
  <si>
    <t>Total Revenue</t>
  </si>
  <si>
    <t>Branch Name</t>
  </si>
  <si>
    <t xml:space="preserve"> Gross Margin% by Branch</t>
  </si>
  <si>
    <t>Avg Feedback Rating</t>
  </si>
  <si>
    <t>Avg Waste Cost</t>
  </si>
  <si>
    <t>WasteCost</t>
  </si>
  <si>
    <t>Waste%</t>
  </si>
  <si>
    <t>Select SKU</t>
  </si>
  <si>
    <t>Select Field</t>
  </si>
  <si>
    <t>Result</t>
  </si>
  <si>
    <t>SKU-Based Unit Price &amp; Cost Retrieval System</t>
  </si>
  <si>
    <t>GrossProfit</t>
  </si>
  <si>
    <t>GM%</t>
  </si>
  <si>
    <t>Combo</t>
  </si>
  <si>
    <t>Single</t>
  </si>
  <si>
    <t>Count of OrderID</t>
  </si>
  <si>
    <t>Avg Ticket</t>
  </si>
  <si>
    <t>Avg GP</t>
  </si>
  <si>
    <t>Avg GM%</t>
  </si>
  <si>
    <t>Combo % by Branch</t>
  </si>
  <si>
    <t>Column Labels</t>
  </si>
  <si>
    <t>Combo % by Shift</t>
  </si>
  <si>
    <t>Combo vs Single Comparison</t>
  </si>
  <si>
    <t>HasHotMeal</t>
  </si>
  <si>
    <t>HasSnack</t>
  </si>
  <si>
    <t>HasDessert</t>
  </si>
  <si>
    <t>Category Combination</t>
  </si>
  <si>
    <t>Beverage + Snack</t>
  </si>
  <si>
    <t>Beverage + Hot Meal</t>
  </si>
  <si>
    <t>Dessert + Hot Meal</t>
  </si>
  <si>
    <t>Hot Meal + Snack</t>
  </si>
  <si>
    <t>Beverage + Dessert</t>
  </si>
  <si>
    <t>Dessert + Snack</t>
  </si>
  <si>
    <t>Cost</t>
  </si>
  <si>
    <t>Combo %</t>
  </si>
  <si>
    <t>Gap (Combo - Single)</t>
  </si>
  <si>
    <t>Avg Cost</t>
  </si>
  <si>
    <t>Number of Orders</t>
  </si>
  <si>
    <t>Average of OrderTotal</t>
  </si>
  <si>
    <t>s</t>
  </si>
  <si>
    <t>Combo Profitability Simulator</t>
  </si>
  <si>
    <t>Net Selling Price</t>
  </si>
  <si>
    <t>Gross Profit</t>
  </si>
  <si>
    <t>Gross Margin %</t>
  </si>
  <si>
    <t>Beverage Stock</t>
  </si>
  <si>
    <t>Enter Discount</t>
  </si>
  <si>
    <t>Interactive Combo Sales &amp; Profitability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</si>
</sst>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hh:mm"/>
    <numFmt numFmtId="165" formatCode="yyyy\-mm\-dd"/>
    <numFmt numFmtId="166" formatCode="&quot;₹&quot;\ #,##0.00"/>
  </numFmts>
  <fonts count="15" x14ac:knownFonts="1">
    <font>
      <sz val="11"/>
      <color theme="1"/>
      <name val="Calibri"/>
      <family val="2"/>
      <scheme val="minor"/>
    </font>
    <font>
      <b/>
      <sz val="11"/>
      <color theme="1"/>
      <name val="Calibri"/>
      <family val="2"/>
      <scheme val="minor"/>
    </font>
    <font>
      <sz val="14"/>
      <color theme="1"/>
      <name val="Calibri"/>
      <family val="2"/>
      <scheme val="minor"/>
    </font>
    <font>
      <sz val="16"/>
      <color theme="1"/>
      <name val="Calibri"/>
      <family val="2"/>
      <scheme val="minor"/>
    </font>
    <font>
      <sz val="11"/>
      <name val="Calibri"/>
      <family val="2"/>
      <scheme val="minor"/>
    </font>
    <font>
      <sz val="11"/>
      <color theme="4" tint="0.59999389629810485"/>
      <name val="Calibri"/>
      <family val="2"/>
      <scheme val="minor"/>
    </font>
    <font>
      <sz val="11"/>
      <color theme="0" tint="-0.34998626667073579"/>
      <name val="Calibri"/>
      <family val="2"/>
      <scheme val="minor"/>
    </font>
    <font>
      <sz val="11"/>
      <color rgb="FF006100"/>
      <name val="Calibri"/>
      <family val="2"/>
      <scheme val="minor"/>
    </font>
    <font>
      <b/>
      <sz val="18"/>
      <name val="Calibri"/>
    </font>
    <font>
      <sz val="14"/>
      <name val="Calibri"/>
      <family val="2"/>
      <scheme val="minor"/>
    </font>
    <font>
      <b/>
      <sz val="20"/>
      <name val="Calibri"/>
      <family val="2"/>
      <scheme val="minor"/>
    </font>
    <font>
      <b/>
      <sz val="14"/>
      <name val="Calibri"/>
      <family val="2"/>
      <scheme val="minor"/>
    </font>
    <font>
      <b/>
      <sz val="14"/>
      <color theme="1"/>
      <name val="Calibri"/>
      <family val="2"/>
      <scheme val="minor"/>
    </font>
    <font>
      <b/>
      <sz val="14"/>
      <color theme="4" tint="0.59999389629810485"/>
      <name val="Calibri"/>
      <family val="2"/>
      <scheme val="minor"/>
    </font>
    <font>
      <b/>
      <sz val="24"/>
      <color theme="1"/>
      <name val="Calibri"/>
      <family val="2"/>
    </font>
  </fonts>
  <fills count="14">
    <fill>
      <patternFill patternType="none"/>
    </fill>
    <fill>
      <patternFill patternType="gray125"/>
    </fill>
    <fill>
      <patternFill patternType="solid">
        <fgColor theme="3" tint="0.59999389629810485"/>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theme="8" tint="-0.249977111117893"/>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C6EFCE"/>
      </patternFill>
    </fill>
    <fill>
      <patternFill patternType="solid">
        <fgColor theme="6" tint="0.59999389629810485"/>
        <bgColor indexed="64"/>
      </patternFill>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1">
    <xf numFmtId="0" fontId="0" fillId="0" borderId="0"/>
  </cellStyleXfs>
  <cellXfs count="55">
    <xf numFmtId="0" fontId="0" fillId="0" borderId="0" xfId="0"/>
    <xf numFmtId="164" fontId="0" fillId="0" borderId="0" xfId="0" applyNumberFormat="1"/>
    <xf numFmtId="165" fontId="0" fillId="0" borderId="0" xfId="0" applyNumberFormat="1"/>
    <xf numFmtId="0" fontId="1" fillId="0" borderId="1" xfId="0" applyFont="1" applyBorder="1" applyAlignment="1">
      <alignment horizontal="center" vertical="top"/>
    </xf>
    <xf numFmtId="10" fontId="1" fillId="0" borderId="1" xfId="0" applyNumberFormat="1" applyFont="1" applyBorder="1" applyAlignment="1">
      <alignment horizontal="center" vertical="top"/>
    </xf>
    <xf numFmtId="10" fontId="0" fillId="0" borderId="0" xfId="0" applyNumberFormat="1"/>
    <xf numFmtId="14" fontId="1" fillId="0" borderId="1" xfId="0" applyNumberFormat="1" applyFont="1" applyBorder="1" applyAlignment="1">
      <alignment horizontal="center" vertical="top"/>
    </xf>
    <xf numFmtId="14" fontId="0" fillId="0" borderId="0" xfId="0" applyNumberFormat="1"/>
    <xf numFmtId="2" fontId="1" fillId="0" borderId="1" xfId="0" applyNumberFormat="1" applyFont="1" applyBorder="1" applyAlignment="1">
      <alignment horizontal="center" vertical="top"/>
    </xf>
    <xf numFmtId="2" fontId="0" fillId="0" borderId="0" xfId="0" applyNumberFormat="1"/>
    <xf numFmtId="166" fontId="1" fillId="0" borderId="1" xfId="0" applyNumberFormat="1" applyFont="1" applyBorder="1" applyAlignment="1">
      <alignment horizontal="center" vertical="top"/>
    </xf>
    <xf numFmtId="166" fontId="0" fillId="0" borderId="0" xfId="0" applyNumberFormat="1"/>
    <xf numFmtId="0" fontId="0" fillId="0" borderId="0" xfId="0" applyAlignment="1">
      <alignment horizontal="center"/>
    </xf>
    <xf numFmtId="166" fontId="0" fillId="2" borderId="0" xfId="0" applyNumberFormat="1" applyFill="1"/>
    <xf numFmtId="0" fontId="0" fillId="3" borderId="0" xfId="0" applyFill="1"/>
    <xf numFmtId="166" fontId="0" fillId="3" borderId="0" xfId="0" applyNumberFormat="1" applyFill="1"/>
    <xf numFmtId="10" fontId="0" fillId="4" borderId="0" xfId="0" applyNumberFormat="1" applyFill="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vertical="center"/>
    </xf>
    <xf numFmtId="0" fontId="0" fillId="8" borderId="0" xfId="0" applyFill="1" applyAlignment="1">
      <alignment horizontal="left"/>
    </xf>
    <xf numFmtId="10" fontId="0" fillId="8" borderId="0" xfId="0" applyNumberFormat="1" applyFill="1"/>
    <xf numFmtId="0" fontId="1" fillId="10" borderId="2" xfId="0" applyFont="1" applyFill="1" applyBorder="1"/>
    <xf numFmtId="0" fontId="1" fillId="0" borderId="0" xfId="0" applyFont="1"/>
    <xf numFmtId="0" fontId="6" fillId="11" borderId="0" xfId="0" applyFont="1" applyFill="1" applyAlignment="1"/>
    <xf numFmtId="0" fontId="5" fillId="11" borderId="0" xfId="0" applyFont="1" applyFill="1" applyAlignment="1"/>
    <xf numFmtId="0" fontId="7" fillId="12" borderId="0" xfId="0" applyFont="1" applyFill="1"/>
    <xf numFmtId="0" fontId="4" fillId="11" borderId="0" xfId="0" applyFont="1" applyFill="1" applyAlignment="1"/>
    <xf numFmtId="0" fontId="9" fillId="11" borderId="0" xfId="0" applyFont="1" applyFill="1" applyAlignment="1"/>
    <xf numFmtId="166" fontId="9" fillId="11" borderId="0" xfId="0" applyNumberFormat="1" applyFont="1" applyFill="1" applyAlignment="1"/>
    <xf numFmtId="10" fontId="9" fillId="11" borderId="0" xfId="0" applyNumberFormat="1" applyFont="1" applyFill="1" applyAlignment="1"/>
    <xf numFmtId="0" fontId="3" fillId="6" borderId="0" xfId="0" applyFont="1" applyFill="1" applyAlignment="1">
      <alignment horizontal="center" vertical="center"/>
    </xf>
    <xf numFmtId="0" fontId="0" fillId="6" borderId="0" xfId="0" applyFill="1" applyAlignment="1">
      <alignment horizontal="center" vertical="center"/>
    </xf>
    <xf numFmtId="0" fontId="3" fillId="5" borderId="0" xfId="0" applyFont="1" applyFill="1"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top" wrapText="1"/>
    </xf>
    <xf numFmtId="0" fontId="0" fillId="5" borderId="0" xfId="0" applyFill="1" applyAlignment="1">
      <alignment horizontal="center" vertical="top"/>
    </xf>
    <xf numFmtId="0" fontId="4" fillId="9" borderId="0" xfId="0" applyFont="1" applyFill="1" applyAlignment="1">
      <alignment horizontal="center" vertical="center"/>
    </xf>
    <xf numFmtId="0" fontId="0" fillId="9" borderId="0" xfId="0" applyFill="1" applyAlignment="1">
      <alignment horizontal="center" vertical="center"/>
    </xf>
    <xf numFmtId="0" fontId="2" fillId="7" borderId="0" xfId="0" applyFont="1" applyFill="1" applyAlignment="1">
      <alignment horizontal="left" vertical="center"/>
    </xf>
    <xf numFmtId="0" fontId="0" fillId="7" borderId="0" xfId="0" applyFill="1" applyAlignment="1">
      <alignment horizontal="left" vertical="center"/>
    </xf>
    <xf numFmtId="0" fontId="2" fillId="3" borderId="0" xfId="0" applyFont="1" applyFill="1" applyAlignment="1">
      <alignment horizontal="left" vertical="center"/>
    </xf>
    <xf numFmtId="0" fontId="0" fillId="3" borderId="0" xfId="0" applyFill="1" applyAlignment="1">
      <alignment horizontal="left" vertical="center"/>
    </xf>
    <xf numFmtId="0" fontId="2" fillId="3" borderId="0" xfId="0" applyFont="1" applyFill="1" applyAlignment="1">
      <alignment horizontal="center"/>
    </xf>
    <xf numFmtId="0" fontId="0" fillId="3" borderId="0" xfId="0" applyFill="1" applyAlignment="1">
      <alignment horizontal="center"/>
    </xf>
    <xf numFmtId="2" fontId="9" fillId="11" borderId="0" xfId="0" applyNumberFormat="1" applyFont="1" applyFill="1" applyAlignment="1"/>
    <xf numFmtId="0" fontId="11" fillId="11" borderId="0" xfId="0" applyFont="1" applyFill="1" applyAlignment="1"/>
    <xf numFmtId="0" fontId="13" fillId="11" borderId="0" xfId="0" applyFont="1" applyFill="1" applyAlignment="1"/>
    <xf numFmtId="0" fontId="8" fillId="11" borderId="0" xfId="0" applyFont="1" applyFill="1" applyAlignment="1">
      <alignment horizontal="center" vertical="center"/>
    </xf>
    <xf numFmtId="0" fontId="0" fillId="11" borderId="0" xfId="0" applyFill="1" applyAlignment="1">
      <alignment vertical="center"/>
    </xf>
    <xf numFmtId="0" fontId="10" fillId="11" borderId="0" xfId="0" applyFont="1" applyFill="1" applyAlignment="1"/>
    <xf numFmtId="0" fontId="12" fillId="11" borderId="0" xfId="0" applyFont="1" applyFill="1"/>
    <xf numFmtId="0" fontId="0" fillId="13" borderId="0" xfId="0" applyFill="1"/>
    <xf numFmtId="0" fontId="14" fillId="13" borderId="0" xfId="0" applyFont="1" applyFill="1" applyAlignment="1">
      <alignment horizontal="center"/>
    </xf>
  </cellXfs>
  <cellStyles count="1">
    <cellStyle name="Normal" xfId="0" builtinId="0"/>
  </cellStyles>
  <dxfs count="144">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66" formatCode="&quot;₹&quot;\ #,##0.00"/>
    </dxf>
    <dxf>
      <numFmt numFmtId="166" formatCode="&quot;₹&quot;\ #,##0.00"/>
    </dxf>
    <dxf>
      <font>
        <b val="0"/>
        <i val="0"/>
        <strike val="0"/>
        <condense val="0"/>
        <extend val="0"/>
        <outline val="0"/>
        <shadow val="0"/>
        <u val="none"/>
        <vertAlign val="baseline"/>
        <sz val="11"/>
        <color rgb="FF006100"/>
        <name val="Calibri"/>
        <family val="2"/>
        <scheme val="minor"/>
      </font>
      <fill>
        <patternFill patternType="solid">
          <fgColor indexed="65"/>
          <bgColor rgb="FFC6EFCE"/>
        </patternFill>
      </fill>
    </dxf>
    <dxf>
      <numFmt numFmtId="14" formatCode="0.00%"/>
    </dxf>
    <dxf>
      <fill>
        <patternFill patternType="solid">
          <bgColor theme="3" tint="0.79998168889431442"/>
        </patternFill>
      </fill>
    </dxf>
    <dxf>
      <fill>
        <patternFill patternType="solid">
          <bgColor theme="3" tint="0.79998168889431442"/>
        </patternFill>
      </fill>
    </dxf>
    <dxf>
      <fill>
        <patternFill patternType="solid">
          <bgColor theme="3" tint="0.79998168889431442"/>
        </patternFill>
      </fill>
    </dxf>
    <dxf>
      <font>
        <color rgb="FF9C0006"/>
      </font>
      <fill>
        <patternFill>
          <bgColor rgb="FFFFC7CE"/>
        </patternFill>
      </fill>
    </dxf>
    <dxf>
      <font>
        <color rgb="FF9C0006"/>
      </font>
      <fill>
        <patternFill>
          <bgColor rgb="FFFFC7CE"/>
        </patternFill>
      </fill>
    </dxf>
    <dxf>
      <numFmt numFmtId="14" formatCode="0.00%"/>
    </dxf>
    <dxf>
      <numFmt numFmtId="2" formatCode="0.00"/>
    </dxf>
    <dxf>
      <numFmt numFmtId="19" formatCode="dd/mm/yyyy"/>
    </dxf>
    <dxf>
      <fill>
        <patternFill>
          <bgColor rgb="FFFFC000"/>
        </patternFill>
      </fill>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ill>
        <patternFill>
          <bgColor rgb="FFFFFF00"/>
        </patternFill>
      </fill>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0" formatCode="General"/>
    </dxf>
    <dxf>
      <numFmt numFmtId="166" formatCode="&quot;₹&quot;\ #,##0.00"/>
    </dxf>
    <dxf>
      <numFmt numFmtId="0" formatCode="General"/>
    </dxf>
    <dxf>
      <numFmt numFmtId="0" formatCode="General"/>
    </dxf>
    <dxf>
      <numFmt numFmtId="19" formatCode="dd/mm/yyyy"/>
    </dxf>
    <dxf>
      <numFmt numFmtId="19" formatCode="dd/mm/yyyy"/>
    </dxf>
    <dxf>
      <numFmt numFmtId="0" formatCode="General"/>
    </dxf>
    <dxf>
      <numFmt numFmtId="2" formatCode="0.00"/>
    </dxf>
    <dxf>
      <numFmt numFmtId="2" formatCode="0.00"/>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66" formatCode="&quot;₹&quot;\ #,##0.00"/>
    </dxf>
    <dxf>
      <numFmt numFmtId="0" formatCode="General"/>
    </dxf>
    <dxf>
      <numFmt numFmtId="0" formatCode="General"/>
    </dxf>
    <dxf>
      <numFmt numFmtId="0" formatCode="General"/>
    </dxf>
    <dxf>
      <numFmt numFmtId="14" formatCode="0.00%"/>
    </dxf>
    <dxf>
      <numFmt numFmtId="166" formatCode="&quot;₹&quot;\ #,##0.00"/>
    </dxf>
    <dxf>
      <numFmt numFmtId="0" formatCode="General"/>
    </dxf>
    <dxf>
      <numFmt numFmtId="0" formatCode="General"/>
    </dxf>
    <dxf>
      <numFmt numFmtId="0" formatCode="General"/>
    </dxf>
    <dxf>
      <numFmt numFmtId="0" formatCode="General"/>
    </dxf>
    <dxf>
      <numFmt numFmtId="14" formatCode="0.00%"/>
    </dxf>
    <dxf>
      <numFmt numFmtId="164" formatCode="yyyy\-mm\-dd\ hh:mm"/>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F4F8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[PramitavaDas_Answers_Day7.xlsx]Day7-Pivot &amp; Helper Sheet!PivotTable5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t>Average Order Metrics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66285978058926"/>
          <c:y val="0.15203674163121383"/>
          <c:w val="0.83225457526771829"/>
          <c:h val="0.64862700126391692"/>
        </c:manualLayout>
      </c:layout>
      <c:barChart>
        <c:barDir val="col"/>
        <c:grouping val="clustered"/>
        <c:varyColors val="0"/>
        <c:ser>
          <c:idx val="0"/>
          <c:order val="0"/>
          <c:tx>
            <c:strRef>
              <c:f>'Day7-Pivot &amp; Helper Sheet'!$I$20</c:f>
              <c:strCache>
                <c:ptCount val="1"/>
                <c:pt idx="0">
                  <c:v>Avg Ticket</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Sheet'!$H$21:$H$23</c:f>
              <c:strCache>
                <c:ptCount val="2"/>
                <c:pt idx="0">
                  <c:v>Combo</c:v>
                </c:pt>
                <c:pt idx="1">
                  <c:v>Single</c:v>
                </c:pt>
              </c:strCache>
            </c:strRef>
          </c:cat>
          <c:val>
            <c:numRef>
              <c:f>'Day7-Pivot &amp; Helper Sheet'!$I$21:$I$23</c:f>
              <c:numCache>
                <c:formatCode>"₹"\ #,##0.00</c:formatCode>
                <c:ptCount val="2"/>
                <c:pt idx="0">
                  <c:v>544.19233372093049</c:v>
                </c:pt>
                <c:pt idx="1">
                  <c:v>313.31054708029222</c:v>
                </c:pt>
              </c:numCache>
            </c:numRef>
          </c:val>
          <c:extLst>
            <c:ext xmlns:c16="http://schemas.microsoft.com/office/drawing/2014/chart" uri="{C3380CC4-5D6E-409C-BE32-E72D297353CC}">
              <c16:uniqueId val="{00000000-1FC8-420F-AB6D-9A65EAEA4EC3}"/>
            </c:ext>
          </c:extLst>
        </c:ser>
        <c:ser>
          <c:idx val="1"/>
          <c:order val="1"/>
          <c:tx>
            <c:strRef>
              <c:f>'Day7-Pivot &amp; Helper Sheet'!$J$20</c:f>
              <c:strCache>
                <c:ptCount val="1"/>
                <c:pt idx="0">
                  <c:v>Avg Cost</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Sheet'!$H$21:$H$23</c:f>
              <c:strCache>
                <c:ptCount val="2"/>
                <c:pt idx="0">
                  <c:v>Combo</c:v>
                </c:pt>
                <c:pt idx="1">
                  <c:v>Single</c:v>
                </c:pt>
              </c:strCache>
            </c:strRef>
          </c:cat>
          <c:val>
            <c:numRef>
              <c:f>'Day7-Pivot &amp; Helper Sheet'!$J$21:$J$23</c:f>
              <c:numCache>
                <c:formatCode>"₹"\ #,##0.00</c:formatCode>
                <c:ptCount val="2"/>
                <c:pt idx="0">
                  <c:v>265.39465116279069</c:v>
                </c:pt>
                <c:pt idx="1">
                  <c:v>154.4721167883211</c:v>
                </c:pt>
              </c:numCache>
            </c:numRef>
          </c:val>
          <c:extLst>
            <c:ext xmlns:c16="http://schemas.microsoft.com/office/drawing/2014/chart" uri="{C3380CC4-5D6E-409C-BE32-E72D297353CC}">
              <c16:uniqueId val="{00000001-1FC8-420F-AB6D-9A65EAEA4EC3}"/>
            </c:ext>
          </c:extLst>
        </c:ser>
        <c:ser>
          <c:idx val="2"/>
          <c:order val="2"/>
          <c:tx>
            <c:strRef>
              <c:f>'Day7-Pivot &amp; Helper Sheet'!$K$20</c:f>
              <c:strCache>
                <c:ptCount val="1"/>
                <c:pt idx="0">
                  <c:v>Avg GP</c:v>
                </c:pt>
              </c:strCache>
            </c:strRef>
          </c:tx>
          <c:spPr>
            <a:solidFill>
              <a:schemeClr val="accent5">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Sheet'!$H$21:$H$23</c:f>
              <c:strCache>
                <c:ptCount val="2"/>
                <c:pt idx="0">
                  <c:v>Combo</c:v>
                </c:pt>
                <c:pt idx="1">
                  <c:v>Single</c:v>
                </c:pt>
              </c:strCache>
            </c:strRef>
          </c:cat>
          <c:val>
            <c:numRef>
              <c:f>'Day7-Pivot &amp; Helper Sheet'!$K$21:$K$23</c:f>
              <c:numCache>
                <c:formatCode>"₹"\ #,##0.00</c:formatCode>
                <c:ptCount val="2"/>
                <c:pt idx="0">
                  <c:v>278.79768255813946</c:v>
                </c:pt>
                <c:pt idx="1">
                  <c:v>158.83843029197089</c:v>
                </c:pt>
              </c:numCache>
            </c:numRef>
          </c:val>
          <c:extLst>
            <c:ext xmlns:c16="http://schemas.microsoft.com/office/drawing/2014/chart" uri="{C3380CC4-5D6E-409C-BE32-E72D297353CC}">
              <c16:uniqueId val="{00000002-1FC8-420F-AB6D-9A65EAEA4EC3}"/>
            </c:ext>
          </c:extLst>
        </c:ser>
        <c:dLbls>
          <c:dLblPos val="outEnd"/>
          <c:showLegendKey val="0"/>
          <c:showVal val="1"/>
          <c:showCatName val="0"/>
          <c:showSerName val="0"/>
          <c:showPercent val="0"/>
          <c:showBubbleSize val="0"/>
        </c:dLbls>
        <c:gapWidth val="219"/>
        <c:overlap val="-27"/>
        <c:axId val="1638333759"/>
        <c:axId val="1638339999"/>
      </c:barChart>
      <c:catAx>
        <c:axId val="1638333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8339999"/>
        <c:crosses val="autoZero"/>
        <c:auto val="1"/>
        <c:lblAlgn val="ctr"/>
        <c:lblOffset val="100"/>
        <c:noMultiLvlLbl val="0"/>
      </c:catAx>
      <c:valAx>
        <c:axId val="163833999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6383337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[PramitavaDas_Answers_Day7.xlsx]Day7-Pivot &amp; Helper Sheet!PivotTable6</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400" b="1"/>
              <a:t>Combo vs Single — Gross Margin %</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3">
              <a:lumMod val="50000"/>
            </a:schemeClr>
          </a:solidFill>
          <a:ln>
            <a:noFill/>
          </a:ln>
          <a:effectLst/>
        </c:spPr>
      </c:pivotFmt>
    </c:pivotFmts>
    <c:plotArea>
      <c:layout/>
      <c:barChart>
        <c:barDir val="col"/>
        <c:grouping val="clustered"/>
        <c:varyColors val="0"/>
        <c:ser>
          <c:idx val="0"/>
          <c:order val="0"/>
          <c:tx>
            <c:strRef>
              <c:f>'Day7-Pivot &amp; Helper Sheet'!$I$26</c:f>
              <c:strCache>
                <c:ptCount val="1"/>
                <c:pt idx="0">
                  <c:v>Total</c:v>
                </c:pt>
              </c:strCache>
            </c:strRef>
          </c:tx>
          <c:spPr>
            <a:solidFill>
              <a:schemeClr val="accent3">
                <a:lumMod val="50000"/>
              </a:schemeClr>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3-5766-435A-9463-EDBCC1C22CDC}"/>
              </c:ext>
            </c:extLst>
          </c:dPt>
          <c:dLbls>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Sheet'!$H$27:$H$29</c:f>
              <c:strCache>
                <c:ptCount val="2"/>
                <c:pt idx="0">
                  <c:v>Combo</c:v>
                </c:pt>
                <c:pt idx="1">
                  <c:v>Single</c:v>
                </c:pt>
              </c:strCache>
            </c:strRef>
          </c:cat>
          <c:val>
            <c:numRef>
              <c:f>'Day7-Pivot &amp; Helper Sheet'!$I$27:$I$29</c:f>
              <c:numCache>
                <c:formatCode>0.00%</c:formatCode>
                <c:ptCount val="2"/>
                <c:pt idx="0">
                  <c:v>0.50773492325496328</c:v>
                </c:pt>
                <c:pt idx="1">
                  <c:v>0.50892719282512477</c:v>
                </c:pt>
              </c:numCache>
            </c:numRef>
          </c:val>
          <c:extLst>
            <c:ext xmlns:c16="http://schemas.microsoft.com/office/drawing/2014/chart" uri="{C3380CC4-5D6E-409C-BE32-E72D297353CC}">
              <c16:uniqueId val="{00000000-5766-435A-9463-EDBCC1C22CDC}"/>
            </c:ext>
          </c:extLst>
        </c:ser>
        <c:dLbls>
          <c:dLblPos val="outEnd"/>
          <c:showLegendKey val="0"/>
          <c:showVal val="1"/>
          <c:showCatName val="0"/>
          <c:showSerName val="0"/>
          <c:showPercent val="0"/>
          <c:showBubbleSize val="0"/>
        </c:dLbls>
        <c:gapWidth val="219"/>
        <c:overlap val="-27"/>
        <c:axId val="1788563519"/>
        <c:axId val="1788563103"/>
      </c:barChart>
      <c:catAx>
        <c:axId val="178856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1788563103"/>
        <c:crosses val="autoZero"/>
        <c:auto val="1"/>
        <c:lblAlgn val="ctr"/>
        <c:lblOffset val="100"/>
        <c:noMultiLvlLbl val="0"/>
      </c:catAx>
      <c:valAx>
        <c:axId val="17885631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1788563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[PramitavaDas_Answers_Day7.xlsx]Day7-Pivot &amp; Helper Sheet!PivotTable2</c:name>
    <c:fmtId val="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400" b="1"/>
              <a:t>Combo Adoption Rate by Shift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'Day7-Pivot &amp; Helper Sheet'!$B$10:$B$11</c:f>
              <c:strCache>
                <c:ptCount val="1"/>
                <c:pt idx="0">
                  <c:v>Combo</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Sheet'!$A$12:$A$15</c:f>
              <c:strCache>
                <c:ptCount val="3"/>
                <c:pt idx="0">
                  <c:v>Head Office Café</c:v>
                </c:pt>
                <c:pt idx="1">
                  <c:v>Plant 1 Canteen</c:v>
                </c:pt>
                <c:pt idx="2">
                  <c:v>Plant 2 Canteen</c:v>
                </c:pt>
              </c:strCache>
            </c:strRef>
          </c:cat>
          <c:val>
            <c:numRef>
              <c:f>'Day7-Pivot &amp; Helper Sheet'!$B$12:$B$15</c:f>
              <c:numCache>
                <c:formatCode>0.00%</c:formatCode>
                <c:ptCount val="3"/>
                <c:pt idx="0">
                  <c:v>0.28925619834710742</c:v>
                </c:pt>
                <c:pt idx="1">
                  <c:v>0.13761467889908258</c:v>
                </c:pt>
                <c:pt idx="2">
                  <c:v>0.27692307692307694</c:v>
                </c:pt>
              </c:numCache>
            </c:numRef>
          </c:val>
          <c:extLst>
            <c:ext xmlns:c16="http://schemas.microsoft.com/office/drawing/2014/chart" uri="{C3380CC4-5D6E-409C-BE32-E72D297353CC}">
              <c16:uniqueId val="{00000000-753B-40A7-9616-C1D7EAA15DB1}"/>
            </c:ext>
          </c:extLst>
        </c:ser>
        <c:ser>
          <c:idx val="1"/>
          <c:order val="1"/>
          <c:tx>
            <c:strRef>
              <c:f>'Day7-Pivot &amp; Helper Sheet'!$C$10:$C$11</c:f>
              <c:strCache>
                <c:ptCount val="1"/>
                <c:pt idx="0">
                  <c:v>Single</c:v>
                </c:pt>
              </c:strCache>
            </c:strRef>
          </c:tx>
          <c:spPr>
            <a:solidFill>
              <a:schemeClr val="accent3">
                <a:lumMod val="40000"/>
                <a:lumOff val="60000"/>
              </a:schemeClr>
            </a:solidFill>
            <a:ln>
              <a:noFill/>
            </a:ln>
            <a:effectLst/>
          </c:spPr>
          <c:invertIfNegative val="0"/>
          <c:cat>
            <c:strRef>
              <c:f>'Day7-Pivot &amp; Helper Sheet'!$A$12:$A$15</c:f>
              <c:strCache>
                <c:ptCount val="3"/>
                <c:pt idx="0">
                  <c:v>Head Office Café</c:v>
                </c:pt>
                <c:pt idx="1">
                  <c:v>Plant 1 Canteen</c:v>
                </c:pt>
                <c:pt idx="2">
                  <c:v>Plant 2 Canteen</c:v>
                </c:pt>
              </c:strCache>
            </c:strRef>
          </c:cat>
          <c:val>
            <c:numRef>
              <c:f>'Day7-Pivot &amp; Helper Sheet'!$C$12:$C$15</c:f>
              <c:numCache>
                <c:formatCode>0.00%</c:formatCode>
                <c:ptCount val="3"/>
                <c:pt idx="0">
                  <c:v>0.71074380165289253</c:v>
                </c:pt>
                <c:pt idx="1">
                  <c:v>0.86238532110091748</c:v>
                </c:pt>
                <c:pt idx="2">
                  <c:v>0.72307692307692306</c:v>
                </c:pt>
              </c:numCache>
            </c:numRef>
          </c:val>
          <c:extLst>
            <c:ext xmlns:c16="http://schemas.microsoft.com/office/drawing/2014/chart" uri="{C3380CC4-5D6E-409C-BE32-E72D297353CC}">
              <c16:uniqueId val="{00000001-753B-40A7-9616-C1D7EAA15DB1}"/>
            </c:ext>
          </c:extLst>
        </c:ser>
        <c:dLbls>
          <c:showLegendKey val="0"/>
          <c:showVal val="0"/>
          <c:showCatName val="0"/>
          <c:showSerName val="0"/>
          <c:showPercent val="0"/>
          <c:showBubbleSize val="0"/>
        </c:dLbls>
        <c:gapWidth val="219"/>
        <c:overlap val="-27"/>
        <c:axId val="890535952"/>
        <c:axId val="890548432"/>
      </c:barChart>
      <c:catAx>
        <c:axId val="89053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crossAx val="890548432"/>
        <c:crosses val="autoZero"/>
        <c:auto val="1"/>
        <c:lblAlgn val="ctr"/>
        <c:lblOffset val="100"/>
        <c:noMultiLvlLbl val="0"/>
      </c:catAx>
      <c:valAx>
        <c:axId val="89054843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crossAx val="8905359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[PramitavaDas_Answers_Day7.xlsx]Day7-Pivot &amp; Helper Sheet!PivotTable3</c:name>
    <c:fmtId val="1"/>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400" b="1"/>
              <a:t>Combo Adoption % by Shift</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'Day7-Pivot &amp; Helper Sheet'!$B$19:$B$20</c:f>
              <c:strCache>
                <c:ptCount val="1"/>
                <c:pt idx="0">
                  <c:v>Combo</c:v>
                </c:pt>
              </c:strCache>
            </c:strRef>
          </c:tx>
          <c:spPr>
            <a:solidFill>
              <a:schemeClr val="accent3">
                <a:lumMod val="50000"/>
              </a:schemeClr>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Sheet'!$A$21:$A$24</c:f>
              <c:strCache>
                <c:ptCount val="3"/>
                <c:pt idx="0">
                  <c:v>Breakfast</c:v>
                </c:pt>
                <c:pt idx="1">
                  <c:v>Dinner</c:v>
                </c:pt>
                <c:pt idx="2">
                  <c:v>Lunch</c:v>
                </c:pt>
              </c:strCache>
            </c:strRef>
          </c:cat>
          <c:val>
            <c:numRef>
              <c:f>'Day7-Pivot &amp; Helper Sheet'!$B$21:$B$24</c:f>
              <c:numCache>
                <c:formatCode>0.00%</c:formatCode>
                <c:ptCount val="3"/>
                <c:pt idx="0">
                  <c:v>0.22598870056497175</c:v>
                </c:pt>
                <c:pt idx="1">
                  <c:v>0.2818181818181818</c:v>
                </c:pt>
                <c:pt idx="2">
                  <c:v>0.20547945205479451</c:v>
                </c:pt>
              </c:numCache>
            </c:numRef>
          </c:val>
          <c:extLst>
            <c:ext xmlns:c16="http://schemas.microsoft.com/office/drawing/2014/chart" uri="{C3380CC4-5D6E-409C-BE32-E72D297353CC}">
              <c16:uniqueId val="{00000000-E071-4E3E-8754-91E3B81D7020}"/>
            </c:ext>
          </c:extLst>
        </c:ser>
        <c:ser>
          <c:idx val="1"/>
          <c:order val="1"/>
          <c:tx>
            <c:strRef>
              <c:f>'Day7-Pivot &amp; Helper Sheet'!$C$19:$C$20</c:f>
              <c:strCache>
                <c:ptCount val="1"/>
                <c:pt idx="0">
                  <c:v>Single</c:v>
                </c:pt>
              </c:strCache>
            </c:strRef>
          </c:tx>
          <c:spPr>
            <a:solidFill>
              <a:schemeClr val="accent3">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lang="en-US"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Sheet'!$A$21:$A$24</c:f>
              <c:strCache>
                <c:ptCount val="3"/>
                <c:pt idx="0">
                  <c:v>Breakfast</c:v>
                </c:pt>
                <c:pt idx="1">
                  <c:v>Dinner</c:v>
                </c:pt>
                <c:pt idx="2">
                  <c:v>Lunch</c:v>
                </c:pt>
              </c:strCache>
            </c:strRef>
          </c:cat>
          <c:val>
            <c:numRef>
              <c:f>'Day7-Pivot &amp; Helper Sheet'!$C$21:$C$24</c:f>
              <c:numCache>
                <c:formatCode>0.00%</c:formatCode>
                <c:ptCount val="3"/>
                <c:pt idx="0">
                  <c:v>0.77401129943502822</c:v>
                </c:pt>
                <c:pt idx="1">
                  <c:v>0.71818181818181814</c:v>
                </c:pt>
                <c:pt idx="2">
                  <c:v>0.79452054794520544</c:v>
                </c:pt>
              </c:numCache>
            </c:numRef>
          </c:val>
          <c:extLst>
            <c:ext xmlns:c16="http://schemas.microsoft.com/office/drawing/2014/chart" uri="{C3380CC4-5D6E-409C-BE32-E72D297353CC}">
              <c16:uniqueId val="{00000001-E071-4E3E-8754-91E3B81D7020}"/>
            </c:ext>
          </c:extLst>
        </c:ser>
        <c:dLbls>
          <c:showLegendKey val="0"/>
          <c:showVal val="0"/>
          <c:showCatName val="0"/>
          <c:showSerName val="0"/>
          <c:showPercent val="0"/>
          <c:showBubbleSize val="0"/>
        </c:dLbls>
        <c:gapWidth val="219"/>
        <c:overlap val="-27"/>
        <c:axId val="984100992"/>
        <c:axId val="984101408"/>
      </c:barChart>
      <c:catAx>
        <c:axId val="98410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984101408"/>
        <c:crosses val="autoZero"/>
        <c:auto val="1"/>
        <c:lblAlgn val="ctr"/>
        <c:lblOffset val="100"/>
        <c:noMultiLvlLbl val="0"/>
      </c:catAx>
      <c:valAx>
        <c:axId val="98410140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200" b="0" i="0" u="none" strike="noStrike" kern="1200" baseline="0">
                <a:solidFill>
                  <a:schemeClr val="tx1"/>
                </a:solidFill>
                <a:latin typeface="+mn-lt"/>
                <a:ea typeface="+mn-ea"/>
                <a:cs typeface="+mn-cs"/>
              </a:defRPr>
            </a:pPr>
            <a:endParaRPr lang="en-US"/>
          </a:p>
        </c:txPr>
        <c:crossAx val="984100992"/>
        <c:crosses val="autoZero"/>
        <c:crossBetween val="between"/>
      </c:valAx>
      <c:spPr>
        <a:noFill/>
        <a:ln>
          <a:solidFill>
            <a:schemeClr val="bg1"/>
          </a:solidFill>
        </a:ln>
        <a:effectLst/>
      </c:spPr>
    </c:plotArea>
    <c:legend>
      <c:legendPos val="b"/>
      <c:overlay val="0"/>
      <c:spPr>
        <a:noFill/>
        <a:ln>
          <a:noFill/>
        </a:ln>
        <a:effectLst/>
      </c:spPr>
      <c:txPr>
        <a:bodyPr rot="0" spcFirstLastPara="1" vertOverflow="ellipsis" vert="horz" wrap="square" anchor="ctr" anchorCtr="1"/>
        <a:lstStyle/>
        <a:p>
          <a:pPr>
            <a:defRPr lang="en-US" sz="14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Most Frequent Item-Category Combinations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'Day7-Pivot &amp; Helper Sheet'!$I$10</c:f>
              <c:strCache>
                <c:ptCount val="1"/>
                <c:pt idx="0">
                  <c:v>Number of Orders</c:v>
                </c:pt>
              </c:strCache>
            </c:strRef>
          </c:tx>
          <c:spPr>
            <a:solidFill>
              <a:schemeClr val="accent3">
                <a:lumMod val="40000"/>
                <a:lumOff val="60000"/>
              </a:schemeClr>
            </a:solidFill>
            <a:ln>
              <a:noFill/>
            </a:ln>
            <a:effectLst/>
          </c:spPr>
          <c:invertIfNegative val="0"/>
          <c:dPt>
            <c:idx val="0"/>
            <c:invertIfNegative val="0"/>
            <c:bubble3D val="0"/>
            <c:spPr>
              <a:solidFill>
                <a:schemeClr val="accent3">
                  <a:lumMod val="50000"/>
                </a:schemeClr>
              </a:solidFill>
              <a:ln>
                <a:noFill/>
              </a:ln>
              <a:effectLst/>
            </c:spPr>
            <c:extLst>
              <c:ext xmlns:c16="http://schemas.microsoft.com/office/drawing/2014/chart" uri="{C3380CC4-5D6E-409C-BE32-E72D297353CC}">
                <c16:uniqueId val="{00000001-7F0C-490E-91E7-1024B2939067}"/>
              </c:ext>
            </c:extLst>
          </c:dPt>
          <c:dPt>
            <c:idx val="1"/>
            <c:invertIfNegative val="0"/>
            <c:bubble3D val="0"/>
            <c:spPr>
              <a:solidFill>
                <a:schemeClr val="accent3">
                  <a:lumMod val="75000"/>
                </a:schemeClr>
              </a:solidFill>
              <a:ln>
                <a:noFill/>
              </a:ln>
              <a:effectLst/>
            </c:spPr>
            <c:extLst>
              <c:ext xmlns:c16="http://schemas.microsoft.com/office/drawing/2014/chart" uri="{C3380CC4-5D6E-409C-BE32-E72D297353CC}">
                <c16:uniqueId val="{00000003-7F0C-490E-91E7-1024B2939067}"/>
              </c:ext>
            </c:extLst>
          </c:dPt>
          <c:dPt>
            <c:idx val="2"/>
            <c:invertIfNegative val="0"/>
            <c:bubble3D val="0"/>
            <c:spPr>
              <a:solidFill>
                <a:schemeClr val="accent3">
                  <a:lumMod val="60000"/>
                  <a:lumOff val="40000"/>
                </a:schemeClr>
              </a:solidFill>
              <a:ln>
                <a:noFill/>
              </a:ln>
              <a:effectLst/>
            </c:spPr>
            <c:extLst>
              <c:ext xmlns:c16="http://schemas.microsoft.com/office/drawing/2014/chart" uri="{C3380CC4-5D6E-409C-BE32-E72D297353CC}">
                <c16:uniqueId val="{00000005-7F0C-490E-91E7-1024B2939067}"/>
              </c:ext>
            </c:extLst>
          </c:dPt>
          <c:dLbls>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'Day7-Pivot &amp; Helper Sheet'!$H$11:$H$16</c:f>
              <c:strCache>
                <c:ptCount val="6"/>
                <c:pt idx="0">
                  <c:v>Beverage + Snack</c:v>
                </c:pt>
                <c:pt idx="1">
                  <c:v>Beverage + Hot Meal</c:v>
                </c:pt>
                <c:pt idx="2">
                  <c:v>Dessert + Hot Meal</c:v>
                </c:pt>
                <c:pt idx="3">
                  <c:v>Hot Meal + Snack</c:v>
                </c:pt>
                <c:pt idx="4">
                  <c:v>Beverage + Dessert</c:v>
                </c:pt>
                <c:pt idx="5">
                  <c:v>Dessert + Snack</c:v>
                </c:pt>
              </c:strCache>
            </c:strRef>
          </c:cat>
          <c:val>
            <c:numRef>
              <c:f>'Day7-Pivot &amp; Helper Sheet'!$I$11:$I$16</c:f>
              <c:numCache>
                <c:formatCode>General</c:formatCode>
                <c:ptCount val="6"/>
                <c:pt idx="0">
                  <c:v>87</c:v>
                </c:pt>
                <c:pt idx="1">
                  <c:v>86</c:v>
                </c:pt>
                <c:pt idx="2">
                  <c:v>86</c:v>
                </c:pt>
                <c:pt idx="3">
                  <c:v>85</c:v>
                </c:pt>
                <c:pt idx="4">
                  <c:v>81</c:v>
                </c:pt>
                <c:pt idx="5">
                  <c:v>72</c:v>
                </c:pt>
              </c:numCache>
            </c:numRef>
          </c:val>
          <c:extLst>
            <c:ext xmlns:c16="http://schemas.microsoft.com/office/drawing/2014/chart" uri="{C3380CC4-5D6E-409C-BE32-E72D297353CC}">
              <c16:uniqueId val="{00000006-7F0C-490E-91E7-1024B2939067}"/>
            </c:ext>
          </c:extLst>
        </c:ser>
        <c:dLbls>
          <c:showLegendKey val="0"/>
          <c:showVal val="0"/>
          <c:showCatName val="0"/>
          <c:showSerName val="0"/>
          <c:showPercent val="0"/>
          <c:showBubbleSize val="0"/>
        </c:dLbls>
        <c:gapWidth val="182"/>
        <c:axId val="64369775"/>
        <c:axId val="64368943"/>
      </c:barChart>
      <c:catAx>
        <c:axId val="643697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4368943"/>
        <c:crosses val="autoZero"/>
        <c:auto val="1"/>
        <c:lblAlgn val="ctr"/>
        <c:lblOffset val="100"/>
        <c:noMultiLvlLbl val="0"/>
      </c:catAx>
      <c:valAx>
        <c:axId val="64368943"/>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64369775"/>
        <c:crosses val="autoZero"/>
        <c:crossBetween val="between"/>
      </c:valAx>
      <c:spPr>
        <a:noFill/>
        <a:ln>
          <a:noFill/>
        </a:ln>
        <a:effectLst/>
      </c:spPr>
    </c:plotArea>
    <c:plotVisOnly val="1"/>
    <c:dispBlanksAs val="gap"/>
    <c:showDLblsOverMax val="0"/>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350540</xdr:colOff>
      <xdr:row>11</xdr:row>
      <xdr:rowOff>141654</xdr:rowOff>
    </xdr:from>
    <xdr:to>
      <xdr:col>10</xdr:col>
      <xdr:colOff>120739</xdr:colOff>
      <xdr:row>25</xdr:row>
      <xdr:rowOff>184517</xdr:rowOff>
    </xdr:to>
    <xdr:graphicFrame macro="">
      <xdr:nvGraphicFramePr>
        <xdr:cNvPr id="11" name="Chart 3">
          <a:extLst>
            <a:ext uri="{FF2B5EF4-FFF2-40B4-BE49-F238E27FC236}">
              <a16:creationId xmlns:a16="http://schemas.microsoft.com/office/drawing/2014/main" id="{840A02D1-FA69-416B-9024-07063CE66F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120739</xdr:colOff>
      <xdr:row>11</xdr:row>
      <xdr:rowOff>141654</xdr:rowOff>
    </xdr:from>
    <xdr:to>
      <xdr:col>21</xdr:col>
      <xdr:colOff>563451</xdr:colOff>
      <xdr:row>26</xdr:row>
      <xdr:rowOff>42057</xdr:rowOff>
    </xdr:to>
    <xdr:graphicFrame macro="">
      <xdr:nvGraphicFramePr>
        <xdr:cNvPr id="12" name="Chart 4">
          <a:extLst>
            <a:ext uri="{FF2B5EF4-FFF2-40B4-BE49-F238E27FC236}">
              <a16:creationId xmlns:a16="http://schemas.microsoft.com/office/drawing/2014/main" id="{A421A097-6CF4-41C4-940C-6564037895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576866</xdr:colOff>
      <xdr:row>11</xdr:row>
      <xdr:rowOff>141654</xdr:rowOff>
    </xdr:from>
    <xdr:to>
      <xdr:col>31</xdr:col>
      <xdr:colOff>174402</xdr:colOff>
      <xdr:row>26</xdr:row>
      <xdr:rowOff>67077</xdr:rowOff>
    </xdr:to>
    <xdr:graphicFrame macro="">
      <xdr:nvGraphicFramePr>
        <xdr:cNvPr id="3" name="Chart 2">
          <a:extLst>
            <a:ext uri="{FF2B5EF4-FFF2-40B4-BE49-F238E27FC236}">
              <a16:creationId xmlns:a16="http://schemas.microsoft.com/office/drawing/2014/main" id="{0D0414E9-8632-4A48-A1F7-FC63BF2AB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350540</xdr:colOff>
      <xdr:row>28</xdr:row>
      <xdr:rowOff>1934</xdr:rowOff>
    </xdr:from>
    <xdr:to>
      <xdr:col>10</xdr:col>
      <xdr:colOff>147570</xdr:colOff>
      <xdr:row>45</xdr:row>
      <xdr:rowOff>0</xdr:rowOff>
    </xdr:to>
    <xdr:graphicFrame macro="">
      <xdr:nvGraphicFramePr>
        <xdr:cNvPr id="4" name="Chart 3">
          <a:extLst>
            <a:ext uri="{FF2B5EF4-FFF2-40B4-BE49-F238E27FC236}">
              <a16:creationId xmlns:a16="http://schemas.microsoft.com/office/drawing/2014/main" id="{78613CF0-1BA8-469D-8D6E-9CB399B419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120739</xdr:colOff>
      <xdr:row>28</xdr:row>
      <xdr:rowOff>1934</xdr:rowOff>
    </xdr:from>
    <xdr:to>
      <xdr:col>31</xdr:col>
      <xdr:colOff>174402</xdr:colOff>
      <xdr:row>44</xdr:row>
      <xdr:rowOff>182695</xdr:rowOff>
    </xdr:to>
    <xdr:graphicFrame macro="">
      <xdr:nvGraphicFramePr>
        <xdr:cNvPr id="2" name="Chart 1">
          <a:extLst>
            <a:ext uri="{FF2B5EF4-FFF2-40B4-BE49-F238E27FC236}">
              <a16:creationId xmlns:a16="http://schemas.microsoft.com/office/drawing/2014/main" id="{E7A80D2D-0B4D-4646-988D-F1F366C1D5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330199</xdr:colOff>
      <xdr:row>3</xdr:row>
      <xdr:rowOff>156482</xdr:rowOff>
    </xdr:from>
    <xdr:to>
      <xdr:col>22</xdr:col>
      <xdr:colOff>76200</xdr:colOff>
      <xdr:row>10</xdr:row>
      <xdr:rowOff>93908</xdr:rowOff>
    </xdr:to>
    <mc:AlternateContent xmlns:mc="http://schemas.openxmlformats.org/markup-compatibility/2006" xmlns:a14="http://schemas.microsoft.com/office/drawing/2010/main">
      <mc:Choice Requires="a14">
        <xdr:graphicFrame macro="">
          <xdr:nvGraphicFramePr>
            <xdr:cNvPr id="13" name="Shift">
              <a:extLst>
                <a:ext uri="{FF2B5EF4-FFF2-40B4-BE49-F238E27FC236}">
                  <a16:creationId xmlns:a16="http://schemas.microsoft.com/office/drawing/2014/main" id="{3AB65F77-D687-42C5-93E2-AFE78B5B8D4A}"/>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10009658" y="1096110"/>
              <a:ext cx="3375799" cy="13936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308556</xdr:colOff>
      <xdr:row>3</xdr:row>
      <xdr:rowOff>127000</xdr:rowOff>
    </xdr:from>
    <xdr:to>
      <xdr:col>26</xdr:col>
      <xdr:colOff>28330</xdr:colOff>
      <xdr:row>10</xdr:row>
      <xdr:rowOff>80493</xdr:rowOff>
    </xdr:to>
    <mc:AlternateContent xmlns:mc="http://schemas.openxmlformats.org/markup-compatibility/2006" xmlns:a14="http://schemas.microsoft.com/office/drawing/2010/main">
      <mc:Choice Requires="a14">
        <xdr:graphicFrame macro="">
          <xdr:nvGraphicFramePr>
            <xdr:cNvPr id="14" name="Branch">
              <a:extLst>
                <a:ext uri="{FF2B5EF4-FFF2-40B4-BE49-F238E27FC236}">
                  <a16:creationId xmlns:a16="http://schemas.microsoft.com/office/drawing/2014/main" id="{F26AA58F-9B63-4E0E-A4B7-184FE2B0A487}"/>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3700444" y="1066628"/>
              <a:ext cx="2057008" cy="1368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339725</xdr:colOff>
      <xdr:row>3</xdr:row>
      <xdr:rowOff>161015</xdr:rowOff>
    </xdr:from>
    <xdr:to>
      <xdr:col>3</xdr:col>
      <xdr:colOff>558800</xdr:colOff>
      <xdr:row>10</xdr:row>
      <xdr:rowOff>172353</xdr:rowOff>
    </xdr:to>
    <xdr:sp macro="" textlink="'Day7-Pivot &amp; Helper Sheet'!A4">
      <xdr:nvSpPr>
        <xdr:cNvPr id="10" name="Rectangle: Rounded Corners 9">
          <a:extLst>
            <a:ext uri="{FF2B5EF4-FFF2-40B4-BE49-F238E27FC236}">
              <a16:creationId xmlns:a16="http://schemas.microsoft.com/office/drawing/2014/main" id="{777CA2C0-A1E2-4099-86AA-5388AA5DC1DC}"/>
            </a:ext>
          </a:extLst>
        </xdr:cNvPr>
        <xdr:cNvSpPr/>
      </xdr:nvSpPr>
      <xdr:spPr>
        <a:xfrm>
          <a:off x="339725" y="1100643"/>
          <a:ext cx="2033974" cy="1723264"/>
        </a:xfrm>
        <a:prstGeom prst="roundRect">
          <a:avLst/>
        </a:prstGeom>
        <a:gradFill>
          <a:gsLst>
            <a:gs pos="0">
              <a:schemeClr val="accent3">
                <a:lumMod val="40000"/>
                <a:lumOff val="60000"/>
              </a:schemeClr>
            </a:gs>
            <a:gs pos="66000">
              <a:schemeClr val="accent3">
                <a:lumMod val="95000"/>
                <a:lumOff val="5000"/>
              </a:schemeClr>
            </a:gs>
            <a:gs pos="100000">
              <a:schemeClr val="accent3">
                <a:lumMod val="60000"/>
              </a:schemeClr>
            </a:gs>
          </a:gsLst>
          <a:lin ang="27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51B7703C-C083-4746-BA56-6A3AF80B64F3}" type="TxLink">
            <a:rPr lang="en-US" sz="2400" b="1" i="0" u="none" strike="noStrike">
              <a:solidFill>
                <a:srgbClr val="000000"/>
              </a:solidFill>
              <a:latin typeface="Calibri"/>
              <a:ea typeface="Calibri"/>
              <a:cs typeface="Calibri"/>
            </a:rPr>
            <a:pPr marL="0" indent="0" algn="ctr"/>
            <a:t>86</a:t>
          </a:fld>
          <a:endParaRPr lang="en-IN" sz="2400" b="1" i="0" u="none" strike="noStrike">
            <a:solidFill>
              <a:srgbClr val="000000"/>
            </a:solidFill>
            <a:latin typeface="Calibri"/>
            <a:ea typeface="Calibri"/>
            <a:cs typeface="Calibri"/>
          </a:endParaRPr>
        </a:p>
      </xdr:txBody>
    </xdr:sp>
    <xdr:clientData/>
  </xdr:twoCellAnchor>
  <xdr:twoCellAnchor>
    <xdr:from>
      <xdr:col>4</xdr:col>
      <xdr:colOff>126094</xdr:colOff>
      <xdr:row>3</xdr:row>
      <xdr:rowOff>161015</xdr:rowOff>
    </xdr:from>
    <xdr:to>
      <xdr:col>7</xdr:col>
      <xdr:colOff>406400</xdr:colOff>
      <xdr:row>10</xdr:row>
      <xdr:rowOff>172353</xdr:rowOff>
    </xdr:to>
    <xdr:sp macro="" textlink="'Day7-Pivot &amp; Helper Sheet'!B4">
      <xdr:nvSpPr>
        <xdr:cNvPr id="16" name="Rectangle: Rounded Corners 15">
          <a:extLst>
            <a:ext uri="{FF2B5EF4-FFF2-40B4-BE49-F238E27FC236}">
              <a16:creationId xmlns:a16="http://schemas.microsoft.com/office/drawing/2014/main" id="{A86158B7-1DFE-4244-BD1D-58A000CDC832}"/>
            </a:ext>
          </a:extLst>
        </xdr:cNvPr>
        <xdr:cNvSpPr/>
      </xdr:nvSpPr>
      <xdr:spPr>
        <a:xfrm>
          <a:off x="2545959" y="1100643"/>
          <a:ext cx="2095205" cy="1723264"/>
        </a:xfrm>
        <a:prstGeom prst="roundRect">
          <a:avLst/>
        </a:prstGeom>
        <a:gradFill>
          <a:gsLst>
            <a:gs pos="0">
              <a:schemeClr val="accent3">
                <a:lumMod val="40000"/>
                <a:lumOff val="60000"/>
              </a:schemeClr>
            </a:gs>
            <a:gs pos="66000">
              <a:schemeClr val="accent3">
                <a:lumMod val="95000"/>
                <a:lumOff val="5000"/>
              </a:schemeClr>
            </a:gs>
            <a:gs pos="100000">
              <a:schemeClr val="accent3">
                <a:lumMod val="60000"/>
              </a:schemeClr>
            </a:gs>
          </a:gsLst>
          <a:lin ang="27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88C5A338-3D0C-4ACD-A1A4-7217855516BF}" type="TxLink">
            <a:rPr lang="en-US" sz="2400" b="1" i="0" u="none" strike="noStrike">
              <a:solidFill>
                <a:srgbClr val="000000"/>
              </a:solidFill>
              <a:latin typeface="Calibri"/>
              <a:ea typeface="Calibri"/>
              <a:cs typeface="Calibri"/>
            </a:rPr>
            <a:pPr marL="0" indent="0" algn="ctr"/>
            <a:t>₹ 544.19</a:t>
          </a:fld>
          <a:endParaRPr lang="en-IN" sz="2400" b="1" i="0" u="none" strike="noStrike">
            <a:solidFill>
              <a:srgbClr val="000000"/>
            </a:solidFill>
            <a:latin typeface="Calibri"/>
            <a:ea typeface="Calibri"/>
            <a:cs typeface="Calibri"/>
          </a:endParaRPr>
        </a:p>
      </xdr:txBody>
    </xdr:sp>
    <xdr:clientData/>
  </xdr:twoCellAnchor>
  <xdr:twoCellAnchor>
    <xdr:from>
      <xdr:col>8</xdr:col>
      <xdr:colOff>0</xdr:colOff>
      <xdr:row>3</xdr:row>
      <xdr:rowOff>161015</xdr:rowOff>
    </xdr:from>
    <xdr:to>
      <xdr:col>11</xdr:col>
      <xdr:colOff>304800</xdr:colOff>
      <xdr:row>10</xdr:row>
      <xdr:rowOff>172352</xdr:rowOff>
    </xdr:to>
    <xdr:sp macro="" textlink="'Day7-Pivot &amp; Helper Sheet'!C4">
      <xdr:nvSpPr>
        <xdr:cNvPr id="17" name="Rectangle: Rounded Corners 16">
          <a:extLst>
            <a:ext uri="{FF2B5EF4-FFF2-40B4-BE49-F238E27FC236}">
              <a16:creationId xmlns:a16="http://schemas.microsoft.com/office/drawing/2014/main" id="{83402C02-01E4-4292-89E9-5146FEAE98F7}"/>
            </a:ext>
          </a:extLst>
        </xdr:cNvPr>
        <xdr:cNvSpPr/>
      </xdr:nvSpPr>
      <xdr:spPr>
        <a:xfrm>
          <a:off x="4839730" y="1100643"/>
          <a:ext cx="2119698" cy="1723263"/>
        </a:xfrm>
        <a:prstGeom prst="roundRect">
          <a:avLst/>
        </a:prstGeom>
        <a:gradFill>
          <a:gsLst>
            <a:gs pos="0">
              <a:schemeClr val="accent3">
                <a:lumMod val="40000"/>
                <a:lumOff val="60000"/>
              </a:schemeClr>
            </a:gs>
            <a:gs pos="66000">
              <a:schemeClr val="accent3">
                <a:lumMod val="95000"/>
                <a:lumOff val="5000"/>
              </a:schemeClr>
            </a:gs>
            <a:gs pos="100000">
              <a:schemeClr val="accent3">
                <a:lumMod val="60000"/>
              </a:schemeClr>
            </a:gs>
          </a:gsLst>
          <a:lin ang="27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BADCDCB2-2FBD-4E12-B6A1-7FE11675CFB4}" type="TxLink">
            <a:rPr lang="en-US" sz="2400" b="1" i="0" u="none" strike="noStrike">
              <a:solidFill>
                <a:srgbClr val="000000"/>
              </a:solidFill>
              <a:latin typeface="Calibri"/>
              <a:ea typeface="Calibri"/>
              <a:cs typeface="Calibri"/>
            </a:rPr>
            <a:pPr algn="ctr"/>
            <a:t>₹ 278.80</a:t>
          </a:fld>
          <a:endParaRPr lang="en-US" sz="2400" b="1"/>
        </a:p>
      </xdr:txBody>
    </xdr:sp>
    <xdr:clientData/>
  </xdr:twoCellAnchor>
  <xdr:twoCellAnchor>
    <xdr:from>
      <xdr:col>12</xdr:col>
      <xdr:colOff>0</xdr:colOff>
      <xdr:row>3</xdr:row>
      <xdr:rowOff>161015</xdr:rowOff>
    </xdr:from>
    <xdr:to>
      <xdr:col>15</xdr:col>
      <xdr:colOff>521607</xdr:colOff>
      <xdr:row>10</xdr:row>
      <xdr:rowOff>138338</xdr:rowOff>
    </xdr:to>
    <xdr:sp macro="" textlink="'Day7-Pivot &amp; Helper Sheet'!D4">
      <xdr:nvSpPr>
        <xdr:cNvPr id="18" name="Rectangle: Rounded Corners 17">
          <a:extLst>
            <a:ext uri="{FF2B5EF4-FFF2-40B4-BE49-F238E27FC236}">
              <a16:creationId xmlns:a16="http://schemas.microsoft.com/office/drawing/2014/main" id="{7DE56E35-DE27-46A8-B653-F6F36B1A85B0}"/>
            </a:ext>
          </a:extLst>
        </xdr:cNvPr>
        <xdr:cNvSpPr/>
      </xdr:nvSpPr>
      <xdr:spPr>
        <a:xfrm>
          <a:off x="7259595" y="1100643"/>
          <a:ext cx="2336505" cy="1689249"/>
        </a:xfrm>
        <a:prstGeom prst="roundRect">
          <a:avLst/>
        </a:prstGeom>
        <a:gradFill>
          <a:gsLst>
            <a:gs pos="0">
              <a:schemeClr val="accent3">
                <a:lumMod val="40000"/>
                <a:lumOff val="60000"/>
              </a:schemeClr>
            </a:gs>
            <a:gs pos="66000">
              <a:schemeClr val="accent3">
                <a:lumMod val="95000"/>
                <a:lumOff val="5000"/>
              </a:schemeClr>
            </a:gs>
            <a:gs pos="100000">
              <a:schemeClr val="accent3">
                <a:lumMod val="60000"/>
              </a:schemeClr>
            </a:gs>
          </a:gsLst>
          <a:lin ang="27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D2E1B00-019A-46AD-B9F9-6E0C76E7BC73}" type="TxLink">
            <a:rPr lang="en-US" sz="2400" b="1" i="0" u="none" strike="noStrike">
              <a:solidFill>
                <a:srgbClr val="000000"/>
              </a:solidFill>
              <a:latin typeface="Calibri"/>
              <a:ea typeface="Calibri"/>
              <a:cs typeface="Calibri"/>
            </a:rPr>
            <a:pPr marL="0" indent="0" algn="ctr"/>
            <a:t>23.89%</a:t>
          </a:fld>
          <a:endParaRPr lang="en-IN" sz="2400" b="1" i="0" u="none" strike="noStrike">
            <a:solidFill>
              <a:srgbClr val="000000"/>
            </a:solidFill>
            <a:latin typeface="Calibri"/>
            <a:ea typeface="Calibri"/>
            <a:cs typeface="Calibri"/>
          </a:endParaRPr>
        </a:p>
      </xdr:txBody>
    </xdr:sp>
    <xdr:clientData/>
  </xdr:twoCellAnchor>
  <xdr:twoCellAnchor>
    <xdr:from>
      <xdr:col>0</xdr:col>
      <xdr:colOff>495300</xdr:colOff>
      <xdr:row>5</xdr:row>
      <xdr:rowOff>0</xdr:rowOff>
    </xdr:from>
    <xdr:to>
      <xdr:col>3</xdr:col>
      <xdr:colOff>444500</xdr:colOff>
      <xdr:row>9</xdr:row>
      <xdr:rowOff>0</xdr:rowOff>
    </xdr:to>
    <xdr:sp macro="" textlink="">
      <xdr:nvSpPr>
        <xdr:cNvPr id="19" name="TextBox 18">
          <a:extLst>
            <a:ext uri="{FF2B5EF4-FFF2-40B4-BE49-F238E27FC236}">
              <a16:creationId xmlns:a16="http://schemas.microsoft.com/office/drawing/2014/main" id="{BEF03FF8-2767-4838-A2AC-5CC99E633CC8}"/>
            </a:ext>
          </a:extLst>
        </xdr:cNvPr>
        <xdr:cNvSpPr txBox="1"/>
      </xdr:nvSpPr>
      <xdr:spPr>
        <a:xfrm>
          <a:off x="495300" y="1524000"/>
          <a:ext cx="1778000"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Combo Orders</a:t>
          </a:r>
        </a:p>
      </xdr:txBody>
    </xdr:sp>
    <xdr:clientData/>
  </xdr:twoCellAnchor>
  <xdr:twoCellAnchor>
    <xdr:from>
      <xdr:col>4</xdr:col>
      <xdr:colOff>100351</xdr:colOff>
      <xdr:row>4</xdr:row>
      <xdr:rowOff>225373</xdr:rowOff>
    </xdr:from>
    <xdr:to>
      <xdr:col>7</xdr:col>
      <xdr:colOff>380657</xdr:colOff>
      <xdr:row>7</xdr:row>
      <xdr:rowOff>225372</xdr:rowOff>
    </xdr:to>
    <xdr:sp macro="" textlink="">
      <xdr:nvSpPr>
        <xdr:cNvPr id="20" name="TextBox 19">
          <a:extLst>
            <a:ext uri="{FF2B5EF4-FFF2-40B4-BE49-F238E27FC236}">
              <a16:creationId xmlns:a16="http://schemas.microsoft.com/office/drawing/2014/main" id="{5956D474-A23A-45E8-927A-ED2CBAC36EA8}"/>
            </a:ext>
          </a:extLst>
        </xdr:cNvPr>
        <xdr:cNvSpPr txBox="1"/>
      </xdr:nvSpPr>
      <xdr:spPr>
        <a:xfrm>
          <a:off x="2520216" y="1409562"/>
          <a:ext cx="2095205" cy="7336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Avg Order Value </a:t>
          </a:r>
        </a:p>
      </xdr:txBody>
    </xdr:sp>
    <xdr:clientData/>
  </xdr:twoCellAnchor>
  <xdr:twoCellAnchor>
    <xdr:from>
      <xdr:col>8</xdr:col>
      <xdr:colOff>0</xdr:colOff>
      <xdr:row>5</xdr:row>
      <xdr:rowOff>0</xdr:rowOff>
    </xdr:from>
    <xdr:to>
      <xdr:col>11</xdr:col>
      <xdr:colOff>304800</xdr:colOff>
      <xdr:row>8</xdr:row>
      <xdr:rowOff>0</xdr:rowOff>
    </xdr:to>
    <xdr:sp macro="" textlink="">
      <xdr:nvSpPr>
        <xdr:cNvPr id="21" name="TextBox 20">
          <a:extLst>
            <a:ext uri="{FF2B5EF4-FFF2-40B4-BE49-F238E27FC236}">
              <a16:creationId xmlns:a16="http://schemas.microsoft.com/office/drawing/2014/main" id="{AB4A7F1A-2712-407E-8289-5E4932A62D7B}"/>
            </a:ext>
          </a:extLst>
        </xdr:cNvPr>
        <xdr:cNvSpPr txBox="1"/>
      </xdr:nvSpPr>
      <xdr:spPr>
        <a:xfrm>
          <a:off x="4876800" y="1524000"/>
          <a:ext cx="21336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t>Avg Gross Profit</a:t>
          </a:r>
          <a:endParaRPr lang="en-IN" sz="2000"/>
        </a:p>
      </xdr:txBody>
    </xdr:sp>
    <xdr:clientData/>
  </xdr:twoCellAnchor>
  <xdr:twoCellAnchor>
    <xdr:from>
      <xdr:col>12</xdr:col>
      <xdr:colOff>0</xdr:colOff>
      <xdr:row>5</xdr:row>
      <xdr:rowOff>115845</xdr:rowOff>
    </xdr:from>
    <xdr:to>
      <xdr:col>15</xdr:col>
      <xdr:colOff>521607</xdr:colOff>
      <xdr:row>7</xdr:row>
      <xdr:rowOff>115845</xdr:rowOff>
    </xdr:to>
    <xdr:sp macro="" textlink="">
      <xdr:nvSpPr>
        <xdr:cNvPr id="22" name="TextBox 21">
          <a:extLst>
            <a:ext uri="{FF2B5EF4-FFF2-40B4-BE49-F238E27FC236}">
              <a16:creationId xmlns:a16="http://schemas.microsoft.com/office/drawing/2014/main" id="{88D87296-E810-4E81-93C3-EC78964E2B5F}"/>
            </a:ext>
          </a:extLst>
        </xdr:cNvPr>
        <xdr:cNvSpPr txBox="1"/>
      </xdr:nvSpPr>
      <xdr:spPr>
        <a:xfrm>
          <a:off x="7259595" y="1544595"/>
          <a:ext cx="2336505" cy="489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t>Combo % of</a:t>
          </a:r>
          <a:r>
            <a:rPr lang="en-IN" sz="1800" b="1" baseline="0"/>
            <a:t> all</a:t>
          </a:r>
          <a:r>
            <a:rPr lang="en-IN" sz="1800" b="1"/>
            <a:t> Orders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1095375</xdr:colOff>
      <xdr:row>10</xdr:row>
      <xdr:rowOff>152400</xdr:rowOff>
    </xdr:from>
    <xdr:to>
      <xdr:col>6</xdr:col>
      <xdr:colOff>114300</xdr:colOff>
      <xdr:row>24</xdr:row>
      <xdr:rowOff>9525</xdr:rowOff>
    </xdr:to>
    <mc:AlternateContent xmlns:mc="http://schemas.openxmlformats.org/markup-compatibility/2006" xmlns:a14="http://schemas.microsoft.com/office/drawing/2010/main">
      <mc:Choice Requires="a14">
        <xdr:graphicFrame macro="">
          <xdr:nvGraphicFramePr>
            <xdr:cNvPr id="7" name="Branch 1">
              <a:extLst>
                <a:ext uri="{FF2B5EF4-FFF2-40B4-BE49-F238E27FC236}">
                  <a16:creationId xmlns:a16="http://schemas.microsoft.com/office/drawing/2014/main" id="{DB632146-43D1-48B5-9663-184AE47FFAEF}"/>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3819525" y="2057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85725</xdr:colOff>
      <xdr:row>21</xdr:row>
      <xdr:rowOff>0</xdr:rowOff>
    </xdr:from>
    <xdr:to>
      <xdr:col>6</xdr:col>
      <xdr:colOff>1152525</xdr:colOff>
      <xdr:row>34</xdr:row>
      <xdr:rowOff>47625</xdr:rowOff>
    </xdr:to>
    <mc:AlternateContent xmlns:mc="http://schemas.openxmlformats.org/markup-compatibility/2006" xmlns:a14="http://schemas.microsoft.com/office/drawing/2010/main">
      <mc:Choice Requires="a14">
        <xdr:graphicFrame macro="">
          <xdr:nvGraphicFramePr>
            <xdr:cNvPr id="8" name="Shift 1">
              <a:extLst>
                <a:ext uri="{FF2B5EF4-FFF2-40B4-BE49-F238E27FC236}">
                  <a16:creationId xmlns:a16="http://schemas.microsoft.com/office/drawing/2014/main" id="{2C18A103-6FD9-4426-9729-D973B00B4AAD}"/>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mlns="">
        <xdr:sp macro="" textlink="">
          <xdr:nvSpPr>
            <xdr:cNvPr id="0" name=""/>
            <xdr:cNvSpPr>
              <a:spLocks noTextEdit="1"/>
            </xdr:cNvSpPr>
          </xdr:nvSpPr>
          <xdr:spPr>
            <a:xfrm>
              <a:off x="4857750" y="400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98.999150000003" createdVersion="7" refreshedVersion="7" minRefreshableVersion="3" recordCount="924" xr:uid="{3EEF08E1-4511-4F00-88F1-B285CD407131}">
  <cacheSource type="worksheet">
    <worksheetSource name="OrderLines"/>
  </cacheSource>
  <cacheFields count="13">
    <cacheField name="OrderID" numFmtId="0">
      <sharedItems/>
    </cacheField>
    <cacheField name="SKU" numFmtId="0">
      <sharedItems count="19">
        <s v="SHJ7XV"/>
        <s v="BTIQJ7"/>
        <s v="DH9SDB"/>
        <s v="BOC6UZ"/>
        <s v="H3A3ZM"/>
        <s v="SZBIKC"/>
        <s v="HH1DNM"/>
        <s v="SCKW5N"/>
        <s v="B0T0PV"/>
        <s v="BXO6QJ"/>
        <s v="BHL1C3"/>
        <s v="DYTJXE"/>
        <s v="DFFYVN"/>
        <s v="D9T84A"/>
        <s v="HDPBHS"/>
        <s v="HXAJI0"/>
        <s v="HUZZPQ"/>
        <s v="SV30T9"/>
        <s v="S5NQ4F"/>
      </sharedItems>
    </cacheField>
    <cacheField name="Qty" numFmtId="0">
      <sharedItems containsSemiMixedTypes="0" containsString="0" containsNumber="1" containsInteger="1" minValue="1" maxValue="3"/>
    </cacheField>
    <cacheField name="UnitPrice" numFmtId="2">
      <sharedItems containsSemiMixedTypes="0" containsString="0" containsNumber="1" minValue="20.11" maxValue="256.91000000000003"/>
    </cacheField>
    <cacheField name="UnitCost" numFmtId="2">
      <sharedItems containsSemiMixedTypes="0" containsString="0" containsNumber="1" minValue="8" maxValue="121.24"/>
    </cacheField>
    <cacheField name="Category" numFmtId="0">
      <sharedItems count="4">
        <s v="Snack"/>
        <s v="Beverage"/>
        <s v="Dessert"/>
        <s v="Hot Meal"/>
      </sharedItems>
    </cacheField>
    <cacheField name="OrderDate" numFmtId="14">
      <sharedItems containsSemiMixedTypes="0" containsNonDate="0" containsDate="1" containsString="0" minDate="2025-07-01T00:00:00" maxDate="2025-08-30T00:00:00" count="60">
        <d v="2025-07-14T00:00:00"/>
        <d v="2025-07-24T00:00:00"/>
        <d v="2025-07-10T00:00:00"/>
        <d v="2025-08-10T00:00:00"/>
        <d v="2025-07-07T00:00:00"/>
        <d v="2025-07-25T00:00:00"/>
        <d v="2025-07-06T00:00:00"/>
        <d v="2025-07-22T00:00:00"/>
        <d v="2025-07-01T00:00:00"/>
        <d v="2025-08-11T00:00:00"/>
        <d v="2025-07-16T00:00:00"/>
        <d v="2025-08-26T00:00:00"/>
        <d v="2025-08-21T00:00:00"/>
        <d v="2025-07-19T00:00:00"/>
        <d v="2025-08-09T00:00:00"/>
        <d v="2025-07-09T00:00:00"/>
        <d v="2025-07-31T00:00:00"/>
        <d v="2025-08-14T00:00:00"/>
        <d v="2025-08-24T00:00:00"/>
        <d v="2025-08-19T00:00:00"/>
        <d v="2025-08-22T00:00:00"/>
        <d v="2025-07-02T00:00:00"/>
        <d v="2025-08-03T00:00:00"/>
        <d v="2025-07-13T00:00:00"/>
        <d v="2025-08-23T00:00:00"/>
        <d v="2025-07-12T00:00:00"/>
        <d v="2025-07-04T00:00:00"/>
        <d v="2025-07-05T00:00:00"/>
        <d v="2025-07-11T00:00:00"/>
        <d v="2025-07-18T00:00:00"/>
        <d v="2025-07-27T00:00:00"/>
        <d v="2025-08-04T00:00:00"/>
        <d v="2025-07-20T00:00:00"/>
        <d v="2025-07-28T00:00:00"/>
        <d v="2025-08-28T00:00:00"/>
        <d v="2025-08-12T00:00:00"/>
        <d v="2025-08-05T00:00:00"/>
        <d v="2025-08-25T00:00:00"/>
        <d v="2025-07-30T00:00:00"/>
        <d v="2025-08-15T00:00:00"/>
        <d v="2025-08-16T00:00:00"/>
        <d v="2025-08-18T00:00:00"/>
        <d v="2025-08-13T00:00:00"/>
        <d v="2025-08-20T00:00:00"/>
        <d v="2025-07-21T00:00:00"/>
        <d v="2025-07-03T00:00:00"/>
        <d v="2025-07-23T00:00:00"/>
        <d v="2025-08-06T00:00:00"/>
        <d v="2025-07-17T00:00:00"/>
        <d v="2025-08-01T00:00:00"/>
        <d v="2025-08-02T00:00:00"/>
        <d v="2025-08-17T00:00:00"/>
        <d v="2025-08-27T00:00:00"/>
        <d v="2025-07-15T00:00:00"/>
        <d v="2025-08-29T00:00:00"/>
        <d v="2025-07-26T00:00:00"/>
        <d v="2025-07-29T00:00:00"/>
        <d v="2025-08-07T00:00:00"/>
        <d v="2025-07-08T00:00:00"/>
        <d v="2025-08-08T00:00:00"/>
      </sharedItems>
    </cacheField>
    <cacheField name="Branch" numFmtId="14">
      <sharedItems count="3">
        <s v="Head Office Café"/>
        <s v="Plant 2 Canteen"/>
        <s v="Plant 1 Canteen"/>
      </sharedItems>
    </cacheField>
    <cacheField name="DiscountPct" numFmtId="0">
      <sharedItems containsSemiMixedTypes="0" containsString="0" containsNumber="1" minValue="0" maxValue="0.21"/>
    </cacheField>
    <cacheField name="Shift" numFmtId="0">
      <sharedItems/>
    </cacheField>
    <cacheField name="Revenue" numFmtId="166">
      <sharedItems containsSemiMixedTypes="0" containsString="0" containsNumber="1" minValue="17.093499999999999" maxValue="739.9008"/>
    </cacheField>
    <cacheField name="FoodCost" numFmtId="0">
      <sharedItems containsSemiMixedTypes="0" containsString="0" containsNumber="1" minValue="8" maxValue="363.71999999999997"/>
    </cacheField>
    <cacheField name="GM%" numFmtId="0" formula=" (Revenue-FoodCost) /Revenue"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09.728417939812" createdVersion="7" refreshedVersion="7" minRefreshableVersion="3" recordCount="360" xr:uid="{5D3F2D44-6BBB-4850-A69A-98295DD793DD}">
  <cacheSource type="worksheet">
    <worksheetSource name="Orders"/>
  </cacheSource>
  <cacheFields count="17">
    <cacheField name="OrderID" numFmtId="0">
      <sharedItems/>
    </cacheField>
    <cacheField name="OrderDateTime" numFmtId="164">
      <sharedItems containsSemiMixedTypes="0" containsNonDate="0" containsDate="1" containsString="0" minDate="2025-07-01T09:56:27" maxDate="2025-08-29T12:47:25"/>
    </cacheField>
    <cacheField name="Branch" numFmtId="0">
      <sharedItems count="3">
        <s v="Head Office Café"/>
        <s v="Plant 2 Canteen"/>
        <s v="Plant 1 Canteen"/>
      </sharedItems>
    </cacheField>
    <cacheField name="CustomerType" numFmtId="0">
      <sharedItems/>
    </cacheField>
    <cacheField name="PaymentType" numFmtId="0">
      <sharedItems/>
    </cacheField>
    <cacheField name="Shift" numFmtId="0">
      <sharedItems count="3">
        <s v="Breakfast"/>
        <s v="Dinner"/>
        <s v="Lunch"/>
      </sharedItems>
    </cacheField>
    <cacheField name="DiscountPct" numFmtId="10">
      <sharedItems containsSemiMixedTypes="0" containsString="0" containsNumber="1" minValue="0" maxValue="0.21"/>
    </cacheField>
    <cacheField name="HasBeverage" numFmtId="0">
      <sharedItems/>
    </cacheField>
    <cacheField name="OrderTotal" numFmtId="0">
      <sharedItems containsSemiMixedTypes="0" containsString="0" containsNumber="1" minValue="18.501200000000001" maxValue="1569.9879999999998"/>
    </cacheField>
    <cacheField name="ComboFlag" numFmtId="0">
      <sharedItems count="2">
        <s v="Single"/>
        <s v="Combo"/>
      </sharedItems>
    </cacheField>
    <cacheField name="DiscountFlag" numFmtId="0">
      <sharedItems/>
    </cacheField>
    <cacheField name="GrossProfit" numFmtId="166">
      <sharedItems containsSemiMixedTypes="0" containsString="0" containsNumber="1" minValue="10.501200000000001" maxValue="808.31000000000017"/>
    </cacheField>
    <cacheField name="GM%" numFmtId="10">
      <sharedItems containsSemiMixedTypes="0" containsString="0" containsNumber="1" minValue="0.3281369649580041" maxValue="0.63366790014975061"/>
    </cacheField>
    <cacheField name="HasHotMeal" numFmtId="0">
      <sharedItems/>
    </cacheField>
    <cacheField name="HasSnack" numFmtId="0">
      <sharedItems/>
    </cacheField>
    <cacheField name="HasDessert" numFmtId="0">
      <sharedItems/>
    </cacheField>
    <cacheField name="Cost" numFmtId="166">
      <sharedItems containsSemiMixedTypes="0" containsString="0" containsNumber="1" minValue="8" maxValue="771.58"/>
    </cacheField>
  </cacheFields>
  <extLst>
    <ext xmlns:x14="http://schemas.microsoft.com/office/spreadsheetml/2009/9/main" uri="{725AE2AE-9491-48be-B2B4-4EB974FC3084}">
      <x14:pivotCacheDefinition pivotCacheId="204578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24">
  <r>
    <s v="O00001"/>
    <x v="0"/>
    <n v="3"/>
    <n v="52.45"/>
    <n v="25.8"/>
    <x v="0"/>
    <x v="0"/>
    <x v="0"/>
    <n v="0.06"/>
    <s v="Breakfast"/>
    <n v="147.90900000000002"/>
    <n v="77.400000000000006"/>
  </r>
  <r>
    <s v="O00002"/>
    <x v="1"/>
    <n v="1"/>
    <n v="30.34"/>
    <n v="14.18"/>
    <x v="1"/>
    <x v="1"/>
    <x v="1"/>
    <n v="0.05"/>
    <s v="Dinner"/>
    <n v="28.822999999999997"/>
    <n v="14.18"/>
  </r>
  <r>
    <s v="O00002"/>
    <x v="2"/>
    <n v="1"/>
    <n v="76.55"/>
    <n v="38.229999999999997"/>
    <x v="2"/>
    <x v="1"/>
    <x v="1"/>
    <n v="0.05"/>
    <s v="Dinner"/>
    <n v="72.722499999999997"/>
    <n v="38.229999999999997"/>
  </r>
  <r>
    <s v="O00003"/>
    <x v="3"/>
    <n v="2"/>
    <n v="32.979999999999997"/>
    <n v="11.84"/>
    <x v="1"/>
    <x v="2"/>
    <x v="0"/>
    <n v="0"/>
    <s v="Lunch"/>
    <n v="65.959999999999994"/>
    <n v="23.68"/>
  </r>
  <r>
    <s v="O00003"/>
    <x v="0"/>
    <n v="1"/>
    <n v="52.45"/>
    <n v="25.8"/>
    <x v="0"/>
    <x v="2"/>
    <x v="0"/>
    <n v="0"/>
    <s v="Lunch"/>
    <n v="52.45"/>
    <n v="25.8"/>
  </r>
  <r>
    <s v="O00003"/>
    <x v="4"/>
    <n v="3"/>
    <n v="170.83"/>
    <n v="74.069999999999993"/>
    <x v="3"/>
    <x v="2"/>
    <x v="0"/>
    <n v="0"/>
    <s v="Lunch"/>
    <n v="512.49"/>
    <n v="222.20999999999998"/>
  </r>
  <r>
    <s v="O00003"/>
    <x v="5"/>
    <n v="1"/>
    <n v="38.06"/>
    <n v="19.55"/>
    <x v="0"/>
    <x v="2"/>
    <x v="0"/>
    <n v="0"/>
    <s v="Lunch"/>
    <n v="38.06"/>
    <n v="19.55"/>
  </r>
  <r>
    <s v="O00004"/>
    <x v="6"/>
    <n v="2"/>
    <n v="246.09"/>
    <n v="112.08"/>
    <x v="3"/>
    <x v="3"/>
    <x v="1"/>
    <n v="0.03"/>
    <s v="Breakfast"/>
    <n v="477.41460000000001"/>
    <n v="224.16"/>
  </r>
  <r>
    <s v="O00005"/>
    <x v="7"/>
    <n v="1"/>
    <n v="70.540000000000006"/>
    <n v="35.81"/>
    <x v="0"/>
    <x v="4"/>
    <x v="1"/>
    <n v="0.04"/>
    <s v="Breakfast"/>
    <n v="67.718400000000003"/>
    <n v="35.81"/>
  </r>
  <r>
    <s v="O00005"/>
    <x v="8"/>
    <n v="1"/>
    <n v="28.43"/>
    <n v="13.89"/>
    <x v="1"/>
    <x v="4"/>
    <x v="1"/>
    <n v="0.04"/>
    <s v="Breakfast"/>
    <n v="27.2928"/>
    <n v="13.89"/>
  </r>
  <r>
    <s v="O00006"/>
    <x v="9"/>
    <n v="3"/>
    <n v="20.11"/>
    <n v="8"/>
    <x v="1"/>
    <x v="5"/>
    <x v="2"/>
    <n v="0.1"/>
    <s v="Breakfast"/>
    <n v="54.296999999999997"/>
    <n v="24"/>
  </r>
  <r>
    <s v="O00007"/>
    <x v="3"/>
    <n v="1"/>
    <n v="32.979999999999997"/>
    <n v="11.84"/>
    <x v="1"/>
    <x v="0"/>
    <x v="1"/>
    <n v="7.0000000000000007E-2"/>
    <s v="Dinner"/>
    <n v="30.671399999999995"/>
    <n v="11.84"/>
  </r>
  <r>
    <s v="O00007"/>
    <x v="4"/>
    <n v="2"/>
    <n v="170.83"/>
    <n v="74.069999999999993"/>
    <x v="3"/>
    <x v="0"/>
    <x v="1"/>
    <n v="7.0000000000000007E-2"/>
    <s v="Dinner"/>
    <n v="317.74380000000002"/>
    <n v="148.13999999999999"/>
  </r>
  <r>
    <s v="O00008"/>
    <x v="10"/>
    <n v="1"/>
    <n v="22.2"/>
    <n v="9.3800000000000008"/>
    <x v="1"/>
    <x v="5"/>
    <x v="2"/>
    <n v="0"/>
    <s v="Lunch"/>
    <n v="22.2"/>
    <n v="9.3800000000000008"/>
  </r>
  <r>
    <s v="O00008"/>
    <x v="11"/>
    <n v="3"/>
    <n v="57.07"/>
    <n v="29.14"/>
    <x v="2"/>
    <x v="5"/>
    <x v="2"/>
    <n v="0"/>
    <s v="Lunch"/>
    <n v="171.21"/>
    <n v="87.42"/>
  </r>
  <r>
    <s v="O00008"/>
    <x v="1"/>
    <n v="1"/>
    <n v="30.34"/>
    <n v="14.18"/>
    <x v="1"/>
    <x v="5"/>
    <x v="2"/>
    <n v="0"/>
    <s v="Lunch"/>
    <n v="30.34"/>
    <n v="14.18"/>
  </r>
  <r>
    <s v="O00009"/>
    <x v="4"/>
    <n v="2"/>
    <n v="170.83"/>
    <n v="74.069999999999993"/>
    <x v="3"/>
    <x v="6"/>
    <x v="0"/>
    <n v="7.0000000000000007E-2"/>
    <s v="Breakfast"/>
    <n v="317.74380000000002"/>
    <n v="148.13999999999999"/>
  </r>
  <r>
    <s v="O00009"/>
    <x v="11"/>
    <n v="2"/>
    <n v="57.07"/>
    <n v="29.14"/>
    <x v="2"/>
    <x v="6"/>
    <x v="0"/>
    <n v="7.0000000000000007E-2"/>
    <s v="Breakfast"/>
    <n v="106.1502"/>
    <n v="58.28"/>
  </r>
  <r>
    <s v="O00009"/>
    <x v="5"/>
    <n v="1"/>
    <n v="38.06"/>
    <n v="19.55"/>
    <x v="0"/>
    <x v="6"/>
    <x v="0"/>
    <n v="7.0000000000000007E-2"/>
    <s v="Breakfast"/>
    <n v="35.395800000000001"/>
    <n v="19.55"/>
  </r>
  <r>
    <s v="O00010"/>
    <x v="10"/>
    <n v="2"/>
    <n v="22.2"/>
    <n v="9.3800000000000008"/>
    <x v="1"/>
    <x v="1"/>
    <x v="2"/>
    <n v="0.04"/>
    <s v="Breakfast"/>
    <n v="42.623999999999995"/>
    <n v="18.760000000000002"/>
  </r>
  <r>
    <s v="O00010"/>
    <x v="6"/>
    <n v="1"/>
    <n v="246.09"/>
    <n v="112.08"/>
    <x v="3"/>
    <x v="1"/>
    <x v="2"/>
    <n v="0.04"/>
    <s v="Breakfast"/>
    <n v="236.24639999999999"/>
    <n v="112.08"/>
  </r>
  <r>
    <s v="O00010"/>
    <x v="7"/>
    <n v="1"/>
    <n v="70.540000000000006"/>
    <n v="35.81"/>
    <x v="0"/>
    <x v="1"/>
    <x v="2"/>
    <n v="0.04"/>
    <s v="Breakfast"/>
    <n v="67.718400000000003"/>
    <n v="35.81"/>
  </r>
  <r>
    <s v="O00010"/>
    <x v="2"/>
    <n v="1"/>
    <n v="76.55"/>
    <n v="38.229999999999997"/>
    <x v="2"/>
    <x v="1"/>
    <x v="2"/>
    <n v="0.04"/>
    <s v="Breakfast"/>
    <n v="73.488"/>
    <n v="38.229999999999997"/>
  </r>
  <r>
    <s v="O00011"/>
    <x v="8"/>
    <n v="1"/>
    <n v="28.43"/>
    <n v="13.89"/>
    <x v="1"/>
    <x v="7"/>
    <x v="1"/>
    <n v="0.03"/>
    <s v="Breakfast"/>
    <n v="27.577099999999998"/>
    <n v="13.89"/>
  </r>
  <r>
    <s v="O00012"/>
    <x v="12"/>
    <n v="1"/>
    <n v="54.2"/>
    <n v="21.95"/>
    <x v="2"/>
    <x v="8"/>
    <x v="1"/>
    <n v="0.08"/>
    <s v="Lunch"/>
    <n v="49.864000000000004"/>
    <n v="21.95"/>
  </r>
  <r>
    <s v="O00012"/>
    <x v="0"/>
    <n v="1"/>
    <n v="52.45"/>
    <n v="25.8"/>
    <x v="0"/>
    <x v="8"/>
    <x v="1"/>
    <n v="0.08"/>
    <s v="Lunch"/>
    <n v="48.254000000000005"/>
    <n v="25.8"/>
  </r>
  <r>
    <s v="O00013"/>
    <x v="2"/>
    <n v="3"/>
    <n v="76.55"/>
    <n v="38.229999999999997"/>
    <x v="2"/>
    <x v="9"/>
    <x v="0"/>
    <n v="0.1"/>
    <s v="Breakfast"/>
    <n v="206.68499999999997"/>
    <n v="114.69"/>
  </r>
  <r>
    <s v="O00013"/>
    <x v="1"/>
    <n v="2"/>
    <n v="30.34"/>
    <n v="14.18"/>
    <x v="1"/>
    <x v="9"/>
    <x v="0"/>
    <n v="0.1"/>
    <s v="Breakfast"/>
    <n v="54.612000000000002"/>
    <n v="28.36"/>
  </r>
  <r>
    <s v="O00013"/>
    <x v="13"/>
    <n v="3"/>
    <n v="116.8"/>
    <n v="48.97"/>
    <x v="2"/>
    <x v="9"/>
    <x v="0"/>
    <n v="0.1"/>
    <s v="Breakfast"/>
    <n v="315.36"/>
    <n v="146.91"/>
  </r>
  <r>
    <s v="O00013"/>
    <x v="14"/>
    <n v="1"/>
    <n v="256.91000000000003"/>
    <n v="121.24"/>
    <x v="3"/>
    <x v="9"/>
    <x v="0"/>
    <n v="0.1"/>
    <s v="Breakfast"/>
    <n v="231.21900000000002"/>
    <n v="121.24"/>
  </r>
  <r>
    <s v="O00014"/>
    <x v="8"/>
    <n v="1"/>
    <n v="28.43"/>
    <n v="13.89"/>
    <x v="1"/>
    <x v="10"/>
    <x v="2"/>
    <n v="0.1"/>
    <s v="Breakfast"/>
    <n v="25.587"/>
    <n v="13.89"/>
  </r>
  <r>
    <s v="O00014"/>
    <x v="2"/>
    <n v="2"/>
    <n v="76.55"/>
    <n v="38.229999999999997"/>
    <x v="2"/>
    <x v="10"/>
    <x v="2"/>
    <n v="0.1"/>
    <s v="Breakfast"/>
    <n v="137.79"/>
    <n v="76.459999999999994"/>
  </r>
  <r>
    <s v="O00014"/>
    <x v="9"/>
    <n v="1"/>
    <n v="20.11"/>
    <n v="8"/>
    <x v="1"/>
    <x v="10"/>
    <x v="2"/>
    <n v="0.1"/>
    <s v="Breakfast"/>
    <n v="18.099"/>
    <n v="8"/>
  </r>
  <r>
    <s v="O00015"/>
    <x v="4"/>
    <n v="1"/>
    <n v="170.83"/>
    <n v="74.069999999999993"/>
    <x v="3"/>
    <x v="11"/>
    <x v="0"/>
    <n v="0.03"/>
    <s v="Lunch"/>
    <n v="165.70510000000002"/>
    <n v="74.069999999999993"/>
  </r>
  <r>
    <s v="O00015"/>
    <x v="3"/>
    <n v="3"/>
    <n v="32.979999999999997"/>
    <n v="11.84"/>
    <x v="1"/>
    <x v="11"/>
    <x v="0"/>
    <n v="0.03"/>
    <s v="Lunch"/>
    <n v="95.971800000000002"/>
    <n v="35.519999999999996"/>
  </r>
  <r>
    <s v="O00015"/>
    <x v="2"/>
    <n v="2"/>
    <n v="76.55"/>
    <n v="38.229999999999997"/>
    <x v="2"/>
    <x v="11"/>
    <x v="0"/>
    <n v="0.03"/>
    <s v="Lunch"/>
    <n v="148.50699999999998"/>
    <n v="76.459999999999994"/>
  </r>
  <r>
    <s v="O00016"/>
    <x v="11"/>
    <n v="1"/>
    <n v="57.07"/>
    <n v="29.14"/>
    <x v="2"/>
    <x v="6"/>
    <x v="2"/>
    <n v="0.05"/>
    <s v="Dinner"/>
    <n v="54.216499999999996"/>
    <n v="29.14"/>
  </r>
  <r>
    <s v="O00016"/>
    <x v="7"/>
    <n v="1"/>
    <n v="70.540000000000006"/>
    <n v="35.81"/>
    <x v="0"/>
    <x v="6"/>
    <x v="2"/>
    <n v="0.05"/>
    <s v="Dinner"/>
    <n v="67.013000000000005"/>
    <n v="35.81"/>
  </r>
  <r>
    <s v="O00016"/>
    <x v="0"/>
    <n v="3"/>
    <n v="52.45"/>
    <n v="25.8"/>
    <x v="0"/>
    <x v="6"/>
    <x v="2"/>
    <n v="0.05"/>
    <s v="Dinner"/>
    <n v="149.48250000000002"/>
    <n v="77.400000000000006"/>
  </r>
  <r>
    <s v="O00016"/>
    <x v="15"/>
    <n v="1"/>
    <n v="227.61"/>
    <n v="96.22"/>
    <x v="3"/>
    <x v="6"/>
    <x v="2"/>
    <n v="0.05"/>
    <s v="Dinner"/>
    <n v="216.2295"/>
    <n v="96.22"/>
  </r>
  <r>
    <s v="O00017"/>
    <x v="3"/>
    <n v="1"/>
    <n v="32.979999999999997"/>
    <n v="11.84"/>
    <x v="1"/>
    <x v="12"/>
    <x v="2"/>
    <n v="7.0000000000000007E-2"/>
    <s v="Dinner"/>
    <n v="30.671399999999995"/>
    <n v="11.84"/>
  </r>
  <r>
    <s v="O00018"/>
    <x v="13"/>
    <n v="1"/>
    <n v="116.8"/>
    <n v="48.97"/>
    <x v="2"/>
    <x v="13"/>
    <x v="2"/>
    <n v="0.1"/>
    <s v="Breakfast"/>
    <n v="105.12"/>
    <n v="48.97"/>
  </r>
  <r>
    <s v="O00018"/>
    <x v="3"/>
    <n v="2"/>
    <n v="32.979999999999997"/>
    <n v="11.84"/>
    <x v="1"/>
    <x v="13"/>
    <x v="2"/>
    <n v="0.1"/>
    <s v="Breakfast"/>
    <n v="59.363999999999997"/>
    <n v="23.68"/>
  </r>
  <r>
    <s v="O00019"/>
    <x v="16"/>
    <n v="1"/>
    <n v="146.4"/>
    <n v="80.92"/>
    <x v="3"/>
    <x v="14"/>
    <x v="2"/>
    <n v="0.04"/>
    <s v="Breakfast"/>
    <n v="140.54400000000001"/>
    <n v="80.92"/>
  </r>
  <r>
    <s v="O00019"/>
    <x v="7"/>
    <n v="1"/>
    <n v="70.540000000000006"/>
    <n v="35.81"/>
    <x v="0"/>
    <x v="14"/>
    <x v="2"/>
    <n v="0.04"/>
    <s v="Breakfast"/>
    <n v="67.718400000000003"/>
    <n v="35.81"/>
  </r>
  <r>
    <s v="O00019"/>
    <x v="14"/>
    <n v="2"/>
    <n v="256.91000000000003"/>
    <n v="121.24"/>
    <x v="3"/>
    <x v="14"/>
    <x v="2"/>
    <n v="0.04"/>
    <s v="Breakfast"/>
    <n v="493.2672"/>
    <n v="242.48"/>
  </r>
  <r>
    <s v="O00020"/>
    <x v="12"/>
    <n v="3"/>
    <n v="54.2"/>
    <n v="21.95"/>
    <x v="2"/>
    <x v="15"/>
    <x v="1"/>
    <n v="0.05"/>
    <s v="Breakfast"/>
    <n v="154.47000000000003"/>
    <n v="65.849999999999994"/>
  </r>
  <r>
    <s v="O00020"/>
    <x v="15"/>
    <n v="1"/>
    <n v="227.61"/>
    <n v="96.22"/>
    <x v="3"/>
    <x v="15"/>
    <x v="1"/>
    <n v="0.05"/>
    <s v="Breakfast"/>
    <n v="216.2295"/>
    <n v="96.22"/>
  </r>
  <r>
    <s v="O00020"/>
    <x v="3"/>
    <n v="1"/>
    <n v="32.979999999999997"/>
    <n v="11.84"/>
    <x v="1"/>
    <x v="15"/>
    <x v="1"/>
    <n v="0.05"/>
    <s v="Breakfast"/>
    <n v="31.330999999999996"/>
    <n v="11.84"/>
  </r>
  <r>
    <s v="O00020"/>
    <x v="2"/>
    <n v="1"/>
    <n v="76.55"/>
    <n v="38.229999999999997"/>
    <x v="2"/>
    <x v="15"/>
    <x v="1"/>
    <n v="0.05"/>
    <s v="Breakfast"/>
    <n v="72.722499999999997"/>
    <n v="38.229999999999997"/>
  </r>
  <r>
    <s v="O00021"/>
    <x v="0"/>
    <n v="3"/>
    <n v="52.45"/>
    <n v="25.8"/>
    <x v="0"/>
    <x v="16"/>
    <x v="1"/>
    <n v="0.02"/>
    <s v="Dinner"/>
    <n v="154.20300000000003"/>
    <n v="77.400000000000006"/>
  </r>
  <r>
    <s v="O00021"/>
    <x v="17"/>
    <n v="1"/>
    <n v="39.950000000000003"/>
    <n v="15.51"/>
    <x v="0"/>
    <x v="16"/>
    <x v="1"/>
    <n v="0.02"/>
    <s v="Dinner"/>
    <n v="39.151000000000003"/>
    <n v="15.51"/>
  </r>
  <r>
    <s v="O00021"/>
    <x v="18"/>
    <n v="2"/>
    <n v="50.19"/>
    <n v="22.61"/>
    <x v="0"/>
    <x v="16"/>
    <x v="1"/>
    <n v="0.02"/>
    <s v="Dinner"/>
    <n v="98.372399999999999"/>
    <n v="45.22"/>
  </r>
  <r>
    <s v="O00022"/>
    <x v="12"/>
    <n v="1"/>
    <n v="54.2"/>
    <n v="21.95"/>
    <x v="2"/>
    <x v="1"/>
    <x v="1"/>
    <n v="0.01"/>
    <s v="Breakfast"/>
    <n v="53.658000000000001"/>
    <n v="21.95"/>
  </r>
  <r>
    <s v="O00022"/>
    <x v="8"/>
    <n v="2"/>
    <n v="28.43"/>
    <n v="13.89"/>
    <x v="1"/>
    <x v="1"/>
    <x v="1"/>
    <n v="0.01"/>
    <s v="Breakfast"/>
    <n v="56.291399999999996"/>
    <n v="27.78"/>
  </r>
  <r>
    <s v="O00022"/>
    <x v="14"/>
    <n v="1"/>
    <n v="256.91000000000003"/>
    <n v="121.24"/>
    <x v="3"/>
    <x v="1"/>
    <x v="1"/>
    <n v="0.01"/>
    <s v="Breakfast"/>
    <n v="254.34090000000003"/>
    <n v="121.24"/>
  </r>
  <r>
    <s v="O00023"/>
    <x v="9"/>
    <n v="1"/>
    <n v="20.11"/>
    <n v="8"/>
    <x v="1"/>
    <x v="17"/>
    <x v="1"/>
    <n v="0.09"/>
    <s v="Lunch"/>
    <n v="18.3001"/>
    <n v="8"/>
  </r>
  <r>
    <s v="O00023"/>
    <x v="6"/>
    <n v="1"/>
    <n v="246.09"/>
    <n v="112.08"/>
    <x v="3"/>
    <x v="17"/>
    <x v="1"/>
    <n v="0.09"/>
    <s v="Lunch"/>
    <n v="223.9419"/>
    <n v="112.08"/>
  </r>
  <r>
    <s v="O00024"/>
    <x v="16"/>
    <n v="3"/>
    <n v="146.4"/>
    <n v="80.92"/>
    <x v="3"/>
    <x v="18"/>
    <x v="2"/>
    <n v="0.11"/>
    <s v="Dinner"/>
    <n v="390.88800000000003"/>
    <n v="242.76"/>
  </r>
  <r>
    <s v="O00025"/>
    <x v="18"/>
    <n v="1"/>
    <n v="50.19"/>
    <n v="22.61"/>
    <x v="0"/>
    <x v="19"/>
    <x v="1"/>
    <n v="0.06"/>
    <s v="Breakfast"/>
    <n v="47.178599999999996"/>
    <n v="22.61"/>
  </r>
  <r>
    <s v="O00026"/>
    <x v="0"/>
    <n v="1"/>
    <n v="52.45"/>
    <n v="25.8"/>
    <x v="0"/>
    <x v="1"/>
    <x v="1"/>
    <n v="0.1"/>
    <s v="Dinner"/>
    <n v="47.205000000000005"/>
    <n v="25.8"/>
  </r>
  <r>
    <s v="O00026"/>
    <x v="5"/>
    <n v="1"/>
    <n v="38.06"/>
    <n v="19.55"/>
    <x v="0"/>
    <x v="1"/>
    <x v="1"/>
    <n v="0.1"/>
    <s v="Dinner"/>
    <n v="34.254000000000005"/>
    <n v="19.55"/>
  </r>
  <r>
    <s v="O00027"/>
    <x v="4"/>
    <n v="3"/>
    <n v="170.83"/>
    <n v="74.069999999999993"/>
    <x v="3"/>
    <x v="20"/>
    <x v="0"/>
    <n v="7.0000000000000007E-2"/>
    <s v="Dinner"/>
    <n v="476.6157"/>
    <n v="222.20999999999998"/>
  </r>
  <r>
    <s v="O00027"/>
    <x v="1"/>
    <n v="1"/>
    <n v="30.34"/>
    <n v="14.18"/>
    <x v="1"/>
    <x v="20"/>
    <x v="0"/>
    <n v="7.0000000000000007E-2"/>
    <s v="Dinner"/>
    <n v="28.216199999999997"/>
    <n v="14.18"/>
  </r>
  <r>
    <s v="O00027"/>
    <x v="11"/>
    <n v="2"/>
    <n v="57.07"/>
    <n v="29.14"/>
    <x v="2"/>
    <x v="20"/>
    <x v="0"/>
    <n v="7.0000000000000007E-2"/>
    <s v="Dinner"/>
    <n v="106.1502"/>
    <n v="58.28"/>
  </r>
  <r>
    <s v="O00027"/>
    <x v="6"/>
    <n v="1"/>
    <n v="246.09"/>
    <n v="112.08"/>
    <x v="3"/>
    <x v="20"/>
    <x v="0"/>
    <n v="7.0000000000000007E-2"/>
    <s v="Dinner"/>
    <n v="228.86369999999999"/>
    <n v="112.08"/>
  </r>
  <r>
    <s v="O00028"/>
    <x v="18"/>
    <n v="1"/>
    <n v="50.19"/>
    <n v="22.61"/>
    <x v="0"/>
    <x v="21"/>
    <x v="0"/>
    <n v="0.03"/>
    <s v="Breakfast"/>
    <n v="48.684299999999993"/>
    <n v="22.61"/>
  </r>
  <r>
    <s v="O00028"/>
    <x v="13"/>
    <n v="2"/>
    <n v="116.8"/>
    <n v="48.97"/>
    <x v="2"/>
    <x v="21"/>
    <x v="0"/>
    <n v="0.03"/>
    <s v="Breakfast"/>
    <n v="226.59199999999998"/>
    <n v="97.94"/>
  </r>
  <r>
    <s v="O00028"/>
    <x v="7"/>
    <n v="1"/>
    <n v="70.540000000000006"/>
    <n v="35.81"/>
    <x v="0"/>
    <x v="21"/>
    <x v="0"/>
    <n v="0.03"/>
    <s v="Breakfast"/>
    <n v="68.4238"/>
    <n v="35.81"/>
  </r>
  <r>
    <s v="O00028"/>
    <x v="9"/>
    <n v="2"/>
    <n v="20.11"/>
    <n v="8"/>
    <x v="1"/>
    <x v="21"/>
    <x v="0"/>
    <n v="0.03"/>
    <s v="Breakfast"/>
    <n v="39.013399999999997"/>
    <n v="16"/>
  </r>
  <r>
    <s v="O00029"/>
    <x v="18"/>
    <n v="3"/>
    <n v="50.19"/>
    <n v="22.61"/>
    <x v="0"/>
    <x v="0"/>
    <x v="1"/>
    <n v="7.0000000000000007E-2"/>
    <s v="Breakfast"/>
    <n v="140.03009999999998"/>
    <n v="67.83"/>
  </r>
  <r>
    <s v="O00030"/>
    <x v="8"/>
    <n v="1"/>
    <n v="28.43"/>
    <n v="13.89"/>
    <x v="1"/>
    <x v="10"/>
    <x v="1"/>
    <n v="0.12"/>
    <s v="Breakfast"/>
    <n v="25.0184"/>
    <n v="13.89"/>
  </r>
  <r>
    <s v="O00030"/>
    <x v="6"/>
    <n v="1"/>
    <n v="246.09"/>
    <n v="112.08"/>
    <x v="3"/>
    <x v="10"/>
    <x v="1"/>
    <n v="0.12"/>
    <s v="Breakfast"/>
    <n v="216.5592"/>
    <n v="112.08"/>
  </r>
  <r>
    <s v="O00030"/>
    <x v="7"/>
    <n v="2"/>
    <n v="70.540000000000006"/>
    <n v="35.81"/>
    <x v="0"/>
    <x v="10"/>
    <x v="1"/>
    <n v="0.12"/>
    <s v="Breakfast"/>
    <n v="124.1504"/>
    <n v="71.62"/>
  </r>
  <r>
    <s v="O00031"/>
    <x v="12"/>
    <n v="1"/>
    <n v="54.2"/>
    <n v="21.95"/>
    <x v="2"/>
    <x v="22"/>
    <x v="2"/>
    <n v="0.06"/>
    <s v="Lunch"/>
    <n v="50.948"/>
    <n v="21.95"/>
  </r>
  <r>
    <s v="O00031"/>
    <x v="16"/>
    <n v="2"/>
    <n v="146.4"/>
    <n v="80.92"/>
    <x v="3"/>
    <x v="22"/>
    <x v="2"/>
    <n v="0.06"/>
    <s v="Lunch"/>
    <n v="275.23199999999997"/>
    <n v="161.84"/>
  </r>
  <r>
    <s v="O00031"/>
    <x v="13"/>
    <n v="1"/>
    <n v="116.8"/>
    <n v="48.97"/>
    <x v="2"/>
    <x v="22"/>
    <x v="2"/>
    <n v="0.06"/>
    <s v="Lunch"/>
    <n v="109.79199999999999"/>
    <n v="48.97"/>
  </r>
  <r>
    <s v="O00032"/>
    <x v="12"/>
    <n v="1"/>
    <n v="54.2"/>
    <n v="21.95"/>
    <x v="2"/>
    <x v="19"/>
    <x v="1"/>
    <n v="0.12"/>
    <s v="Breakfast"/>
    <n v="47.696000000000005"/>
    <n v="21.95"/>
  </r>
  <r>
    <s v="O00032"/>
    <x v="13"/>
    <n v="1"/>
    <n v="116.8"/>
    <n v="48.97"/>
    <x v="2"/>
    <x v="19"/>
    <x v="1"/>
    <n v="0.12"/>
    <s v="Breakfast"/>
    <n v="102.78399999999999"/>
    <n v="48.97"/>
  </r>
  <r>
    <s v="O00032"/>
    <x v="3"/>
    <n v="2"/>
    <n v="32.979999999999997"/>
    <n v="11.84"/>
    <x v="1"/>
    <x v="19"/>
    <x v="1"/>
    <n v="0.12"/>
    <s v="Breakfast"/>
    <n v="58.044799999999995"/>
    <n v="23.68"/>
  </r>
  <r>
    <s v="O00032"/>
    <x v="16"/>
    <n v="2"/>
    <n v="146.4"/>
    <n v="80.92"/>
    <x v="3"/>
    <x v="19"/>
    <x v="1"/>
    <n v="0.12"/>
    <s v="Breakfast"/>
    <n v="257.66399999999999"/>
    <n v="161.84"/>
  </r>
  <r>
    <s v="O00033"/>
    <x v="17"/>
    <n v="1"/>
    <n v="39.950000000000003"/>
    <n v="15.51"/>
    <x v="0"/>
    <x v="9"/>
    <x v="1"/>
    <n v="0"/>
    <s v="Breakfast"/>
    <n v="39.950000000000003"/>
    <n v="15.51"/>
  </r>
  <r>
    <s v="O00033"/>
    <x v="13"/>
    <n v="3"/>
    <n v="116.8"/>
    <n v="48.97"/>
    <x v="2"/>
    <x v="9"/>
    <x v="1"/>
    <n v="0"/>
    <s v="Breakfast"/>
    <n v="350.4"/>
    <n v="146.91"/>
  </r>
  <r>
    <s v="O00034"/>
    <x v="3"/>
    <n v="1"/>
    <n v="32.979999999999997"/>
    <n v="11.84"/>
    <x v="1"/>
    <x v="23"/>
    <x v="0"/>
    <n v="0.09"/>
    <s v="Dinner"/>
    <n v="30.011799999999997"/>
    <n v="11.84"/>
  </r>
  <r>
    <s v="O00034"/>
    <x v="17"/>
    <n v="1"/>
    <n v="39.950000000000003"/>
    <n v="15.51"/>
    <x v="0"/>
    <x v="23"/>
    <x v="0"/>
    <n v="0.09"/>
    <s v="Dinner"/>
    <n v="36.354500000000002"/>
    <n v="15.51"/>
  </r>
  <r>
    <s v="O00034"/>
    <x v="10"/>
    <n v="1"/>
    <n v="22.2"/>
    <n v="9.3800000000000008"/>
    <x v="1"/>
    <x v="23"/>
    <x v="0"/>
    <n v="0.09"/>
    <s v="Dinner"/>
    <n v="20.202000000000002"/>
    <n v="9.3800000000000008"/>
  </r>
  <r>
    <s v="O00035"/>
    <x v="13"/>
    <n v="1"/>
    <n v="116.8"/>
    <n v="48.97"/>
    <x v="2"/>
    <x v="24"/>
    <x v="0"/>
    <n v="0.06"/>
    <s v="Dinner"/>
    <n v="109.79199999999999"/>
    <n v="48.97"/>
  </r>
  <r>
    <s v="O00035"/>
    <x v="15"/>
    <n v="2"/>
    <n v="227.61"/>
    <n v="96.22"/>
    <x v="3"/>
    <x v="24"/>
    <x v="0"/>
    <n v="0.06"/>
    <s v="Dinner"/>
    <n v="427.90679999999998"/>
    <n v="192.44"/>
  </r>
  <r>
    <s v="O00035"/>
    <x v="2"/>
    <n v="1"/>
    <n v="76.55"/>
    <n v="38.229999999999997"/>
    <x v="2"/>
    <x v="24"/>
    <x v="0"/>
    <n v="0.06"/>
    <s v="Dinner"/>
    <n v="71.956999999999994"/>
    <n v="38.229999999999997"/>
  </r>
  <r>
    <s v="O00035"/>
    <x v="8"/>
    <n v="1"/>
    <n v="28.43"/>
    <n v="13.89"/>
    <x v="1"/>
    <x v="24"/>
    <x v="0"/>
    <n v="0.06"/>
    <s v="Dinner"/>
    <n v="26.7242"/>
    <n v="13.89"/>
  </r>
  <r>
    <s v="O00036"/>
    <x v="18"/>
    <n v="1"/>
    <n v="50.19"/>
    <n v="22.61"/>
    <x v="0"/>
    <x v="25"/>
    <x v="2"/>
    <n v="0.05"/>
    <s v="Breakfast"/>
    <n v="47.680499999999995"/>
    <n v="22.61"/>
  </r>
  <r>
    <s v="O00036"/>
    <x v="4"/>
    <n v="1"/>
    <n v="170.83"/>
    <n v="74.069999999999993"/>
    <x v="3"/>
    <x v="25"/>
    <x v="2"/>
    <n v="0.05"/>
    <s v="Breakfast"/>
    <n v="162.2885"/>
    <n v="74.069999999999993"/>
  </r>
  <r>
    <s v="O00037"/>
    <x v="4"/>
    <n v="2"/>
    <n v="170.83"/>
    <n v="74.069999999999993"/>
    <x v="3"/>
    <x v="26"/>
    <x v="1"/>
    <n v="0.06"/>
    <s v="Dinner"/>
    <n v="321.16039999999998"/>
    <n v="148.13999999999999"/>
  </r>
  <r>
    <s v="O00038"/>
    <x v="10"/>
    <n v="1"/>
    <n v="22.2"/>
    <n v="9.3800000000000008"/>
    <x v="1"/>
    <x v="9"/>
    <x v="2"/>
    <n v="0"/>
    <s v="Dinner"/>
    <n v="22.2"/>
    <n v="9.3800000000000008"/>
  </r>
  <r>
    <s v="O00038"/>
    <x v="3"/>
    <n v="2"/>
    <n v="32.979999999999997"/>
    <n v="11.84"/>
    <x v="1"/>
    <x v="9"/>
    <x v="2"/>
    <n v="0"/>
    <s v="Dinner"/>
    <n v="65.959999999999994"/>
    <n v="23.68"/>
  </r>
  <r>
    <s v="O00039"/>
    <x v="4"/>
    <n v="3"/>
    <n v="170.83"/>
    <n v="74.069999999999993"/>
    <x v="3"/>
    <x v="27"/>
    <x v="1"/>
    <n v="0.05"/>
    <s v="Breakfast"/>
    <n v="486.8655"/>
    <n v="222.20999999999998"/>
  </r>
  <r>
    <s v="O00040"/>
    <x v="3"/>
    <n v="3"/>
    <n v="32.979999999999997"/>
    <n v="11.84"/>
    <x v="1"/>
    <x v="28"/>
    <x v="1"/>
    <n v="7.0000000000000007E-2"/>
    <s v="Breakfast"/>
    <n v="92.014199999999988"/>
    <n v="35.519999999999996"/>
  </r>
  <r>
    <s v="O00040"/>
    <x v="8"/>
    <n v="1"/>
    <n v="28.43"/>
    <n v="13.89"/>
    <x v="1"/>
    <x v="28"/>
    <x v="1"/>
    <n v="7.0000000000000007E-2"/>
    <s v="Breakfast"/>
    <n v="26.439899999999998"/>
    <n v="13.89"/>
  </r>
  <r>
    <s v="O00040"/>
    <x v="14"/>
    <n v="2"/>
    <n v="256.91000000000003"/>
    <n v="121.24"/>
    <x v="3"/>
    <x v="28"/>
    <x v="1"/>
    <n v="7.0000000000000007E-2"/>
    <s v="Breakfast"/>
    <n v="477.8526"/>
    <n v="242.48"/>
  </r>
  <r>
    <s v="O00040"/>
    <x v="1"/>
    <n v="1"/>
    <n v="30.34"/>
    <n v="14.18"/>
    <x v="1"/>
    <x v="28"/>
    <x v="1"/>
    <n v="7.0000000000000007E-2"/>
    <s v="Breakfast"/>
    <n v="28.216199999999997"/>
    <n v="14.18"/>
  </r>
  <r>
    <s v="O00041"/>
    <x v="3"/>
    <n v="3"/>
    <n v="32.979999999999997"/>
    <n v="11.84"/>
    <x v="1"/>
    <x v="1"/>
    <x v="2"/>
    <n v="0.12"/>
    <s v="Breakfast"/>
    <n v="87.0672"/>
    <n v="35.519999999999996"/>
  </r>
  <r>
    <s v="O00041"/>
    <x v="7"/>
    <n v="1"/>
    <n v="70.540000000000006"/>
    <n v="35.81"/>
    <x v="0"/>
    <x v="1"/>
    <x v="2"/>
    <n v="0.12"/>
    <s v="Breakfast"/>
    <n v="62.075200000000002"/>
    <n v="35.81"/>
  </r>
  <r>
    <s v="O00042"/>
    <x v="11"/>
    <n v="1"/>
    <n v="57.07"/>
    <n v="29.14"/>
    <x v="2"/>
    <x v="29"/>
    <x v="0"/>
    <n v="0.04"/>
    <s v="Lunch"/>
    <n v="54.787199999999999"/>
    <n v="29.14"/>
  </r>
  <r>
    <s v="O00042"/>
    <x v="10"/>
    <n v="1"/>
    <n v="22.2"/>
    <n v="9.3800000000000008"/>
    <x v="1"/>
    <x v="29"/>
    <x v="0"/>
    <n v="0.04"/>
    <s v="Lunch"/>
    <n v="21.311999999999998"/>
    <n v="9.3800000000000008"/>
  </r>
  <r>
    <s v="O00042"/>
    <x v="15"/>
    <n v="1"/>
    <n v="227.61"/>
    <n v="96.22"/>
    <x v="3"/>
    <x v="29"/>
    <x v="0"/>
    <n v="0.04"/>
    <s v="Lunch"/>
    <n v="218.50560000000002"/>
    <n v="96.22"/>
  </r>
  <r>
    <s v="O00042"/>
    <x v="12"/>
    <n v="1"/>
    <n v="54.2"/>
    <n v="21.95"/>
    <x v="2"/>
    <x v="29"/>
    <x v="0"/>
    <n v="0.04"/>
    <s v="Lunch"/>
    <n v="52.032000000000004"/>
    <n v="21.95"/>
  </r>
  <r>
    <s v="O00043"/>
    <x v="10"/>
    <n v="1"/>
    <n v="22.2"/>
    <n v="9.3800000000000008"/>
    <x v="1"/>
    <x v="30"/>
    <x v="2"/>
    <n v="0.03"/>
    <s v="Breakfast"/>
    <n v="21.533999999999999"/>
    <n v="9.3800000000000008"/>
  </r>
  <r>
    <s v="O00044"/>
    <x v="10"/>
    <n v="1"/>
    <n v="22.2"/>
    <n v="9.3800000000000008"/>
    <x v="1"/>
    <x v="27"/>
    <x v="1"/>
    <n v="0.04"/>
    <s v="Breakfast"/>
    <n v="21.311999999999998"/>
    <n v="9.3800000000000008"/>
  </r>
  <r>
    <s v="O00044"/>
    <x v="0"/>
    <n v="1"/>
    <n v="52.45"/>
    <n v="25.8"/>
    <x v="0"/>
    <x v="27"/>
    <x v="1"/>
    <n v="0.04"/>
    <s v="Breakfast"/>
    <n v="50.352000000000004"/>
    <n v="25.8"/>
  </r>
  <r>
    <s v="O00044"/>
    <x v="7"/>
    <n v="1"/>
    <n v="70.540000000000006"/>
    <n v="35.81"/>
    <x v="0"/>
    <x v="27"/>
    <x v="1"/>
    <n v="0.04"/>
    <s v="Breakfast"/>
    <n v="67.718400000000003"/>
    <n v="35.81"/>
  </r>
  <r>
    <s v="O00045"/>
    <x v="9"/>
    <n v="3"/>
    <n v="20.11"/>
    <n v="8"/>
    <x v="1"/>
    <x v="31"/>
    <x v="1"/>
    <n v="0.1"/>
    <s v="Breakfast"/>
    <n v="54.296999999999997"/>
    <n v="24"/>
  </r>
  <r>
    <s v="O00045"/>
    <x v="3"/>
    <n v="2"/>
    <n v="32.979999999999997"/>
    <n v="11.84"/>
    <x v="1"/>
    <x v="31"/>
    <x v="1"/>
    <n v="0.1"/>
    <s v="Breakfast"/>
    <n v="59.363999999999997"/>
    <n v="23.68"/>
  </r>
  <r>
    <s v="O00045"/>
    <x v="13"/>
    <n v="2"/>
    <n v="116.8"/>
    <n v="48.97"/>
    <x v="2"/>
    <x v="31"/>
    <x v="1"/>
    <n v="0.1"/>
    <s v="Breakfast"/>
    <n v="210.24"/>
    <n v="97.94"/>
  </r>
  <r>
    <s v="O00046"/>
    <x v="17"/>
    <n v="1"/>
    <n v="39.950000000000003"/>
    <n v="15.51"/>
    <x v="0"/>
    <x v="32"/>
    <x v="1"/>
    <n v="7.0000000000000007E-2"/>
    <s v="Breakfast"/>
    <n v="37.153500000000001"/>
    <n v="15.51"/>
  </r>
  <r>
    <s v="O00047"/>
    <x v="14"/>
    <n v="2"/>
    <n v="256.91000000000003"/>
    <n v="121.24"/>
    <x v="3"/>
    <x v="33"/>
    <x v="1"/>
    <n v="0.04"/>
    <s v="Breakfast"/>
    <n v="493.2672"/>
    <n v="242.48"/>
  </r>
  <r>
    <s v="O00047"/>
    <x v="0"/>
    <n v="1"/>
    <n v="52.45"/>
    <n v="25.8"/>
    <x v="0"/>
    <x v="33"/>
    <x v="1"/>
    <n v="0.04"/>
    <s v="Breakfast"/>
    <n v="50.352000000000004"/>
    <n v="25.8"/>
  </r>
  <r>
    <s v="O00047"/>
    <x v="12"/>
    <n v="1"/>
    <n v="54.2"/>
    <n v="21.95"/>
    <x v="2"/>
    <x v="33"/>
    <x v="1"/>
    <n v="0.04"/>
    <s v="Breakfast"/>
    <n v="52.032000000000004"/>
    <n v="21.95"/>
  </r>
  <r>
    <s v="O00048"/>
    <x v="5"/>
    <n v="1"/>
    <n v="38.06"/>
    <n v="19.55"/>
    <x v="0"/>
    <x v="20"/>
    <x v="1"/>
    <n v="0.08"/>
    <s v="Breakfast"/>
    <n v="35.0152"/>
    <n v="19.55"/>
  </r>
  <r>
    <s v="O00048"/>
    <x v="18"/>
    <n v="2"/>
    <n v="50.19"/>
    <n v="22.61"/>
    <x v="0"/>
    <x v="20"/>
    <x v="1"/>
    <n v="0.08"/>
    <s v="Breakfast"/>
    <n v="92.349599999999995"/>
    <n v="45.22"/>
  </r>
  <r>
    <s v="O00048"/>
    <x v="8"/>
    <n v="2"/>
    <n v="28.43"/>
    <n v="13.89"/>
    <x v="1"/>
    <x v="20"/>
    <x v="1"/>
    <n v="0.08"/>
    <s v="Breakfast"/>
    <n v="52.311199999999999"/>
    <n v="27.78"/>
  </r>
  <r>
    <s v="O00049"/>
    <x v="15"/>
    <n v="1"/>
    <n v="227.61"/>
    <n v="96.22"/>
    <x v="3"/>
    <x v="29"/>
    <x v="0"/>
    <n v="0.06"/>
    <s v="Lunch"/>
    <n v="213.95339999999999"/>
    <n v="96.22"/>
  </r>
  <r>
    <s v="O00049"/>
    <x v="3"/>
    <n v="2"/>
    <n v="32.979999999999997"/>
    <n v="11.84"/>
    <x v="1"/>
    <x v="29"/>
    <x v="0"/>
    <n v="0.06"/>
    <s v="Lunch"/>
    <n v="62.002399999999987"/>
    <n v="23.68"/>
  </r>
  <r>
    <s v="O00050"/>
    <x v="2"/>
    <n v="1"/>
    <n v="76.55"/>
    <n v="38.229999999999997"/>
    <x v="2"/>
    <x v="34"/>
    <x v="1"/>
    <n v="0.1"/>
    <s v="Breakfast"/>
    <n v="68.894999999999996"/>
    <n v="38.229999999999997"/>
  </r>
  <r>
    <s v="O00050"/>
    <x v="3"/>
    <n v="1"/>
    <n v="32.979999999999997"/>
    <n v="11.84"/>
    <x v="1"/>
    <x v="34"/>
    <x v="1"/>
    <n v="0.1"/>
    <s v="Breakfast"/>
    <n v="29.681999999999999"/>
    <n v="11.84"/>
  </r>
  <r>
    <s v="O00051"/>
    <x v="6"/>
    <n v="1"/>
    <n v="246.09"/>
    <n v="112.08"/>
    <x v="3"/>
    <x v="35"/>
    <x v="0"/>
    <n v="0.03"/>
    <s v="Lunch"/>
    <n v="238.7073"/>
    <n v="112.08"/>
  </r>
  <r>
    <s v="O00051"/>
    <x v="13"/>
    <n v="1"/>
    <n v="116.8"/>
    <n v="48.97"/>
    <x v="2"/>
    <x v="35"/>
    <x v="0"/>
    <n v="0.03"/>
    <s v="Lunch"/>
    <n v="113.29599999999999"/>
    <n v="48.97"/>
  </r>
  <r>
    <s v="O00051"/>
    <x v="2"/>
    <n v="3"/>
    <n v="76.55"/>
    <n v="38.229999999999997"/>
    <x v="2"/>
    <x v="35"/>
    <x v="0"/>
    <n v="0.03"/>
    <s v="Lunch"/>
    <n v="222.76049999999998"/>
    <n v="114.69"/>
  </r>
  <r>
    <s v="O00052"/>
    <x v="7"/>
    <n v="2"/>
    <n v="70.540000000000006"/>
    <n v="35.81"/>
    <x v="0"/>
    <x v="11"/>
    <x v="2"/>
    <n v="0.05"/>
    <s v="Breakfast"/>
    <n v="134.02600000000001"/>
    <n v="71.62"/>
  </r>
  <r>
    <s v="O00052"/>
    <x v="0"/>
    <n v="1"/>
    <n v="52.45"/>
    <n v="25.8"/>
    <x v="0"/>
    <x v="11"/>
    <x v="2"/>
    <n v="0.05"/>
    <s v="Breakfast"/>
    <n v="49.827500000000001"/>
    <n v="25.8"/>
  </r>
  <r>
    <s v="O00053"/>
    <x v="0"/>
    <n v="2"/>
    <n v="52.45"/>
    <n v="25.8"/>
    <x v="0"/>
    <x v="8"/>
    <x v="0"/>
    <n v="0.04"/>
    <s v="Breakfast"/>
    <n v="100.70400000000001"/>
    <n v="51.6"/>
  </r>
  <r>
    <s v="O00054"/>
    <x v="5"/>
    <n v="1"/>
    <n v="38.06"/>
    <n v="19.55"/>
    <x v="0"/>
    <x v="36"/>
    <x v="1"/>
    <n v="0"/>
    <s v="Lunch"/>
    <n v="38.06"/>
    <n v="19.55"/>
  </r>
  <r>
    <s v="O00054"/>
    <x v="13"/>
    <n v="2"/>
    <n v="116.8"/>
    <n v="48.97"/>
    <x v="2"/>
    <x v="36"/>
    <x v="1"/>
    <n v="0"/>
    <s v="Lunch"/>
    <n v="233.6"/>
    <n v="97.94"/>
  </r>
  <r>
    <s v="O00055"/>
    <x v="14"/>
    <n v="2"/>
    <n v="256.91000000000003"/>
    <n v="121.24"/>
    <x v="3"/>
    <x v="16"/>
    <x v="0"/>
    <n v="7.0000000000000007E-2"/>
    <s v="Dinner"/>
    <n v="477.8526"/>
    <n v="242.48"/>
  </r>
  <r>
    <s v="O00055"/>
    <x v="6"/>
    <n v="1"/>
    <n v="246.09"/>
    <n v="112.08"/>
    <x v="3"/>
    <x v="16"/>
    <x v="0"/>
    <n v="7.0000000000000007E-2"/>
    <s v="Dinner"/>
    <n v="228.86369999999999"/>
    <n v="112.08"/>
  </r>
  <r>
    <s v="O00056"/>
    <x v="13"/>
    <n v="3"/>
    <n v="116.8"/>
    <n v="48.97"/>
    <x v="2"/>
    <x v="19"/>
    <x v="1"/>
    <n v="7.0000000000000007E-2"/>
    <s v="Lunch"/>
    <n v="325.87199999999996"/>
    <n v="146.91"/>
  </r>
  <r>
    <s v="O00056"/>
    <x v="16"/>
    <n v="1"/>
    <n v="146.4"/>
    <n v="80.92"/>
    <x v="3"/>
    <x v="19"/>
    <x v="1"/>
    <n v="7.0000000000000007E-2"/>
    <s v="Lunch"/>
    <n v="136.15199999999999"/>
    <n v="80.92"/>
  </r>
  <r>
    <s v="O00057"/>
    <x v="18"/>
    <n v="1"/>
    <n v="50.19"/>
    <n v="22.61"/>
    <x v="0"/>
    <x v="14"/>
    <x v="0"/>
    <n v="0.06"/>
    <s v="Breakfast"/>
    <n v="47.178599999999996"/>
    <n v="22.61"/>
  </r>
  <r>
    <s v="O00057"/>
    <x v="1"/>
    <n v="3"/>
    <n v="30.34"/>
    <n v="14.18"/>
    <x v="1"/>
    <x v="14"/>
    <x v="0"/>
    <n v="0.06"/>
    <s v="Breakfast"/>
    <n v="85.558799999999991"/>
    <n v="42.54"/>
  </r>
  <r>
    <s v="O00057"/>
    <x v="5"/>
    <n v="1"/>
    <n v="38.06"/>
    <n v="19.55"/>
    <x v="0"/>
    <x v="14"/>
    <x v="0"/>
    <n v="0.06"/>
    <s v="Breakfast"/>
    <n v="35.776400000000002"/>
    <n v="19.55"/>
  </r>
  <r>
    <s v="O00057"/>
    <x v="2"/>
    <n v="1"/>
    <n v="76.55"/>
    <n v="38.229999999999997"/>
    <x v="2"/>
    <x v="14"/>
    <x v="0"/>
    <n v="0.06"/>
    <s v="Breakfast"/>
    <n v="71.956999999999994"/>
    <n v="38.229999999999997"/>
  </r>
  <r>
    <s v="O00058"/>
    <x v="6"/>
    <n v="1"/>
    <n v="246.09"/>
    <n v="112.08"/>
    <x v="3"/>
    <x v="13"/>
    <x v="1"/>
    <n v="0.05"/>
    <s v="Dinner"/>
    <n v="233.78549999999998"/>
    <n v="112.08"/>
  </r>
  <r>
    <s v="O00059"/>
    <x v="2"/>
    <n v="2"/>
    <n v="76.55"/>
    <n v="38.229999999999997"/>
    <x v="2"/>
    <x v="37"/>
    <x v="1"/>
    <n v="0"/>
    <s v="Lunch"/>
    <n v="153.1"/>
    <n v="76.459999999999994"/>
  </r>
  <r>
    <s v="O00059"/>
    <x v="12"/>
    <n v="1"/>
    <n v="54.2"/>
    <n v="21.95"/>
    <x v="2"/>
    <x v="37"/>
    <x v="1"/>
    <n v="0"/>
    <s v="Lunch"/>
    <n v="54.2"/>
    <n v="21.95"/>
  </r>
  <r>
    <s v="O00059"/>
    <x v="15"/>
    <n v="2"/>
    <n v="227.61"/>
    <n v="96.22"/>
    <x v="3"/>
    <x v="37"/>
    <x v="1"/>
    <n v="0"/>
    <s v="Lunch"/>
    <n v="455.22"/>
    <n v="192.44"/>
  </r>
  <r>
    <s v="O00060"/>
    <x v="4"/>
    <n v="2"/>
    <n v="170.83"/>
    <n v="74.069999999999993"/>
    <x v="3"/>
    <x v="38"/>
    <x v="1"/>
    <n v="0.04"/>
    <s v="Dinner"/>
    <n v="327.99360000000001"/>
    <n v="148.13999999999999"/>
  </r>
  <r>
    <s v="O00060"/>
    <x v="14"/>
    <n v="1"/>
    <n v="256.91000000000003"/>
    <n v="121.24"/>
    <x v="3"/>
    <x v="38"/>
    <x v="1"/>
    <n v="0.04"/>
    <s v="Dinner"/>
    <n v="246.6336"/>
    <n v="121.24"/>
  </r>
  <r>
    <s v="O00060"/>
    <x v="7"/>
    <n v="2"/>
    <n v="70.540000000000006"/>
    <n v="35.81"/>
    <x v="0"/>
    <x v="38"/>
    <x v="1"/>
    <n v="0.04"/>
    <s v="Dinner"/>
    <n v="135.43680000000001"/>
    <n v="71.62"/>
  </r>
  <r>
    <s v="O00061"/>
    <x v="0"/>
    <n v="1"/>
    <n v="52.45"/>
    <n v="25.8"/>
    <x v="0"/>
    <x v="39"/>
    <x v="1"/>
    <n v="0.05"/>
    <s v="Breakfast"/>
    <n v="49.827500000000001"/>
    <n v="25.8"/>
  </r>
  <r>
    <s v="O00061"/>
    <x v="1"/>
    <n v="2"/>
    <n v="30.34"/>
    <n v="14.18"/>
    <x v="1"/>
    <x v="39"/>
    <x v="1"/>
    <n v="0.05"/>
    <s v="Breakfast"/>
    <n v="57.645999999999994"/>
    <n v="28.36"/>
  </r>
  <r>
    <s v="O00061"/>
    <x v="17"/>
    <n v="3"/>
    <n v="39.950000000000003"/>
    <n v="15.51"/>
    <x v="0"/>
    <x v="39"/>
    <x v="1"/>
    <n v="0.05"/>
    <s v="Breakfast"/>
    <n v="113.8575"/>
    <n v="46.53"/>
  </r>
  <r>
    <s v="O00061"/>
    <x v="3"/>
    <n v="1"/>
    <n v="32.979999999999997"/>
    <n v="11.84"/>
    <x v="1"/>
    <x v="39"/>
    <x v="1"/>
    <n v="0.05"/>
    <s v="Breakfast"/>
    <n v="31.330999999999996"/>
    <n v="11.84"/>
  </r>
  <r>
    <s v="O00062"/>
    <x v="13"/>
    <n v="2"/>
    <n v="116.8"/>
    <n v="48.97"/>
    <x v="2"/>
    <x v="19"/>
    <x v="1"/>
    <n v="0.03"/>
    <s v="Dinner"/>
    <n v="226.59199999999998"/>
    <n v="97.94"/>
  </r>
  <r>
    <s v="O00062"/>
    <x v="1"/>
    <n v="2"/>
    <n v="30.34"/>
    <n v="14.18"/>
    <x v="1"/>
    <x v="19"/>
    <x v="1"/>
    <n v="0.03"/>
    <s v="Dinner"/>
    <n v="58.8596"/>
    <n v="28.36"/>
  </r>
  <r>
    <s v="O00063"/>
    <x v="2"/>
    <n v="2"/>
    <n v="76.55"/>
    <n v="38.229999999999997"/>
    <x v="2"/>
    <x v="33"/>
    <x v="0"/>
    <n v="0.05"/>
    <s v="Dinner"/>
    <n v="145.44499999999999"/>
    <n v="76.459999999999994"/>
  </r>
  <r>
    <s v="O00064"/>
    <x v="9"/>
    <n v="1"/>
    <n v="20.11"/>
    <n v="8"/>
    <x v="1"/>
    <x v="2"/>
    <x v="2"/>
    <n v="0.08"/>
    <s v="Breakfast"/>
    <n v="18.501200000000001"/>
    <n v="8"/>
  </r>
  <r>
    <s v="O00065"/>
    <x v="14"/>
    <n v="2"/>
    <n v="256.91000000000003"/>
    <n v="121.24"/>
    <x v="3"/>
    <x v="32"/>
    <x v="2"/>
    <n v="0.14000000000000001"/>
    <s v="Lunch"/>
    <n v="441.88520000000005"/>
    <n v="242.48"/>
  </r>
  <r>
    <s v="O00065"/>
    <x v="7"/>
    <n v="2"/>
    <n v="70.540000000000006"/>
    <n v="35.81"/>
    <x v="0"/>
    <x v="32"/>
    <x v="2"/>
    <n v="0.14000000000000001"/>
    <s v="Lunch"/>
    <n v="121.32880000000002"/>
    <n v="71.62"/>
  </r>
  <r>
    <s v="O00065"/>
    <x v="8"/>
    <n v="1"/>
    <n v="28.43"/>
    <n v="13.89"/>
    <x v="1"/>
    <x v="32"/>
    <x v="2"/>
    <n v="0.14000000000000001"/>
    <s v="Lunch"/>
    <n v="24.4498"/>
    <n v="13.89"/>
  </r>
  <r>
    <s v="O00066"/>
    <x v="5"/>
    <n v="1"/>
    <n v="38.06"/>
    <n v="19.55"/>
    <x v="0"/>
    <x v="40"/>
    <x v="0"/>
    <n v="7.0000000000000007E-2"/>
    <s v="Breakfast"/>
    <n v="35.395800000000001"/>
    <n v="19.55"/>
  </r>
  <r>
    <s v="O00066"/>
    <x v="16"/>
    <n v="3"/>
    <n v="146.4"/>
    <n v="80.92"/>
    <x v="3"/>
    <x v="40"/>
    <x v="0"/>
    <n v="7.0000000000000007E-2"/>
    <s v="Breakfast"/>
    <n v="408.45600000000002"/>
    <n v="242.76"/>
  </r>
  <r>
    <s v="O00066"/>
    <x v="2"/>
    <n v="2"/>
    <n v="76.55"/>
    <n v="38.229999999999997"/>
    <x v="2"/>
    <x v="40"/>
    <x v="0"/>
    <n v="7.0000000000000007E-2"/>
    <s v="Breakfast"/>
    <n v="142.38299999999998"/>
    <n v="76.459999999999994"/>
  </r>
  <r>
    <s v="O00066"/>
    <x v="15"/>
    <n v="2"/>
    <n v="227.61"/>
    <n v="96.22"/>
    <x v="3"/>
    <x v="40"/>
    <x v="0"/>
    <n v="7.0000000000000007E-2"/>
    <s v="Breakfast"/>
    <n v="423.3546"/>
    <n v="192.44"/>
  </r>
  <r>
    <s v="O00067"/>
    <x v="7"/>
    <n v="1"/>
    <n v="70.540000000000006"/>
    <n v="35.81"/>
    <x v="0"/>
    <x v="11"/>
    <x v="2"/>
    <n v="7.0000000000000007E-2"/>
    <s v="Breakfast"/>
    <n v="65.602199999999996"/>
    <n v="35.81"/>
  </r>
  <r>
    <s v="O00067"/>
    <x v="8"/>
    <n v="1"/>
    <n v="28.43"/>
    <n v="13.89"/>
    <x v="1"/>
    <x v="11"/>
    <x v="2"/>
    <n v="7.0000000000000007E-2"/>
    <s v="Breakfast"/>
    <n v="26.439899999999998"/>
    <n v="13.89"/>
  </r>
  <r>
    <s v="O00067"/>
    <x v="1"/>
    <n v="1"/>
    <n v="30.34"/>
    <n v="14.18"/>
    <x v="1"/>
    <x v="11"/>
    <x v="2"/>
    <n v="7.0000000000000007E-2"/>
    <s v="Breakfast"/>
    <n v="28.216199999999997"/>
    <n v="14.18"/>
  </r>
  <r>
    <s v="O00067"/>
    <x v="13"/>
    <n v="2"/>
    <n v="116.8"/>
    <n v="48.97"/>
    <x v="2"/>
    <x v="11"/>
    <x v="2"/>
    <n v="7.0000000000000007E-2"/>
    <s v="Breakfast"/>
    <n v="217.24799999999999"/>
    <n v="97.94"/>
  </r>
  <r>
    <s v="O00068"/>
    <x v="4"/>
    <n v="1"/>
    <n v="170.83"/>
    <n v="74.069999999999993"/>
    <x v="3"/>
    <x v="41"/>
    <x v="1"/>
    <n v="0.06"/>
    <s v="Breakfast"/>
    <n v="160.58019999999999"/>
    <n v="74.069999999999993"/>
  </r>
  <r>
    <s v="O00068"/>
    <x v="18"/>
    <n v="1"/>
    <n v="50.19"/>
    <n v="22.61"/>
    <x v="0"/>
    <x v="41"/>
    <x v="1"/>
    <n v="0.06"/>
    <s v="Breakfast"/>
    <n v="47.178599999999996"/>
    <n v="22.61"/>
  </r>
  <r>
    <s v="O00068"/>
    <x v="1"/>
    <n v="1"/>
    <n v="30.34"/>
    <n v="14.18"/>
    <x v="1"/>
    <x v="41"/>
    <x v="1"/>
    <n v="0.06"/>
    <s v="Breakfast"/>
    <n v="28.519599999999997"/>
    <n v="14.18"/>
  </r>
  <r>
    <s v="O00068"/>
    <x v="16"/>
    <n v="1"/>
    <n v="146.4"/>
    <n v="80.92"/>
    <x v="3"/>
    <x v="41"/>
    <x v="1"/>
    <n v="0.06"/>
    <s v="Breakfast"/>
    <n v="137.61599999999999"/>
    <n v="80.92"/>
  </r>
  <r>
    <s v="O00069"/>
    <x v="6"/>
    <n v="3"/>
    <n v="246.09"/>
    <n v="112.08"/>
    <x v="3"/>
    <x v="28"/>
    <x v="1"/>
    <n v="0"/>
    <s v="Lunch"/>
    <n v="738.27"/>
    <n v="336.24"/>
  </r>
  <r>
    <s v="O00069"/>
    <x v="14"/>
    <n v="2"/>
    <n v="256.91000000000003"/>
    <n v="121.24"/>
    <x v="3"/>
    <x v="28"/>
    <x v="1"/>
    <n v="0"/>
    <s v="Lunch"/>
    <n v="513.82000000000005"/>
    <n v="242.48"/>
  </r>
  <r>
    <s v="O00069"/>
    <x v="7"/>
    <n v="2"/>
    <n v="70.540000000000006"/>
    <n v="35.81"/>
    <x v="0"/>
    <x v="28"/>
    <x v="1"/>
    <n v="0"/>
    <s v="Lunch"/>
    <n v="141.08000000000001"/>
    <n v="71.62"/>
  </r>
  <r>
    <s v="O00069"/>
    <x v="16"/>
    <n v="1"/>
    <n v="146.4"/>
    <n v="80.92"/>
    <x v="3"/>
    <x v="28"/>
    <x v="1"/>
    <n v="0"/>
    <s v="Lunch"/>
    <n v="146.4"/>
    <n v="80.92"/>
  </r>
  <r>
    <s v="O00070"/>
    <x v="9"/>
    <n v="3"/>
    <n v="20.11"/>
    <n v="8"/>
    <x v="1"/>
    <x v="39"/>
    <x v="2"/>
    <n v="0.06"/>
    <s v="Breakfast"/>
    <n v="56.710199999999993"/>
    <n v="24"/>
  </r>
  <r>
    <s v="O00071"/>
    <x v="4"/>
    <n v="1"/>
    <n v="170.83"/>
    <n v="74.069999999999993"/>
    <x v="3"/>
    <x v="17"/>
    <x v="2"/>
    <n v="0.06"/>
    <s v="Lunch"/>
    <n v="160.58019999999999"/>
    <n v="74.069999999999993"/>
  </r>
  <r>
    <s v="O00071"/>
    <x v="2"/>
    <n v="2"/>
    <n v="76.55"/>
    <n v="38.229999999999997"/>
    <x v="2"/>
    <x v="17"/>
    <x v="2"/>
    <n v="0.06"/>
    <s v="Lunch"/>
    <n v="143.91399999999999"/>
    <n v="76.459999999999994"/>
  </r>
  <r>
    <s v="O00072"/>
    <x v="4"/>
    <n v="2"/>
    <n v="170.83"/>
    <n v="74.069999999999993"/>
    <x v="3"/>
    <x v="18"/>
    <x v="0"/>
    <n v="0.16"/>
    <s v="Lunch"/>
    <n v="286.99439999999998"/>
    <n v="148.13999999999999"/>
  </r>
  <r>
    <s v="O00072"/>
    <x v="1"/>
    <n v="1"/>
    <n v="30.34"/>
    <n v="14.18"/>
    <x v="1"/>
    <x v="18"/>
    <x v="0"/>
    <n v="0.16"/>
    <s v="Lunch"/>
    <n v="25.485599999999998"/>
    <n v="14.18"/>
  </r>
  <r>
    <s v="O00072"/>
    <x v="8"/>
    <n v="1"/>
    <n v="28.43"/>
    <n v="13.89"/>
    <x v="1"/>
    <x v="18"/>
    <x v="0"/>
    <n v="0.16"/>
    <s v="Lunch"/>
    <n v="23.8812"/>
    <n v="13.89"/>
  </r>
  <r>
    <s v="O00073"/>
    <x v="18"/>
    <n v="2"/>
    <n v="50.19"/>
    <n v="22.61"/>
    <x v="0"/>
    <x v="9"/>
    <x v="0"/>
    <n v="0.05"/>
    <s v="Dinner"/>
    <n v="95.36099999999999"/>
    <n v="45.22"/>
  </r>
  <r>
    <s v="O00074"/>
    <x v="10"/>
    <n v="1"/>
    <n v="22.2"/>
    <n v="9.3800000000000008"/>
    <x v="1"/>
    <x v="42"/>
    <x v="1"/>
    <n v="7.0000000000000007E-2"/>
    <s v="Dinner"/>
    <n v="20.645999999999997"/>
    <n v="9.3800000000000008"/>
  </r>
  <r>
    <s v="O00074"/>
    <x v="0"/>
    <n v="1"/>
    <n v="52.45"/>
    <n v="25.8"/>
    <x v="0"/>
    <x v="42"/>
    <x v="1"/>
    <n v="7.0000000000000007E-2"/>
    <s v="Dinner"/>
    <n v="48.778500000000001"/>
    <n v="25.8"/>
  </r>
  <r>
    <s v="O00074"/>
    <x v="7"/>
    <n v="2"/>
    <n v="70.540000000000006"/>
    <n v="35.81"/>
    <x v="0"/>
    <x v="42"/>
    <x v="1"/>
    <n v="7.0000000000000007E-2"/>
    <s v="Dinner"/>
    <n v="131.20439999999999"/>
    <n v="71.62"/>
  </r>
  <r>
    <s v="O00074"/>
    <x v="15"/>
    <n v="3"/>
    <n v="227.61"/>
    <n v="96.22"/>
    <x v="3"/>
    <x v="42"/>
    <x v="1"/>
    <n v="7.0000000000000007E-2"/>
    <s v="Dinner"/>
    <n v="635.03189999999995"/>
    <n v="288.65999999999997"/>
  </r>
  <r>
    <s v="O00075"/>
    <x v="8"/>
    <n v="2"/>
    <n v="28.43"/>
    <n v="13.89"/>
    <x v="1"/>
    <x v="43"/>
    <x v="1"/>
    <n v="0.06"/>
    <s v="Dinner"/>
    <n v="53.448399999999999"/>
    <n v="27.78"/>
  </r>
  <r>
    <s v="O00075"/>
    <x v="16"/>
    <n v="2"/>
    <n v="146.4"/>
    <n v="80.92"/>
    <x v="3"/>
    <x v="43"/>
    <x v="1"/>
    <n v="0.06"/>
    <s v="Dinner"/>
    <n v="275.23199999999997"/>
    <n v="161.84"/>
  </r>
  <r>
    <s v="O00075"/>
    <x v="5"/>
    <n v="2"/>
    <n v="38.06"/>
    <n v="19.55"/>
    <x v="0"/>
    <x v="43"/>
    <x v="1"/>
    <n v="0.06"/>
    <s v="Dinner"/>
    <n v="71.552800000000005"/>
    <n v="39.1"/>
  </r>
  <r>
    <s v="O00075"/>
    <x v="17"/>
    <n v="3"/>
    <n v="39.950000000000003"/>
    <n v="15.51"/>
    <x v="0"/>
    <x v="43"/>
    <x v="1"/>
    <n v="0.06"/>
    <s v="Dinner"/>
    <n v="112.65900000000001"/>
    <n v="46.53"/>
  </r>
  <r>
    <s v="O00076"/>
    <x v="12"/>
    <n v="1"/>
    <n v="54.2"/>
    <n v="21.95"/>
    <x v="2"/>
    <x v="35"/>
    <x v="2"/>
    <n v="0.01"/>
    <s v="Dinner"/>
    <n v="53.658000000000001"/>
    <n v="21.95"/>
  </r>
  <r>
    <s v="O00076"/>
    <x v="18"/>
    <n v="1"/>
    <n v="50.19"/>
    <n v="22.61"/>
    <x v="0"/>
    <x v="35"/>
    <x v="2"/>
    <n v="0.01"/>
    <s v="Dinner"/>
    <n v="49.688099999999999"/>
    <n v="22.61"/>
  </r>
  <r>
    <s v="O00076"/>
    <x v="16"/>
    <n v="2"/>
    <n v="146.4"/>
    <n v="80.92"/>
    <x v="3"/>
    <x v="35"/>
    <x v="2"/>
    <n v="0.01"/>
    <s v="Dinner"/>
    <n v="289.87200000000001"/>
    <n v="161.84"/>
  </r>
  <r>
    <s v="O00077"/>
    <x v="3"/>
    <n v="1"/>
    <n v="32.979999999999997"/>
    <n v="11.84"/>
    <x v="1"/>
    <x v="30"/>
    <x v="1"/>
    <n v="0.11"/>
    <s v="Lunch"/>
    <n v="29.352199999999996"/>
    <n v="11.84"/>
  </r>
  <r>
    <s v="O00077"/>
    <x v="7"/>
    <n v="1"/>
    <n v="70.540000000000006"/>
    <n v="35.81"/>
    <x v="0"/>
    <x v="30"/>
    <x v="1"/>
    <n v="0.11"/>
    <s v="Lunch"/>
    <n v="62.780600000000007"/>
    <n v="35.81"/>
  </r>
  <r>
    <s v="O00078"/>
    <x v="18"/>
    <n v="1"/>
    <n v="50.19"/>
    <n v="22.61"/>
    <x v="0"/>
    <x v="0"/>
    <x v="2"/>
    <n v="0.09"/>
    <s v="Dinner"/>
    <n v="45.672899999999998"/>
    <n v="22.61"/>
  </r>
  <r>
    <s v="O00078"/>
    <x v="3"/>
    <n v="3"/>
    <n v="32.979999999999997"/>
    <n v="11.84"/>
    <x v="1"/>
    <x v="0"/>
    <x v="2"/>
    <n v="0.09"/>
    <s v="Dinner"/>
    <n v="90.035399999999996"/>
    <n v="35.519999999999996"/>
  </r>
  <r>
    <s v="O00079"/>
    <x v="5"/>
    <n v="1"/>
    <n v="38.06"/>
    <n v="19.55"/>
    <x v="0"/>
    <x v="7"/>
    <x v="2"/>
    <n v="0.09"/>
    <s v="Breakfast"/>
    <n v="34.634600000000006"/>
    <n v="19.55"/>
  </r>
  <r>
    <s v="O00079"/>
    <x v="8"/>
    <n v="2"/>
    <n v="28.43"/>
    <n v="13.89"/>
    <x v="1"/>
    <x v="7"/>
    <x v="2"/>
    <n v="0.09"/>
    <s v="Breakfast"/>
    <n v="51.742600000000003"/>
    <n v="27.78"/>
  </r>
  <r>
    <s v="O00080"/>
    <x v="10"/>
    <n v="2"/>
    <n v="22.2"/>
    <n v="9.3800000000000008"/>
    <x v="1"/>
    <x v="20"/>
    <x v="1"/>
    <n v="0.02"/>
    <s v="Dinner"/>
    <n v="43.512"/>
    <n v="18.760000000000002"/>
  </r>
  <r>
    <s v="O00080"/>
    <x v="3"/>
    <n v="2"/>
    <n v="32.979999999999997"/>
    <n v="11.84"/>
    <x v="1"/>
    <x v="20"/>
    <x v="1"/>
    <n v="0.02"/>
    <s v="Dinner"/>
    <n v="64.640799999999999"/>
    <n v="23.68"/>
  </r>
  <r>
    <s v="O00080"/>
    <x v="14"/>
    <n v="1"/>
    <n v="256.91000000000003"/>
    <n v="121.24"/>
    <x v="3"/>
    <x v="20"/>
    <x v="1"/>
    <n v="0.02"/>
    <s v="Dinner"/>
    <n v="251.77180000000001"/>
    <n v="121.24"/>
  </r>
  <r>
    <s v="O00080"/>
    <x v="1"/>
    <n v="2"/>
    <n v="30.34"/>
    <n v="14.18"/>
    <x v="1"/>
    <x v="20"/>
    <x v="1"/>
    <n v="0.02"/>
    <s v="Dinner"/>
    <n v="59.4664"/>
    <n v="28.36"/>
  </r>
  <r>
    <s v="O00081"/>
    <x v="18"/>
    <n v="1"/>
    <n v="50.19"/>
    <n v="22.61"/>
    <x v="0"/>
    <x v="9"/>
    <x v="1"/>
    <n v="0.12"/>
    <s v="Breakfast"/>
    <n v="44.167200000000001"/>
    <n v="22.61"/>
  </r>
  <r>
    <s v="O00082"/>
    <x v="17"/>
    <n v="3"/>
    <n v="39.950000000000003"/>
    <n v="15.51"/>
    <x v="0"/>
    <x v="11"/>
    <x v="1"/>
    <n v="0"/>
    <s v="Breakfast"/>
    <n v="119.85000000000001"/>
    <n v="46.53"/>
  </r>
  <r>
    <s v="O00083"/>
    <x v="1"/>
    <n v="1"/>
    <n v="30.34"/>
    <n v="14.18"/>
    <x v="1"/>
    <x v="38"/>
    <x v="1"/>
    <n v="0.08"/>
    <s v="Breakfast"/>
    <n v="27.912800000000001"/>
    <n v="14.18"/>
  </r>
  <r>
    <s v="O00083"/>
    <x v="16"/>
    <n v="2"/>
    <n v="146.4"/>
    <n v="80.92"/>
    <x v="3"/>
    <x v="38"/>
    <x v="1"/>
    <n v="0.08"/>
    <s v="Breakfast"/>
    <n v="269.37600000000003"/>
    <n v="161.84"/>
  </r>
  <r>
    <s v="O00084"/>
    <x v="1"/>
    <n v="1"/>
    <n v="30.34"/>
    <n v="14.18"/>
    <x v="1"/>
    <x v="34"/>
    <x v="2"/>
    <n v="0.15"/>
    <s v="Dinner"/>
    <n v="25.788999999999998"/>
    <n v="14.18"/>
  </r>
  <r>
    <s v="O00084"/>
    <x v="2"/>
    <n v="2"/>
    <n v="76.55"/>
    <n v="38.229999999999997"/>
    <x v="2"/>
    <x v="34"/>
    <x v="2"/>
    <n v="0.15"/>
    <s v="Dinner"/>
    <n v="130.13499999999999"/>
    <n v="76.459999999999994"/>
  </r>
  <r>
    <s v="O00084"/>
    <x v="0"/>
    <n v="1"/>
    <n v="52.45"/>
    <n v="25.8"/>
    <x v="0"/>
    <x v="34"/>
    <x v="2"/>
    <n v="0.15"/>
    <s v="Dinner"/>
    <n v="44.582500000000003"/>
    <n v="25.8"/>
  </r>
  <r>
    <s v="O00085"/>
    <x v="12"/>
    <n v="1"/>
    <n v="54.2"/>
    <n v="21.95"/>
    <x v="2"/>
    <x v="35"/>
    <x v="1"/>
    <n v="0.02"/>
    <s v="Lunch"/>
    <n v="53.116"/>
    <n v="21.95"/>
  </r>
  <r>
    <s v="O00085"/>
    <x v="18"/>
    <n v="2"/>
    <n v="50.19"/>
    <n v="22.61"/>
    <x v="0"/>
    <x v="35"/>
    <x v="1"/>
    <n v="0.02"/>
    <s v="Lunch"/>
    <n v="98.372399999999999"/>
    <n v="45.22"/>
  </r>
  <r>
    <s v="O00086"/>
    <x v="3"/>
    <n v="1"/>
    <n v="32.979999999999997"/>
    <n v="11.84"/>
    <x v="1"/>
    <x v="14"/>
    <x v="0"/>
    <n v="0.04"/>
    <s v="Lunch"/>
    <n v="31.660799999999995"/>
    <n v="11.84"/>
  </r>
  <r>
    <s v="O00086"/>
    <x v="2"/>
    <n v="2"/>
    <n v="76.55"/>
    <n v="38.229999999999997"/>
    <x v="2"/>
    <x v="14"/>
    <x v="0"/>
    <n v="0.04"/>
    <s v="Lunch"/>
    <n v="146.976"/>
    <n v="76.459999999999994"/>
  </r>
  <r>
    <s v="O00087"/>
    <x v="0"/>
    <n v="2"/>
    <n v="52.45"/>
    <n v="25.8"/>
    <x v="0"/>
    <x v="20"/>
    <x v="2"/>
    <n v="0.06"/>
    <s v="Breakfast"/>
    <n v="98.605999999999995"/>
    <n v="51.6"/>
  </r>
  <r>
    <s v="O00087"/>
    <x v="10"/>
    <n v="1"/>
    <n v="22.2"/>
    <n v="9.3800000000000008"/>
    <x v="1"/>
    <x v="20"/>
    <x v="2"/>
    <n v="0.06"/>
    <s v="Breakfast"/>
    <n v="20.867999999999999"/>
    <n v="9.3800000000000008"/>
  </r>
  <r>
    <s v="O00087"/>
    <x v="7"/>
    <n v="2"/>
    <n v="70.540000000000006"/>
    <n v="35.81"/>
    <x v="0"/>
    <x v="20"/>
    <x v="2"/>
    <n v="0.06"/>
    <s v="Breakfast"/>
    <n v="132.61520000000002"/>
    <n v="71.62"/>
  </r>
  <r>
    <s v="O00088"/>
    <x v="15"/>
    <n v="1"/>
    <n v="227.61"/>
    <n v="96.22"/>
    <x v="3"/>
    <x v="15"/>
    <x v="0"/>
    <n v="0.04"/>
    <s v="Breakfast"/>
    <n v="218.50560000000002"/>
    <n v="96.22"/>
  </r>
  <r>
    <s v="O00088"/>
    <x v="2"/>
    <n v="1"/>
    <n v="76.55"/>
    <n v="38.229999999999997"/>
    <x v="2"/>
    <x v="15"/>
    <x v="0"/>
    <n v="0.04"/>
    <s v="Breakfast"/>
    <n v="73.488"/>
    <n v="38.229999999999997"/>
  </r>
  <r>
    <s v="O00089"/>
    <x v="17"/>
    <n v="1"/>
    <n v="39.950000000000003"/>
    <n v="15.51"/>
    <x v="0"/>
    <x v="29"/>
    <x v="2"/>
    <n v="0"/>
    <s v="Dinner"/>
    <n v="39.950000000000003"/>
    <n v="15.51"/>
  </r>
  <r>
    <s v="O00089"/>
    <x v="14"/>
    <n v="2"/>
    <n v="256.91000000000003"/>
    <n v="121.24"/>
    <x v="3"/>
    <x v="29"/>
    <x v="2"/>
    <n v="0"/>
    <s v="Dinner"/>
    <n v="513.82000000000005"/>
    <n v="242.48"/>
  </r>
  <r>
    <s v="O00089"/>
    <x v="0"/>
    <n v="2"/>
    <n v="52.45"/>
    <n v="25.8"/>
    <x v="0"/>
    <x v="29"/>
    <x v="2"/>
    <n v="0"/>
    <s v="Dinner"/>
    <n v="104.9"/>
    <n v="51.6"/>
  </r>
  <r>
    <s v="O00090"/>
    <x v="15"/>
    <n v="3"/>
    <n v="227.61"/>
    <n v="96.22"/>
    <x v="3"/>
    <x v="44"/>
    <x v="1"/>
    <n v="0.06"/>
    <s v="Dinner"/>
    <n v="641.86019999999996"/>
    <n v="288.65999999999997"/>
  </r>
  <r>
    <s v="O00090"/>
    <x v="3"/>
    <n v="1"/>
    <n v="32.979999999999997"/>
    <n v="11.84"/>
    <x v="1"/>
    <x v="44"/>
    <x v="1"/>
    <n v="0.06"/>
    <s v="Dinner"/>
    <n v="31.001199999999994"/>
    <n v="11.84"/>
  </r>
  <r>
    <s v="O00090"/>
    <x v="10"/>
    <n v="2"/>
    <n v="22.2"/>
    <n v="9.3800000000000008"/>
    <x v="1"/>
    <x v="44"/>
    <x v="1"/>
    <n v="0.06"/>
    <s v="Dinner"/>
    <n v="41.735999999999997"/>
    <n v="18.760000000000002"/>
  </r>
  <r>
    <s v="O00091"/>
    <x v="16"/>
    <n v="2"/>
    <n v="146.4"/>
    <n v="80.92"/>
    <x v="3"/>
    <x v="33"/>
    <x v="1"/>
    <n v="0.02"/>
    <s v="Breakfast"/>
    <n v="286.94400000000002"/>
    <n v="161.84"/>
  </r>
  <r>
    <s v="O00092"/>
    <x v="8"/>
    <n v="2"/>
    <n v="28.43"/>
    <n v="13.89"/>
    <x v="1"/>
    <x v="45"/>
    <x v="0"/>
    <n v="0.08"/>
    <s v="Breakfast"/>
    <n v="52.311199999999999"/>
    <n v="27.78"/>
  </r>
  <r>
    <s v="O00092"/>
    <x v="15"/>
    <n v="2"/>
    <n v="227.61"/>
    <n v="96.22"/>
    <x v="3"/>
    <x v="45"/>
    <x v="0"/>
    <n v="0.08"/>
    <s v="Breakfast"/>
    <n v="418.80240000000003"/>
    <n v="192.44"/>
  </r>
  <r>
    <s v="O00092"/>
    <x v="13"/>
    <n v="2"/>
    <n v="116.8"/>
    <n v="48.97"/>
    <x v="2"/>
    <x v="45"/>
    <x v="0"/>
    <n v="0.08"/>
    <s v="Breakfast"/>
    <n v="214.91200000000001"/>
    <n v="97.94"/>
  </r>
  <r>
    <s v="O00093"/>
    <x v="11"/>
    <n v="2"/>
    <n v="57.07"/>
    <n v="29.14"/>
    <x v="2"/>
    <x v="46"/>
    <x v="0"/>
    <n v="0.02"/>
    <s v="Breakfast"/>
    <n v="111.85719999999999"/>
    <n v="58.28"/>
  </r>
  <r>
    <s v="O00093"/>
    <x v="16"/>
    <n v="2"/>
    <n v="146.4"/>
    <n v="80.92"/>
    <x v="3"/>
    <x v="46"/>
    <x v="0"/>
    <n v="0.02"/>
    <s v="Breakfast"/>
    <n v="286.94400000000002"/>
    <n v="161.84"/>
  </r>
  <r>
    <s v="O00094"/>
    <x v="18"/>
    <n v="1"/>
    <n v="50.19"/>
    <n v="22.61"/>
    <x v="0"/>
    <x v="26"/>
    <x v="2"/>
    <n v="0.12"/>
    <s v="Breakfast"/>
    <n v="44.167200000000001"/>
    <n v="22.61"/>
  </r>
  <r>
    <s v="O00094"/>
    <x v="13"/>
    <n v="1"/>
    <n v="116.8"/>
    <n v="48.97"/>
    <x v="2"/>
    <x v="26"/>
    <x v="2"/>
    <n v="0.12"/>
    <s v="Breakfast"/>
    <n v="102.78399999999999"/>
    <n v="48.97"/>
  </r>
  <r>
    <s v="O00094"/>
    <x v="8"/>
    <n v="1"/>
    <n v="28.43"/>
    <n v="13.89"/>
    <x v="1"/>
    <x v="26"/>
    <x v="2"/>
    <n v="0.12"/>
    <s v="Breakfast"/>
    <n v="25.0184"/>
    <n v="13.89"/>
  </r>
  <r>
    <s v="O00095"/>
    <x v="17"/>
    <n v="2"/>
    <n v="39.950000000000003"/>
    <n v="15.51"/>
    <x v="0"/>
    <x v="1"/>
    <x v="2"/>
    <n v="0.03"/>
    <s v="Breakfast"/>
    <n v="77.503"/>
    <n v="31.02"/>
  </r>
  <r>
    <s v="O00095"/>
    <x v="15"/>
    <n v="3"/>
    <n v="227.61"/>
    <n v="96.22"/>
    <x v="3"/>
    <x v="1"/>
    <x v="2"/>
    <n v="0.03"/>
    <s v="Breakfast"/>
    <n v="662.3451"/>
    <n v="288.65999999999997"/>
  </r>
  <r>
    <s v="O00096"/>
    <x v="6"/>
    <n v="3"/>
    <n v="246.09"/>
    <n v="112.08"/>
    <x v="3"/>
    <x v="37"/>
    <x v="2"/>
    <n v="0.05"/>
    <s v="Breakfast"/>
    <n v="701.35649999999998"/>
    <n v="336.24"/>
  </r>
  <r>
    <s v="O00096"/>
    <x v="12"/>
    <n v="1"/>
    <n v="54.2"/>
    <n v="21.95"/>
    <x v="2"/>
    <x v="37"/>
    <x v="2"/>
    <n v="0.05"/>
    <s v="Breakfast"/>
    <n v="51.49"/>
    <n v="21.95"/>
  </r>
  <r>
    <s v="O00096"/>
    <x v="2"/>
    <n v="1"/>
    <n v="76.55"/>
    <n v="38.229999999999997"/>
    <x v="2"/>
    <x v="37"/>
    <x v="2"/>
    <n v="0.05"/>
    <s v="Breakfast"/>
    <n v="72.722499999999997"/>
    <n v="38.229999999999997"/>
  </r>
  <r>
    <s v="O00097"/>
    <x v="8"/>
    <n v="2"/>
    <n v="28.43"/>
    <n v="13.89"/>
    <x v="1"/>
    <x v="47"/>
    <x v="2"/>
    <n v="0.09"/>
    <s v="Breakfast"/>
    <n v="51.742600000000003"/>
    <n v="27.78"/>
  </r>
  <r>
    <s v="O00098"/>
    <x v="3"/>
    <n v="3"/>
    <n v="32.979999999999997"/>
    <n v="11.84"/>
    <x v="1"/>
    <x v="48"/>
    <x v="1"/>
    <n v="0.01"/>
    <s v="Breakfast"/>
    <n v="97.950599999999994"/>
    <n v="35.519999999999996"/>
  </r>
  <r>
    <s v="O00098"/>
    <x v="8"/>
    <n v="3"/>
    <n v="28.43"/>
    <n v="13.89"/>
    <x v="1"/>
    <x v="48"/>
    <x v="1"/>
    <n v="0.01"/>
    <s v="Breakfast"/>
    <n v="84.437099999999987"/>
    <n v="41.67"/>
  </r>
  <r>
    <s v="O00099"/>
    <x v="11"/>
    <n v="2"/>
    <n v="57.07"/>
    <n v="29.14"/>
    <x v="2"/>
    <x v="16"/>
    <x v="0"/>
    <n v="7.0000000000000007E-2"/>
    <s v="Lunch"/>
    <n v="106.1502"/>
    <n v="58.28"/>
  </r>
  <r>
    <s v="O00099"/>
    <x v="16"/>
    <n v="1"/>
    <n v="146.4"/>
    <n v="80.92"/>
    <x v="3"/>
    <x v="16"/>
    <x v="0"/>
    <n v="7.0000000000000007E-2"/>
    <s v="Lunch"/>
    <n v="136.15199999999999"/>
    <n v="80.92"/>
  </r>
  <r>
    <s v="O00100"/>
    <x v="18"/>
    <n v="2"/>
    <n v="50.19"/>
    <n v="22.61"/>
    <x v="0"/>
    <x v="32"/>
    <x v="2"/>
    <n v="0.11"/>
    <s v="Lunch"/>
    <n v="89.338200000000001"/>
    <n v="45.22"/>
  </r>
  <r>
    <s v="O00100"/>
    <x v="14"/>
    <n v="1"/>
    <n v="256.91000000000003"/>
    <n v="121.24"/>
    <x v="3"/>
    <x v="32"/>
    <x v="2"/>
    <n v="0.11"/>
    <s v="Lunch"/>
    <n v="228.64990000000003"/>
    <n v="121.24"/>
  </r>
  <r>
    <s v="O00101"/>
    <x v="1"/>
    <n v="1"/>
    <n v="30.34"/>
    <n v="14.18"/>
    <x v="1"/>
    <x v="28"/>
    <x v="0"/>
    <n v="0"/>
    <s v="Breakfast"/>
    <n v="30.34"/>
    <n v="14.18"/>
  </r>
  <r>
    <s v="O00101"/>
    <x v="7"/>
    <n v="1"/>
    <n v="70.540000000000006"/>
    <n v="35.81"/>
    <x v="0"/>
    <x v="28"/>
    <x v="0"/>
    <n v="0"/>
    <s v="Breakfast"/>
    <n v="70.540000000000006"/>
    <n v="35.81"/>
  </r>
  <r>
    <s v="O00101"/>
    <x v="17"/>
    <n v="1"/>
    <n v="39.950000000000003"/>
    <n v="15.51"/>
    <x v="0"/>
    <x v="28"/>
    <x v="0"/>
    <n v="0"/>
    <s v="Breakfast"/>
    <n v="39.950000000000003"/>
    <n v="15.51"/>
  </r>
  <r>
    <s v="O00102"/>
    <x v="5"/>
    <n v="2"/>
    <n v="38.06"/>
    <n v="19.55"/>
    <x v="0"/>
    <x v="37"/>
    <x v="2"/>
    <n v="7.0000000000000007E-2"/>
    <s v="Breakfast"/>
    <n v="70.791600000000003"/>
    <n v="39.1"/>
  </r>
  <r>
    <s v="O00103"/>
    <x v="7"/>
    <n v="2"/>
    <n v="70.540000000000006"/>
    <n v="35.81"/>
    <x v="0"/>
    <x v="47"/>
    <x v="2"/>
    <n v="7.0000000000000007E-2"/>
    <s v="Breakfast"/>
    <n v="131.20439999999999"/>
    <n v="71.62"/>
  </r>
  <r>
    <s v="O00104"/>
    <x v="12"/>
    <n v="1"/>
    <n v="54.2"/>
    <n v="21.95"/>
    <x v="2"/>
    <x v="21"/>
    <x v="1"/>
    <n v="0.09"/>
    <s v="Lunch"/>
    <n v="49.322000000000003"/>
    <n v="21.95"/>
  </r>
  <r>
    <s v="O00105"/>
    <x v="1"/>
    <n v="1"/>
    <n v="30.34"/>
    <n v="14.18"/>
    <x v="1"/>
    <x v="36"/>
    <x v="0"/>
    <n v="0.01"/>
    <s v="Breakfast"/>
    <n v="30.0366"/>
    <n v="14.18"/>
  </r>
  <r>
    <s v="O00106"/>
    <x v="5"/>
    <n v="3"/>
    <n v="38.06"/>
    <n v="19.55"/>
    <x v="0"/>
    <x v="35"/>
    <x v="2"/>
    <n v="0.01"/>
    <s v="Lunch"/>
    <n v="113.0382"/>
    <n v="58.650000000000006"/>
  </r>
  <r>
    <s v="O00106"/>
    <x v="8"/>
    <n v="2"/>
    <n v="28.43"/>
    <n v="13.89"/>
    <x v="1"/>
    <x v="35"/>
    <x v="2"/>
    <n v="0.01"/>
    <s v="Lunch"/>
    <n v="56.291399999999996"/>
    <n v="27.78"/>
  </r>
  <r>
    <s v="O00106"/>
    <x v="14"/>
    <n v="1"/>
    <n v="256.91000000000003"/>
    <n v="121.24"/>
    <x v="3"/>
    <x v="35"/>
    <x v="2"/>
    <n v="0.01"/>
    <s v="Lunch"/>
    <n v="254.34090000000003"/>
    <n v="121.24"/>
  </r>
  <r>
    <s v="O00107"/>
    <x v="9"/>
    <n v="2"/>
    <n v="20.11"/>
    <n v="8"/>
    <x v="1"/>
    <x v="20"/>
    <x v="1"/>
    <n v="0.08"/>
    <s v="Lunch"/>
    <n v="37.002400000000002"/>
    <n v="16"/>
  </r>
  <r>
    <s v="O00107"/>
    <x v="10"/>
    <n v="1"/>
    <n v="22.2"/>
    <n v="9.3800000000000008"/>
    <x v="1"/>
    <x v="20"/>
    <x v="1"/>
    <n v="0.08"/>
    <s v="Lunch"/>
    <n v="20.423999999999999"/>
    <n v="9.3800000000000008"/>
  </r>
  <r>
    <s v="O00108"/>
    <x v="2"/>
    <n v="1"/>
    <n v="76.55"/>
    <n v="38.229999999999997"/>
    <x v="2"/>
    <x v="49"/>
    <x v="2"/>
    <n v="7.0000000000000007E-2"/>
    <s v="Lunch"/>
    <n v="71.191499999999991"/>
    <n v="38.229999999999997"/>
  </r>
  <r>
    <s v="O00108"/>
    <x v="8"/>
    <n v="1"/>
    <n v="28.43"/>
    <n v="13.89"/>
    <x v="1"/>
    <x v="49"/>
    <x v="2"/>
    <n v="7.0000000000000007E-2"/>
    <s v="Lunch"/>
    <n v="26.439899999999998"/>
    <n v="13.89"/>
  </r>
  <r>
    <s v="O00108"/>
    <x v="7"/>
    <n v="1"/>
    <n v="70.540000000000006"/>
    <n v="35.81"/>
    <x v="0"/>
    <x v="49"/>
    <x v="2"/>
    <n v="7.0000000000000007E-2"/>
    <s v="Lunch"/>
    <n v="65.602199999999996"/>
    <n v="35.81"/>
  </r>
  <r>
    <s v="O00108"/>
    <x v="17"/>
    <n v="1"/>
    <n v="39.950000000000003"/>
    <n v="15.51"/>
    <x v="0"/>
    <x v="49"/>
    <x v="2"/>
    <n v="7.0000000000000007E-2"/>
    <s v="Lunch"/>
    <n v="37.153500000000001"/>
    <n v="15.51"/>
  </r>
  <r>
    <s v="O00109"/>
    <x v="1"/>
    <n v="2"/>
    <n v="30.34"/>
    <n v="14.18"/>
    <x v="1"/>
    <x v="1"/>
    <x v="1"/>
    <n v="7.0000000000000007E-2"/>
    <s v="Dinner"/>
    <n v="56.432399999999994"/>
    <n v="28.36"/>
  </r>
  <r>
    <s v="O00110"/>
    <x v="1"/>
    <n v="2"/>
    <n v="30.34"/>
    <n v="14.18"/>
    <x v="1"/>
    <x v="50"/>
    <x v="2"/>
    <n v="7.0000000000000007E-2"/>
    <s v="Dinner"/>
    <n v="56.432399999999994"/>
    <n v="28.36"/>
  </r>
  <r>
    <s v="O00110"/>
    <x v="15"/>
    <n v="2"/>
    <n v="227.61"/>
    <n v="96.22"/>
    <x v="3"/>
    <x v="50"/>
    <x v="2"/>
    <n v="7.0000000000000007E-2"/>
    <s v="Dinner"/>
    <n v="423.3546"/>
    <n v="192.44"/>
  </r>
  <r>
    <s v="O00110"/>
    <x v="11"/>
    <n v="1"/>
    <n v="57.07"/>
    <n v="29.14"/>
    <x v="2"/>
    <x v="50"/>
    <x v="2"/>
    <n v="7.0000000000000007E-2"/>
    <s v="Dinner"/>
    <n v="53.075099999999999"/>
    <n v="29.14"/>
  </r>
  <r>
    <s v="O00110"/>
    <x v="6"/>
    <n v="1"/>
    <n v="246.09"/>
    <n v="112.08"/>
    <x v="3"/>
    <x v="50"/>
    <x v="2"/>
    <n v="7.0000000000000007E-2"/>
    <s v="Dinner"/>
    <n v="228.86369999999999"/>
    <n v="112.08"/>
  </r>
  <r>
    <s v="O00111"/>
    <x v="16"/>
    <n v="2"/>
    <n v="146.4"/>
    <n v="80.92"/>
    <x v="3"/>
    <x v="51"/>
    <x v="2"/>
    <n v="0.03"/>
    <s v="Lunch"/>
    <n v="284.01600000000002"/>
    <n v="161.84"/>
  </r>
  <r>
    <s v="O00111"/>
    <x v="3"/>
    <n v="1"/>
    <n v="32.979999999999997"/>
    <n v="11.84"/>
    <x v="1"/>
    <x v="51"/>
    <x v="2"/>
    <n v="0.03"/>
    <s v="Lunch"/>
    <n v="31.990599999999997"/>
    <n v="11.84"/>
  </r>
  <r>
    <s v="O00111"/>
    <x v="9"/>
    <n v="1"/>
    <n v="20.11"/>
    <n v="8"/>
    <x v="1"/>
    <x v="51"/>
    <x v="2"/>
    <n v="0.03"/>
    <s v="Lunch"/>
    <n v="19.506699999999999"/>
    <n v="8"/>
  </r>
  <r>
    <s v="O00112"/>
    <x v="13"/>
    <n v="1"/>
    <n v="116.8"/>
    <n v="48.97"/>
    <x v="2"/>
    <x v="33"/>
    <x v="0"/>
    <n v="7.0000000000000007E-2"/>
    <s v="Breakfast"/>
    <n v="108.624"/>
    <n v="48.97"/>
  </r>
  <r>
    <s v="O00112"/>
    <x v="16"/>
    <n v="2"/>
    <n v="146.4"/>
    <n v="80.92"/>
    <x v="3"/>
    <x v="33"/>
    <x v="0"/>
    <n v="7.0000000000000007E-2"/>
    <s v="Breakfast"/>
    <n v="272.30399999999997"/>
    <n v="161.84"/>
  </r>
  <r>
    <s v="O00112"/>
    <x v="1"/>
    <n v="1"/>
    <n v="30.34"/>
    <n v="14.18"/>
    <x v="1"/>
    <x v="33"/>
    <x v="0"/>
    <n v="7.0000000000000007E-2"/>
    <s v="Breakfast"/>
    <n v="28.216199999999997"/>
    <n v="14.18"/>
  </r>
  <r>
    <s v="O00113"/>
    <x v="16"/>
    <n v="1"/>
    <n v="146.4"/>
    <n v="80.92"/>
    <x v="3"/>
    <x v="21"/>
    <x v="0"/>
    <n v="7.0000000000000007E-2"/>
    <s v="Breakfast"/>
    <n v="136.15199999999999"/>
    <n v="80.92"/>
  </r>
  <r>
    <s v="O00113"/>
    <x v="4"/>
    <n v="1"/>
    <n v="170.83"/>
    <n v="74.069999999999993"/>
    <x v="3"/>
    <x v="21"/>
    <x v="0"/>
    <n v="7.0000000000000007E-2"/>
    <s v="Breakfast"/>
    <n v="158.87190000000001"/>
    <n v="74.069999999999993"/>
  </r>
  <r>
    <s v="O00113"/>
    <x v="13"/>
    <n v="1"/>
    <n v="116.8"/>
    <n v="48.97"/>
    <x v="2"/>
    <x v="21"/>
    <x v="0"/>
    <n v="7.0000000000000007E-2"/>
    <s v="Breakfast"/>
    <n v="108.624"/>
    <n v="48.97"/>
  </r>
  <r>
    <s v="O00113"/>
    <x v="11"/>
    <n v="2"/>
    <n v="57.07"/>
    <n v="29.14"/>
    <x v="2"/>
    <x v="21"/>
    <x v="0"/>
    <n v="7.0000000000000007E-2"/>
    <s v="Breakfast"/>
    <n v="106.1502"/>
    <n v="58.28"/>
  </r>
  <r>
    <s v="O00114"/>
    <x v="18"/>
    <n v="3"/>
    <n v="50.19"/>
    <n v="22.61"/>
    <x v="0"/>
    <x v="14"/>
    <x v="1"/>
    <n v="0.03"/>
    <s v="Dinner"/>
    <n v="146.05289999999999"/>
    <n v="67.83"/>
  </r>
  <r>
    <s v="O00114"/>
    <x v="12"/>
    <n v="2"/>
    <n v="54.2"/>
    <n v="21.95"/>
    <x v="2"/>
    <x v="14"/>
    <x v="1"/>
    <n v="0.03"/>
    <s v="Dinner"/>
    <n v="105.148"/>
    <n v="43.9"/>
  </r>
  <r>
    <s v="O00115"/>
    <x v="6"/>
    <n v="2"/>
    <n v="246.09"/>
    <n v="112.08"/>
    <x v="3"/>
    <x v="51"/>
    <x v="1"/>
    <n v="0.13"/>
    <s v="Dinner"/>
    <n v="428.19659999999999"/>
    <n v="224.16"/>
  </r>
  <r>
    <s v="O00115"/>
    <x v="3"/>
    <n v="1"/>
    <n v="32.979999999999997"/>
    <n v="11.84"/>
    <x v="1"/>
    <x v="51"/>
    <x v="1"/>
    <n v="0.13"/>
    <s v="Dinner"/>
    <n v="28.692599999999999"/>
    <n v="11.84"/>
  </r>
  <r>
    <s v="O00115"/>
    <x v="2"/>
    <n v="3"/>
    <n v="76.55"/>
    <n v="38.229999999999997"/>
    <x v="2"/>
    <x v="51"/>
    <x v="1"/>
    <n v="0.13"/>
    <s v="Dinner"/>
    <n v="199.79549999999998"/>
    <n v="114.69"/>
  </r>
  <r>
    <s v="O00115"/>
    <x v="12"/>
    <n v="2"/>
    <n v="54.2"/>
    <n v="21.95"/>
    <x v="2"/>
    <x v="51"/>
    <x v="1"/>
    <n v="0.13"/>
    <s v="Dinner"/>
    <n v="94.308000000000007"/>
    <n v="43.9"/>
  </r>
  <r>
    <s v="O00116"/>
    <x v="17"/>
    <n v="3"/>
    <n v="39.950000000000003"/>
    <n v="15.51"/>
    <x v="0"/>
    <x v="7"/>
    <x v="1"/>
    <n v="0.08"/>
    <s v="Dinner"/>
    <n v="110.26200000000001"/>
    <n v="46.53"/>
  </r>
  <r>
    <s v="O00116"/>
    <x v="14"/>
    <n v="1"/>
    <n v="256.91000000000003"/>
    <n v="121.24"/>
    <x v="3"/>
    <x v="7"/>
    <x v="1"/>
    <n v="0.08"/>
    <s v="Dinner"/>
    <n v="236.35720000000003"/>
    <n v="121.24"/>
  </r>
  <r>
    <s v="O00116"/>
    <x v="3"/>
    <n v="1"/>
    <n v="32.979999999999997"/>
    <n v="11.84"/>
    <x v="1"/>
    <x v="7"/>
    <x v="1"/>
    <n v="0.08"/>
    <s v="Dinner"/>
    <n v="30.3416"/>
    <n v="11.84"/>
  </r>
  <r>
    <s v="O00117"/>
    <x v="13"/>
    <n v="2"/>
    <n v="116.8"/>
    <n v="48.97"/>
    <x v="2"/>
    <x v="11"/>
    <x v="1"/>
    <n v="0.01"/>
    <s v="Dinner"/>
    <n v="231.26399999999998"/>
    <n v="97.94"/>
  </r>
  <r>
    <s v="O00117"/>
    <x v="18"/>
    <n v="3"/>
    <n v="50.19"/>
    <n v="22.61"/>
    <x v="0"/>
    <x v="11"/>
    <x v="1"/>
    <n v="0.01"/>
    <s v="Dinner"/>
    <n v="149.0643"/>
    <n v="67.83"/>
  </r>
  <r>
    <s v="O00117"/>
    <x v="9"/>
    <n v="3"/>
    <n v="20.11"/>
    <n v="8"/>
    <x v="1"/>
    <x v="11"/>
    <x v="1"/>
    <n v="0.01"/>
    <s v="Dinner"/>
    <n v="59.726700000000001"/>
    <n v="24"/>
  </r>
  <r>
    <s v="O00117"/>
    <x v="2"/>
    <n v="3"/>
    <n v="76.55"/>
    <n v="38.229999999999997"/>
    <x v="2"/>
    <x v="11"/>
    <x v="1"/>
    <n v="0.01"/>
    <s v="Dinner"/>
    <n v="227.35349999999997"/>
    <n v="114.69"/>
  </r>
  <r>
    <s v="O00118"/>
    <x v="0"/>
    <n v="1"/>
    <n v="52.45"/>
    <n v="25.8"/>
    <x v="0"/>
    <x v="22"/>
    <x v="1"/>
    <n v="0.09"/>
    <s v="Lunch"/>
    <n v="47.729500000000002"/>
    <n v="25.8"/>
  </r>
  <r>
    <s v="O00119"/>
    <x v="7"/>
    <n v="1"/>
    <n v="70.540000000000006"/>
    <n v="35.81"/>
    <x v="0"/>
    <x v="31"/>
    <x v="0"/>
    <n v="0.02"/>
    <s v="Breakfast"/>
    <n v="69.129200000000012"/>
    <n v="35.81"/>
  </r>
  <r>
    <s v="O00120"/>
    <x v="9"/>
    <n v="1"/>
    <n v="20.11"/>
    <n v="8"/>
    <x v="1"/>
    <x v="5"/>
    <x v="2"/>
    <n v="0.09"/>
    <s v="Lunch"/>
    <n v="18.3001"/>
    <n v="8"/>
  </r>
  <r>
    <s v="O00120"/>
    <x v="7"/>
    <n v="1"/>
    <n v="70.540000000000006"/>
    <n v="35.81"/>
    <x v="0"/>
    <x v="5"/>
    <x v="2"/>
    <n v="0.09"/>
    <s v="Lunch"/>
    <n v="64.191400000000002"/>
    <n v="35.81"/>
  </r>
  <r>
    <s v="O00121"/>
    <x v="13"/>
    <n v="3"/>
    <n v="116.8"/>
    <n v="48.97"/>
    <x v="2"/>
    <x v="16"/>
    <x v="2"/>
    <n v="0.11"/>
    <s v="Dinner"/>
    <n v="311.85599999999999"/>
    <n v="146.91"/>
  </r>
  <r>
    <s v="O00121"/>
    <x v="2"/>
    <n v="1"/>
    <n v="76.55"/>
    <n v="38.229999999999997"/>
    <x v="2"/>
    <x v="16"/>
    <x v="2"/>
    <n v="0.11"/>
    <s v="Dinner"/>
    <n v="68.129499999999993"/>
    <n v="38.229999999999997"/>
  </r>
  <r>
    <s v="O00121"/>
    <x v="5"/>
    <n v="2"/>
    <n v="38.06"/>
    <n v="19.55"/>
    <x v="0"/>
    <x v="16"/>
    <x v="2"/>
    <n v="0.11"/>
    <s v="Dinner"/>
    <n v="67.746800000000007"/>
    <n v="39.1"/>
  </r>
  <r>
    <s v="O00121"/>
    <x v="0"/>
    <n v="2"/>
    <n v="52.45"/>
    <n v="25.8"/>
    <x v="0"/>
    <x v="16"/>
    <x v="2"/>
    <n v="0.11"/>
    <s v="Dinner"/>
    <n v="93.361000000000004"/>
    <n v="51.6"/>
  </r>
  <r>
    <s v="O00122"/>
    <x v="14"/>
    <n v="1"/>
    <n v="256.91000000000003"/>
    <n v="121.24"/>
    <x v="3"/>
    <x v="13"/>
    <x v="2"/>
    <n v="0.03"/>
    <s v="Dinner"/>
    <n v="249.20270000000002"/>
    <n v="121.24"/>
  </r>
  <r>
    <s v="O00122"/>
    <x v="1"/>
    <n v="1"/>
    <n v="30.34"/>
    <n v="14.18"/>
    <x v="1"/>
    <x v="13"/>
    <x v="2"/>
    <n v="0.03"/>
    <s v="Dinner"/>
    <n v="29.4298"/>
    <n v="14.18"/>
  </r>
  <r>
    <s v="O00122"/>
    <x v="11"/>
    <n v="2"/>
    <n v="57.07"/>
    <n v="29.14"/>
    <x v="2"/>
    <x v="13"/>
    <x v="2"/>
    <n v="0.03"/>
    <s v="Dinner"/>
    <n v="110.7158"/>
    <n v="58.28"/>
  </r>
  <r>
    <s v="O00122"/>
    <x v="13"/>
    <n v="2"/>
    <n v="116.8"/>
    <n v="48.97"/>
    <x v="2"/>
    <x v="13"/>
    <x v="2"/>
    <n v="0.03"/>
    <s v="Dinner"/>
    <n v="226.59199999999998"/>
    <n v="97.94"/>
  </r>
  <r>
    <s v="O00123"/>
    <x v="16"/>
    <n v="1"/>
    <n v="146.4"/>
    <n v="80.92"/>
    <x v="3"/>
    <x v="52"/>
    <x v="0"/>
    <n v="0.1"/>
    <s v="Lunch"/>
    <n v="131.76000000000002"/>
    <n v="80.92"/>
  </r>
  <r>
    <s v="O00123"/>
    <x v="6"/>
    <n v="3"/>
    <n v="246.09"/>
    <n v="112.08"/>
    <x v="3"/>
    <x v="52"/>
    <x v="0"/>
    <n v="0.1"/>
    <s v="Lunch"/>
    <n v="664.44299999999998"/>
    <n v="336.24"/>
  </r>
  <r>
    <s v="O00123"/>
    <x v="0"/>
    <n v="3"/>
    <n v="52.45"/>
    <n v="25.8"/>
    <x v="0"/>
    <x v="52"/>
    <x v="0"/>
    <n v="0.1"/>
    <s v="Lunch"/>
    <n v="141.61500000000004"/>
    <n v="77.400000000000006"/>
  </r>
  <r>
    <s v="O00123"/>
    <x v="12"/>
    <n v="1"/>
    <n v="54.2"/>
    <n v="21.95"/>
    <x v="2"/>
    <x v="52"/>
    <x v="0"/>
    <n v="0.1"/>
    <s v="Lunch"/>
    <n v="48.78"/>
    <n v="21.95"/>
  </r>
  <r>
    <s v="O00124"/>
    <x v="13"/>
    <n v="3"/>
    <n v="116.8"/>
    <n v="48.97"/>
    <x v="2"/>
    <x v="32"/>
    <x v="1"/>
    <n v="0.08"/>
    <s v="Breakfast"/>
    <n v="322.36799999999999"/>
    <n v="146.91"/>
  </r>
  <r>
    <s v="O00124"/>
    <x v="11"/>
    <n v="1"/>
    <n v="57.07"/>
    <n v="29.14"/>
    <x v="2"/>
    <x v="32"/>
    <x v="1"/>
    <n v="0.08"/>
    <s v="Breakfast"/>
    <n v="52.504400000000004"/>
    <n v="29.14"/>
  </r>
  <r>
    <s v="O00124"/>
    <x v="3"/>
    <n v="1"/>
    <n v="32.979999999999997"/>
    <n v="11.84"/>
    <x v="1"/>
    <x v="32"/>
    <x v="1"/>
    <n v="0.08"/>
    <s v="Breakfast"/>
    <n v="30.3416"/>
    <n v="11.84"/>
  </r>
  <r>
    <s v="O00124"/>
    <x v="6"/>
    <n v="2"/>
    <n v="246.09"/>
    <n v="112.08"/>
    <x v="3"/>
    <x v="32"/>
    <x v="1"/>
    <n v="0.08"/>
    <s v="Breakfast"/>
    <n v="452.80560000000003"/>
    <n v="224.16"/>
  </r>
  <r>
    <s v="O00125"/>
    <x v="13"/>
    <n v="1"/>
    <n v="116.8"/>
    <n v="48.97"/>
    <x v="2"/>
    <x v="38"/>
    <x v="2"/>
    <n v="0.09"/>
    <s v="Lunch"/>
    <n v="106.288"/>
    <n v="48.97"/>
  </r>
  <r>
    <s v="O00125"/>
    <x v="12"/>
    <n v="1"/>
    <n v="54.2"/>
    <n v="21.95"/>
    <x v="2"/>
    <x v="38"/>
    <x v="2"/>
    <n v="0.09"/>
    <s v="Lunch"/>
    <n v="49.322000000000003"/>
    <n v="21.95"/>
  </r>
  <r>
    <s v="O00126"/>
    <x v="0"/>
    <n v="1"/>
    <n v="52.45"/>
    <n v="25.8"/>
    <x v="0"/>
    <x v="30"/>
    <x v="2"/>
    <n v="0.14000000000000001"/>
    <s v="Dinner"/>
    <n v="45.106999999999999"/>
    <n v="25.8"/>
  </r>
  <r>
    <s v="O00126"/>
    <x v="16"/>
    <n v="1"/>
    <n v="146.4"/>
    <n v="80.92"/>
    <x v="3"/>
    <x v="30"/>
    <x v="2"/>
    <n v="0.14000000000000001"/>
    <s v="Dinner"/>
    <n v="125.904"/>
    <n v="80.92"/>
  </r>
  <r>
    <s v="O00126"/>
    <x v="11"/>
    <n v="3"/>
    <n v="57.07"/>
    <n v="29.14"/>
    <x v="2"/>
    <x v="30"/>
    <x v="2"/>
    <n v="0.14000000000000001"/>
    <s v="Dinner"/>
    <n v="147.2406"/>
    <n v="87.42"/>
  </r>
  <r>
    <s v="O00127"/>
    <x v="7"/>
    <n v="2"/>
    <n v="70.540000000000006"/>
    <n v="35.81"/>
    <x v="0"/>
    <x v="23"/>
    <x v="0"/>
    <n v="0.05"/>
    <s v="Lunch"/>
    <n v="134.02600000000001"/>
    <n v="71.62"/>
  </r>
  <r>
    <s v="O00127"/>
    <x v="1"/>
    <n v="2"/>
    <n v="30.34"/>
    <n v="14.18"/>
    <x v="1"/>
    <x v="23"/>
    <x v="0"/>
    <n v="0.05"/>
    <s v="Lunch"/>
    <n v="57.645999999999994"/>
    <n v="28.36"/>
  </r>
  <r>
    <s v="O00128"/>
    <x v="7"/>
    <n v="2"/>
    <n v="70.540000000000006"/>
    <n v="35.81"/>
    <x v="0"/>
    <x v="37"/>
    <x v="1"/>
    <n v="0.03"/>
    <s v="Dinner"/>
    <n v="136.8476"/>
    <n v="71.62"/>
  </r>
  <r>
    <s v="O00128"/>
    <x v="14"/>
    <n v="2"/>
    <n v="256.91000000000003"/>
    <n v="121.24"/>
    <x v="3"/>
    <x v="37"/>
    <x v="1"/>
    <n v="0.03"/>
    <s v="Dinner"/>
    <n v="498.40540000000004"/>
    <n v="242.48"/>
  </r>
  <r>
    <s v="O00128"/>
    <x v="3"/>
    <n v="2"/>
    <n v="32.979999999999997"/>
    <n v="11.84"/>
    <x v="1"/>
    <x v="37"/>
    <x v="1"/>
    <n v="0.03"/>
    <s v="Dinner"/>
    <n v="63.981199999999994"/>
    <n v="23.68"/>
  </r>
  <r>
    <s v="O00129"/>
    <x v="4"/>
    <n v="2"/>
    <n v="170.83"/>
    <n v="74.069999999999993"/>
    <x v="3"/>
    <x v="22"/>
    <x v="2"/>
    <n v="0.02"/>
    <s v="Breakfast"/>
    <n v="334.82679999999999"/>
    <n v="148.13999999999999"/>
  </r>
  <r>
    <s v="O00129"/>
    <x v="12"/>
    <n v="3"/>
    <n v="54.2"/>
    <n v="21.95"/>
    <x v="2"/>
    <x v="22"/>
    <x v="2"/>
    <n v="0.02"/>
    <s v="Breakfast"/>
    <n v="159.34800000000001"/>
    <n v="65.849999999999994"/>
  </r>
  <r>
    <s v="O00129"/>
    <x v="6"/>
    <n v="1"/>
    <n v="246.09"/>
    <n v="112.08"/>
    <x v="3"/>
    <x v="22"/>
    <x v="2"/>
    <n v="0.02"/>
    <s v="Breakfast"/>
    <n v="241.16820000000001"/>
    <n v="112.08"/>
  </r>
  <r>
    <s v="O00130"/>
    <x v="13"/>
    <n v="1"/>
    <n v="116.8"/>
    <n v="48.97"/>
    <x v="2"/>
    <x v="25"/>
    <x v="2"/>
    <n v="0.03"/>
    <s v="Breakfast"/>
    <n v="113.29599999999999"/>
    <n v="48.97"/>
  </r>
  <r>
    <s v="O00130"/>
    <x v="2"/>
    <n v="3"/>
    <n v="76.55"/>
    <n v="38.229999999999997"/>
    <x v="2"/>
    <x v="25"/>
    <x v="2"/>
    <n v="0.03"/>
    <s v="Breakfast"/>
    <n v="222.76049999999998"/>
    <n v="114.69"/>
  </r>
  <r>
    <s v="O00130"/>
    <x v="7"/>
    <n v="1"/>
    <n v="70.540000000000006"/>
    <n v="35.81"/>
    <x v="0"/>
    <x v="25"/>
    <x v="2"/>
    <n v="0.03"/>
    <s v="Breakfast"/>
    <n v="68.4238"/>
    <n v="35.81"/>
  </r>
  <r>
    <s v="O00131"/>
    <x v="14"/>
    <n v="1"/>
    <n v="256.91000000000003"/>
    <n v="121.24"/>
    <x v="3"/>
    <x v="11"/>
    <x v="0"/>
    <n v="0.06"/>
    <s v="Breakfast"/>
    <n v="241.49540000000002"/>
    <n v="121.24"/>
  </r>
  <r>
    <s v="O00131"/>
    <x v="16"/>
    <n v="1"/>
    <n v="146.4"/>
    <n v="80.92"/>
    <x v="3"/>
    <x v="11"/>
    <x v="0"/>
    <n v="0.06"/>
    <s v="Breakfast"/>
    <n v="137.61599999999999"/>
    <n v="80.92"/>
  </r>
  <r>
    <s v="O00131"/>
    <x v="8"/>
    <n v="2"/>
    <n v="28.43"/>
    <n v="13.89"/>
    <x v="1"/>
    <x v="11"/>
    <x v="0"/>
    <n v="0.06"/>
    <s v="Breakfast"/>
    <n v="53.448399999999999"/>
    <n v="27.78"/>
  </r>
  <r>
    <s v="O00131"/>
    <x v="4"/>
    <n v="1"/>
    <n v="170.83"/>
    <n v="74.069999999999993"/>
    <x v="3"/>
    <x v="11"/>
    <x v="0"/>
    <n v="0.06"/>
    <s v="Breakfast"/>
    <n v="160.58019999999999"/>
    <n v="74.069999999999993"/>
  </r>
  <r>
    <s v="O00132"/>
    <x v="14"/>
    <n v="1"/>
    <n v="256.91000000000003"/>
    <n v="121.24"/>
    <x v="3"/>
    <x v="53"/>
    <x v="0"/>
    <n v="7.0000000000000007E-2"/>
    <s v="Dinner"/>
    <n v="238.9263"/>
    <n v="121.24"/>
  </r>
  <r>
    <s v="O00132"/>
    <x v="13"/>
    <n v="2"/>
    <n v="116.8"/>
    <n v="48.97"/>
    <x v="2"/>
    <x v="53"/>
    <x v="0"/>
    <n v="7.0000000000000007E-2"/>
    <s v="Dinner"/>
    <n v="217.24799999999999"/>
    <n v="97.94"/>
  </r>
  <r>
    <s v="O00133"/>
    <x v="8"/>
    <n v="1"/>
    <n v="28.43"/>
    <n v="13.89"/>
    <x v="1"/>
    <x v="25"/>
    <x v="0"/>
    <n v="7.0000000000000007E-2"/>
    <s v="Dinner"/>
    <n v="26.439899999999998"/>
    <n v="13.89"/>
  </r>
  <r>
    <s v="O00133"/>
    <x v="11"/>
    <n v="2"/>
    <n v="57.07"/>
    <n v="29.14"/>
    <x v="2"/>
    <x v="25"/>
    <x v="0"/>
    <n v="7.0000000000000007E-2"/>
    <s v="Dinner"/>
    <n v="106.1502"/>
    <n v="58.28"/>
  </r>
  <r>
    <s v="O00133"/>
    <x v="13"/>
    <n v="2"/>
    <n v="116.8"/>
    <n v="48.97"/>
    <x v="2"/>
    <x v="25"/>
    <x v="0"/>
    <n v="7.0000000000000007E-2"/>
    <s v="Dinner"/>
    <n v="217.24799999999999"/>
    <n v="97.94"/>
  </r>
  <r>
    <s v="O00134"/>
    <x v="3"/>
    <n v="3"/>
    <n v="32.979999999999997"/>
    <n v="11.84"/>
    <x v="1"/>
    <x v="43"/>
    <x v="1"/>
    <n v="0.09"/>
    <s v="Dinner"/>
    <n v="90.035399999999996"/>
    <n v="35.519999999999996"/>
  </r>
  <r>
    <s v="O00135"/>
    <x v="11"/>
    <n v="2"/>
    <n v="57.07"/>
    <n v="29.14"/>
    <x v="2"/>
    <x v="52"/>
    <x v="1"/>
    <n v="0.06"/>
    <s v="Breakfast"/>
    <n v="107.29159999999999"/>
    <n v="58.28"/>
  </r>
  <r>
    <s v="O00135"/>
    <x v="9"/>
    <n v="1"/>
    <n v="20.11"/>
    <n v="8"/>
    <x v="1"/>
    <x v="52"/>
    <x v="1"/>
    <n v="0.06"/>
    <s v="Breakfast"/>
    <n v="18.903399999999998"/>
    <n v="8"/>
  </r>
  <r>
    <s v="O00135"/>
    <x v="3"/>
    <n v="2"/>
    <n v="32.979999999999997"/>
    <n v="11.84"/>
    <x v="1"/>
    <x v="52"/>
    <x v="1"/>
    <n v="0.06"/>
    <s v="Breakfast"/>
    <n v="62.002399999999987"/>
    <n v="23.68"/>
  </r>
  <r>
    <s v="O00136"/>
    <x v="0"/>
    <n v="2"/>
    <n v="52.45"/>
    <n v="25.8"/>
    <x v="0"/>
    <x v="54"/>
    <x v="0"/>
    <n v="0.12"/>
    <s v="Breakfast"/>
    <n v="92.312000000000012"/>
    <n v="51.6"/>
  </r>
  <r>
    <s v="O00136"/>
    <x v="15"/>
    <n v="2"/>
    <n v="227.61"/>
    <n v="96.22"/>
    <x v="3"/>
    <x v="54"/>
    <x v="0"/>
    <n v="0.12"/>
    <s v="Breakfast"/>
    <n v="400.59360000000004"/>
    <n v="192.44"/>
  </r>
  <r>
    <s v="O00137"/>
    <x v="10"/>
    <n v="1"/>
    <n v="22.2"/>
    <n v="9.3800000000000008"/>
    <x v="1"/>
    <x v="55"/>
    <x v="0"/>
    <n v="0.05"/>
    <s v="Dinner"/>
    <n v="21.09"/>
    <n v="9.3800000000000008"/>
  </r>
  <r>
    <s v="O00137"/>
    <x v="3"/>
    <n v="1"/>
    <n v="32.979999999999997"/>
    <n v="11.84"/>
    <x v="1"/>
    <x v="55"/>
    <x v="0"/>
    <n v="0.05"/>
    <s v="Dinner"/>
    <n v="31.330999999999996"/>
    <n v="11.84"/>
  </r>
  <r>
    <s v="O00137"/>
    <x v="11"/>
    <n v="2"/>
    <n v="57.07"/>
    <n v="29.14"/>
    <x v="2"/>
    <x v="55"/>
    <x v="0"/>
    <n v="0.05"/>
    <s v="Dinner"/>
    <n v="108.43299999999999"/>
    <n v="58.28"/>
  </r>
  <r>
    <s v="O00137"/>
    <x v="16"/>
    <n v="1"/>
    <n v="146.4"/>
    <n v="80.92"/>
    <x v="3"/>
    <x v="55"/>
    <x v="0"/>
    <n v="0.05"/>
    <s v="Dinner"/>
    <n v="139.08000000000001"/>
    <n v="80.92"/>
  </r>
  <r>
    <s v="O00138"/>
    <x v="18"/>
    <n v="2"/>
    <n v="50.19"/>
    <n v="22.61"/>
    <x v="0"/>
    <x v="29"/>
    <x v="0"/>
    <n v="0.17"/>
    <s v="Breakfast"/>
    <n v="83.315399999999997"/>
    <n v="45.22"/>
  </r>
  <r>
    <s v="O00139"/>
    <x v="11"/>
    <n v="2"/>
    <n v="57.07"/>
    <n v="29.14"/>
    <x v="2"/>
    <x v="14"/>
    <x v="1"/>
    <n v="0.09"/>
    <s v="Dinner"/>
    <n v="103.8674"/>
    <n v="58.28"/>
  </r>
  <r>
    <s v="O00139"/>
    <x v="15"/>
    <n v="2"/>
    <n v="227.61"/>
    <n v="96.22"/>
    <x v="3"/>
    <x v="14"/>
    <x v="1"/>
    <n v="0.09"/>
    <s v="Dinner"/>
    <n v="414.25020000000006"/>
    <n v="192.44"/>
  </r>
  <r>
    <s v="O00139"/>
    <x v="0"/>
    <n v="3"/>
    <n v="52.45"/>
    <n v="25.8"/>
    <x v="0"/>
    <x v="14"/>
    <x v="1"/>
    <n v="0.09"/>
    <s v="Dinner"/>
    <n v="143.18850000000003"/>
    <n v="77.400000000000006"/>
  </r>
  <r>
    <s v="O00140"/>
    <x v="18"/>
    <n v="3"/>
    <n v="50.19"/>
    <n v="22.61"/>
    <x v="0"/>
    <x v="56"/>
    <x v="2"/>
    <n v="0.03"/>
    <s v="Lunch"/>
    <n v="146.05289999999999"/>
    <n v="67.83"/>
  </r>
  <r>
    <s v="O00140"/>
    <x v="5"/>
    <n v="2"/>
    <n v="38.06"/>
    <n v="19.55"/>
    <x v="0"/>
    <x v="56"/>
    <x v="2"/>
    <n v="0.03"/>
    <s v="Lunch"/>
    <n v="73.836399999999998"/>
    <n v="39.1"/>
  </r>
  <r>
    <s v="O00140"/>
    <x v="3"/>
    <n v="1"/>
    <n v="32.979999999999997"/>
    <n v="11.84"/>
    <x v="1"/>
    <x v="56"/>
    <x v="2"/>
    <n v="0.03"/>
    <s v="Lunch"/>
    <n v="31.990599999999997"/>
    <n v="11.84"/>
  </r>
  <r>
    <s v="O00140"/>
    <x v="1"/>
    <n v="2"/>
    <n v="30.34"/>
    <n v="14.18"/>
    <x v="1"/>
    <x v="56"/>
    <x v="2"/>
    <n v="0.03"/>
    <s v="Lunch"/>
    <n v="58.8596"/>
    <n v="28.36"/>
  </r>
  <r>
    <s v="O00141"/>
    <x v="0"/>
    <n v="1"/>
    <n v="52.45"/>
    <n v="25.8"/>
    <x v="0"/>
    <x v="17"/>
    <x v="2"/>
    <n v="0.02"/>
    <s v="Breakfast"/>
    <n v="51.401000000000003"/>
    <n v="25.8"/>
  </r>
  <r>
    <s v="O00141"/>
    <x v="8"/>
    <n v="1"/>
    <n v="28.43"/>
    <n v="13.89"/>
    <x v="1"/>
    <x v="17"/>
    <x v="2"/>
    <n v="0.02"/>
    <s v="Breakfast"/>
    <n v="27.8614"/>
    <n v="13.89"/>
  </r>
  <r>
    <s v="O00142"/>
    <x v="8"/>
    <n v="1"/>
    <n v="28.43"/>
    <n v="13.89"/>
    <x v="1"/>
    <x v="52"/>
    <x v="0"/>
    <n v="0.08"/>
    <s v="Lunch"/>
    <n v="26.1556"/>
    <n v="13.89"/>
  </r>
  <r>
    <s v="O00142"/>
    <x v="18"/>
    <n v="3"/>
    <n v="50.19"/>
    <n v="22.61"/>
    <x v="0"/>
    <x v="52"/>
    <x v="0"/>
    <n v="0.08"/>
    <s v="Lunch"/>
    <n v="138.52439999999999"/>
    <n v="67.83"/>
  </r>
  <r>
    <s v="O00143"/>
    <x v="9"/>
    <n v="2"/>
    <n v="20.11"/>
    <n v="8"/>
    <x v="1"/>
    <x v="24"/>
    <x v="2"/>
    <n v="0.05"/>
    <s v="Breakfast"/>
    <n v="38.208999999999996"/>
    <n v="16"/>
  </r>
  <r>
    <s v="O00144"/>
    <x v="0"/>
    <n v="1"/>
    <n v="52.45"/>
    <n v="25.8"/>
    <x v="0"/>
    <x v="53"/>
    <x v="2"/>
    <n v="0.09"/>
    <s v="Breakfast"/>
    <n v="47.729500000000002"/>
    <n v="25.8"/>
  </r>
  <r>
    <s v="O00145"/>
    <x v="3"/>
    <n v="2"/>
    <n v="32.979999999999997"/>
    <n v="11.84"/>
    <x v="1"/>
    <x v="34"/>
    <x v="0"/>
    <n v="0.08"/>
    <s v="Breakfast"/>
    <n v="60.683199999999999"/>
    <n v="23.68"/>
  </r>
  <r>
    <s v="O00145"/>
    <x v="11"/>
    <n v="1"/>
    <n v="57.07"/>
    <n v="29.14"/>
    <x v="2"/>
    <x v="34"/>
    <x v="0"/>
    <n v="0.08"/>
    <s v="Breakfast"/>
    <n v="52.504400000000004"/>
    <n v="29.14"/>
  </r>
  <r>
    <s v="O00145"/>
    <x v="13"/>
    <n v="2"/>
    <n v="116.8"/>
    <n v="48.97"/>
    <x v="2"/>
    <x v="34"/>
    <x v="0"/>
    <n v="0.08"/>
    <s v="Breakfast"/>
    <n v="214.91200000000001"/>
    <n v="97.94"/>
  </r>
  <r>
    <s v="O00146"/>
    <x v="14"/>
    <n v="3"/>
    <n v="256.91000000000003"/>
    <n v="121.24"/>
    <x v="3"/>
    <x v="23"/>
    <x v="1"/>
    <n v="0.06"/>
    <s v="Breakfast"/>
    <n v="724.48619999999994"/>
    <n v="363.71999999999997"/>
  </r>
  <r>
    <s v="O00146"/>
    <x v="10"/>
    <n v="2"/>
    <n v="22.2"/>
    <n v="9.3800000000000008"/>
    <x v="1"/>
    <x v="23"/>
    <x v="1"/>
    <n v="0.06"/>
    <s v="Breakfast"/>
    <n v="41.735999999999997"/>
    <n v="18.760000000000002"/>
  </r>
  <r>
    <s v="O00146"/>
    <x v="13"/>
    <n v="1"/>
    <n v="116.8"/>
    <n v="48.97"/>
    <x v="2"/>
    <x v="23"/>
    <x v="1"/>
    <n v="0.06"/>
    <s v="Breakfast"/>
    <n v="109.79199999999999"/>
    <n v="48.97"/>
  </r>
  <r>
    <s v="O00146"/>
    <x v="6"/>
    <n v="3"/>
    <n v="246.09"/>
    <n v="112.08"/>
    <x v="3"/>
    <x v="23"/>
    <x v="1"/>
    <n v="0.06"/>
    <s v="Breakfast"/>
    <n v="693.97379999999998"/>
    <n v="336.24"/>
  </r>
  <r>
    <s v="O00147"/>
    <x v="7"/>
    <n v="1"/>
    <n v="70.540000000000006"/>
    <n v="35.81"/>
    <x v="0"/>
    <x v="30"/>
    <x v="0"/>
    <n v="0.03"/>
    <s v="Dinner"/>
    <n v="68.4238"/>
    <n v="35.81"/>
  </r>
  <r>
    <s v="O00147"/>
    <x v="4"/>
    <n v="1"/>
    <n v="170.83"/>
    <n v="74.069999999999993"/>
    <x v="3"/>
    <x v="30"/>
    <x v="0"/>
    <n v="0.03"/>
    <s v="Dinner"/>
    <n v="165.70510000000002"/>
    <n v="74.069999999999993"/>
  </r>
  <r>
    <s v="O00147"/>
    <x v="3"/>
    <n v="3"/>
    <n v="32.979999999999997"/>
    <n v="11.84"/>
    <x v="1"/>
    <x v="30"/>
    <x v="0"/>
    <n v="0.03"/>
    <s v="Dinner"/>
    <n v="95.971800000000002"/>
    <n v="35.519999999999996"/>
  </r>
  <r>
    <s v="O00147"/>
    <x v="8"/>
    <n v="1"/>
    <n v="28.43"/>
    <n v="13.89"/>
    <x v="1"/>
    <x v="30"/>
    <x v="0"/>
    <n v="0.03"/>
    <s v="Dinner"/>
    <n v="27.577099999999998"/>
    <n v="13.89"/>
  </r>
  <r>
    <s v="O00148"/>
    <x v="1"/>
    <n v="1"/>
    <n v="30.34"/>
    <n v="14.18"/>
    <x v="1"/>
    <x v="15"/>
    <x v="0"/>
    <n v="0"/>
    <s v="Breakfast"/>
    <n v="30.34"/>
    <n v="14.18"/>
  </r>
  <r>
    <s v="O00148"/>
    <x v="17"/>
    <n v="1"/>
    <n v="39.950000000000003"/>
    <n v="15.51"/>
    <x v="0"/>
    <x v="15"/>
    <x v="0"/>
    <n v="0"/>
    <s v="Breakfast"/>
    <n v="39.950000000000003"/>
    <n v="15.51"/>
  </r>
  <r>
    <s v="O00149"/>
    <x v="15"/>
    <n v="1"/>
    <n v="227.61"/>
    <n v="96.22"/>
    <x v="3"/>
    <x v="34"/>
    <x v="1"/>
    <n v="0.04"/>
    <s v="Dinner"/>
    <n v="218.50560000000002"/>
    <n v="96.22"/>
  </r>
  <r>
    <s v="O00149"/>
    <x v="7"/>
    <n v="1"/>
    <n v="70.540000000000006"/>
    <n v="35.81"/>
    <x v="0"/>
    <x v="34"/>
    <x v="1"/>
    <n v="0.04"/>
    <s v="Dinner"/>
    <n v="67.718400000000003"/>
    <n v="35.81"/>
  </r>
  <r>
    <s v="O00150"/>
    <x v="4"/>
    <n v="2"/>
    <n v="170.83"/>
    <n v="74.069999999999993"/>
    <x v="3"/>
    <x v="11"/>
    <x v="0"/>
    <n v="0.09"/>
    <s v="Breakfast"/>
    <n v="310.91060000000004"/>
    <n v="148.13999999999999"/>
  </r>
  <r>
    <s v="O00150"/>
    <x v="6"/>
    <n v="1"/>
    <n v="246.09"/>
    <n v="112.08"/>
    <x v="3"/>
    <x v="11"/>
    <x v="0"/>
    <n v="0.09"/>
    <s v="Breakfast"/>
    <n v="223.9419"/>
    <n v="112.08"/>
  </r>
  <r>
    <s v="O00150"/>
    <x v="15"/>
    <n v="1"/>
    <n v="227.61"/>
    <n v="96.22"/>
    <x v="3"/>
    <x v="11"/>
    <x v="0"/>
    <n v="0.09"/>
    <s v="Breakfast"/>
    <n v="207.12510000000003"/>
    <n v="96.22"/>
  </r>
  <r>
    <s v="O00151"/>
    <x v="15"/>
    <n v="2"/>
    <n v="227.61"/>
    <n v="96.22"/>
    <x v="3"/>
    <x v="11"/>
    <x v="2"/>
    <n v="7.0000000000000007E-2"/>
    <s v="Breakfast"/>
    <n v="423.3546"/>
    <n v="192.44"/>
  </r>
  <r>
    <s v="O00151"/>
    <x v="16"/>
    <n v="3"/>
    <n v="146.4"/>
    <n v="80.92"/>
    <x v="3"/>
    <x v="11"/>
    <x v="2"/>
    <n v="7.0000000000000007E-2"/>
    <s v="Breakfast"/>
    <n v="408.45600000000002"/>
    <n v="242.76"/>
  </r>
  <r>
    <s v="O00151"/>
    <x v="6"/>
    <n v="3"/>
    <n v="246.09"/>
    <n v="112.08"/>
    <x v="3"/>
    <x v="11"/>
    <x v="2"/>
    <n v="7.0000000000000007E-2"/>
    <s v="Breakfast"/>
    <n v="686.59109999999998"/>
    <n v="336.24"/>
  </r>
  <r>
    <s v="O00152"/>
    <x v="16"/>
    <n v="1"/>
    <n v="146.4"/>
    <n v="80.92"/>
    <x v="3"/>
    <x v="42"/>
    <x v="1"/>
    <n v="0.01"/>
    <s v="Breakfast"/>
    <n v="144.93600000000001"/>
    <n v="80.92"/>
  </r>
  <r>
    <s v="O00152"/>
    <x v="1"/>
    <n v="3"/>
    <n v="30.34"/>
    <n v="14.18"/>
    <x v="1"/>
    <x v="42"/>
    <x v="1"/>
    <n v="0.01"/>
    <s v="Breakfast"/>
    <n v="90.109799999999993"/>
    <n v="42.54"/>
  </r>
  <r>
    <s v="O00153"/>
    <x v="9"/>
    <n v="1"/>
    <n v="20.11"/>
    <n v="8"/>
    <x v="1"/>
    <x v="51"/>
    <x v="2"/>
    <n v="7.0000000000000007E-2"/>
    <s v="Dinner"/>
    <n v="18.702299999999997"/>
    <n v="8"/>
  </r>
  <r>
    <s v="O00153"/>
    <x v="8"/>
    <n v="2"/>
    <n v="28.43"/>
    <n v="13.89"/>
    <x v="1"/>
    <x v="51"/>
    <x v="2"/>
    <n v="7.0000000000000007E-2"/>
    <s v="Dinner"/>
    <n v="52.879799999999996"/>
    <n v="27.78"/>
  </r>
  <r>
    <s v="O00154"/>
    <x v="18"/>
    <n v="1"/>
    <n v="50.19"/>
    <n v="22.61"/>
    <x v="0"/>
    <x v="50"/>
    <x v="1"/>
    <n v="0.08"/>
    <s v="Lunch"/>
    <n v="46.174799999999998"/>
    <n v="22.61"/>
  </r>
  <r>
    <s v="O00154"/>
    <x v="8"/>
    <n v="2"/>
    <n v="28.43"/>
    <n v="13.89"/>
    <x v="1"/>
    <x v="50"/>
    <x v="1"/>
    <n v="0.08"/>
    <s v="Lunch"/>
    <n v="52.311199999999999"/>
    <n v="27.78"/>
  </r>
  <r>
    <s v="O00154"/>
    <x v="13"/>
    <n v="2"/>
    <n v="116.8"/>
    <n v="48.97"/>
    <x v="2"/>
    <x v="50"/>
    <x v="1"/>
    <n v="0.08"/>
    <s v="Lunch"/>
    <n v="214.91200000000001"/>
    <n v="97.94"/>
  </r>
  <r>
    <s v="O00154"/>
    <x v="3"/>
    <n v="1"/>
    <n v="32.979999999999997"/>
    <n v="11.84"/>
    <x v="1"/>
    <x v="50"/>
    <x v="1"/>
    <n v="0.08"/>
    <s v="Lunch"/>
    <n v="30.3416"/>
    <n v="11.84"/>
  </r>
  <r>
    <s v="O00155"/>
    <x v="17"/>
    <n v="2"/>
    <n v="39.950000000000003"/>
    <n v="15.51"/>
    <x v="0"/>
    <x v="50"/>
    <x v="1"/>
    <n v="0.02"/>
    <s v="Breakfast"/>
    <n v="78.302000000000007"/>
    <n v="31.02"/>
  </r>
  <r>
    <s v="O00155"/>
    <x v="0"/>
    <n v="3"/>
    <n v="52.45"/>
    <n v="25.8"/>
    <x v="0"/>
    <x v="50"/>
    <x v="1"/>
    <n v="0.02"/>
    <s v="Breakfast"/>
    <n v="154.20300000000003"/>
    <n v="77.400000000000006"/>
  </r>
  <r>
    <s v="O00155"/>
    <x v="14"/>
    <n v="2"/>
    <n v="256.91000000000003"/>
    <n v="121.24"/>
    <x v="3"/>
    <x v="50"/>
    <x v="1"/>
    <n v="0.02"/>
    <s v="Breakfast"/>
    <n v="503.54360000000003"/>
    <n v="242.48"/>
  </r>
  <r>
    <s v="O00155"/>
    <x v="11"/>
    <n v="1"/>
    <n v="57.07"/>
    <n v="29.14"/>
    <x v="2"/>
    <x v="50"/>
    <x v="1"/>
    <n v="0.02"/>
    <s v="Breakfast"/>
    <n v="55.928599999999996"/>
    <n v="29.14"/>
  </r>
  <r>
    <s v="O00156"/>
    <x v="1"/>
    <n v="3"/>
    <n v="30.34"/>
    <n v="14.18"/>
    <x v="1"/>
    <x v="14"/>
    <x v="0"/>
    <n v="7.0000000000000007E-2"/>
    <s v="Breakfast"/>
    <n v="84.648599999999988"/>
    <n v="42.54"/>
  </r>
  <r>
    <s v="O00156"/>
    <x v="13"/>
    <n v="1"/>
    <n v="116.8"/>
    <n v="48.97"/>
    <x v="2"/>
    <x v="14"/>
    <x v="0"/>
    <n v="7.0000000000000007E-2"/>
    <s v="Breakfast"/>
    <n v="108.624"/>
    <n v="48.97"/>
  </r>
  <r>
    <s v="O00156"/>
    <x v="15"/>
    <n v="3"/>
    <n v="227.61"/>
    <n v="96.22"/>
    <x v="3"/>
    <x v="14"/>
    <x v="0"/>
    <n v="7.0000000000000007E-2"/>
    <s v="Breakfast"/>
    <n v="635.03189999999995"/>
    <n v="288.65999999999997"/>
  </r>
  <r>
    <s v="O00156"/>
    <x v="17"/>
    <n v="3"/>
    <n v="39.950000000000003"/>
    <n v="15.51"/>
    <x v="0"/>
    <x v="14"/>
    <x v="0"/>
    <n v="7.0000000000000007E-2"/>
    <s v="Breakfast"/>
    <n v="111.4605"/>
    <n v="46.53"/>
  </r>
  <r>
    <s v="O00157"/>
    <x v="17"/>
    <n v="3"/>
    <n v="39.950000000000003"/>
    <n v="15.51"/>
    <x v="0"/>
    <x v="16"/>
    <x v="1"/>
    <n v="0.06"/>
    <s v="Dinner"/>
    <n v="112.65900000000001"/>
    <n v="46.53"/>
  </r>
  <r>
    <s v="O00157"/>
    <x v="6"/>
    <n v="3"/>
    <n v="246.09"/>
    <n v="112.08"/>
    <x v="3"/>
    <x v="16"/>
    <x v="1"/>
    <n v="0.06"/>
    <s v="Dinner"/>
    <n v="693.97379999999998"/>
    <n v="336.24"/>
  </r>
  <r>
    <s v="O00157"/>
    <x v="11"/>
    <n v="1"/>
    <n v="57.07"/>
    <n v="29.14"/>
    <x v="2"/>
    <x v="16"/>
    <x v="1"/>
    <n v="0.06"/>
    <s v="Dinner"/>
    <n v="53.645799999999994"/>
    <n v="29.14"/>
  </r>
  <r>
    <s v="O00158"/>
    <x v="9"/>
    <n v="1"/>
    <n v="20.11"/>
    <n v="8"/>
    <x v="1"/>
    <x v="43"/>
    <x v="2"/>
    <n v="0.01"/>
    <s v="Breakfast"/>
    <n v="19.908899999999999"/>
    <n v="8"/>
  </r>
  <r>
    <s v="O00158"/>
    <x v="12"/>
    <n v="2"/>
    <n v="54.2"/>
    <n v="21.95"/>
    <x v="2"/>
    <x v="43"/>
    <x v="2"/>
    <n v="0.01"/>
    <s v="Breakfast"/>
    <n v="107.316"/>
    <n v="43.9"/>
  </r>
  <r>
    <s v="O00158"/>
    <x v="11"/>
    <n v="3"/>
    <n v="57.07"/>
    <n v="29.14"/>
    <x v="2"/>
    <x v="43"/>
    <x v="2"/>
    <n v="0.01"/>
    <s v="Breakfast"/>
    <n v="169.49790000000002"/>
    <n v="87.42"/>
  </r>
  <r>
    <s v="O00158"/>
    <x v="5"/>
    <n v="1"/>
    <n v="38.06"/>
    <n v="19.55"/>
    <x v="0"/>
    <x v="43"/>
    <x v="2"/>
    <n v="0.01"/>
    <s v="Breakfast"/>
    <n v="37.679400000000001"/>
    <n v="19.55"/>
  </r>
  <r>
    <s v="O00159"/>
    <x v="6"/>
    <n v="1"/>
    <n v="246.09"/>
    <n v="112.08"/>
    <x v="3"/>
    <x v="3"/>
    <x v="2"/>
    <n v="7.0000000000000007E-2"/>
    <s v="Breakfast"/>
    <n v="228.86369999999999"/>
    <n v="112.08"/>
  </r>
  <r>
    <s v="O00160"/>
    <x v="4"/>
    <n v="2"/>
    <n v="170.83"/>
    <n v="74.069999999999993"/>
    <x v="3"/>
    <x v="41"/>
    <x v="0"/>
    <n v="0.08"/>
    <s v="Lunch"/>
    <n v="314.32720000000006"/>
    <n v="148.13999999999999"/>
  </r>
  <r>
    <s v="O00161"/>
    <x v="11"/>
    <n v="1"/>
    <n v="57.07"/>
    <n v="29.14"/>
    <x v="2"/>
    <x v="30"/>
    <x v="0"/>
    <n v="0.1"/>
    <s v="Breakfast"/>
    <n v="51.363"/>
    <n v="29.14"/>
  </r>
  <r>
    <s v="O00161"/>
    <x v="14"/>
    <n v="2"/>
    <n v="256.91000000000003"/>
    <n v="121.24"/>
    <x v="3"/>
    <x v="30"/>
    <x v="0"/>
    <n v="0.1"/>
    <s v="Breakfast"/>
    <n v="462.43800000000005"/>
    <n v="242.48"/>
  </r>
  <r>
    <s v="O00161"/>
    <x v="8"/>
    <n v="1"/>
    <n v="28.43"/>
    <n v="13.89"/>
    <x v="1"/>
    <x v="30"/>
    <x v="0"/>
    <n v="0.1"/>
    <s v="Breakfast"/>
    <n v="25.587"/>
    <n v="13.89"/>
  </r>
  <r>
    <s v="O00161"/>
    <x v="12"/>
    <n v="2"/>
    <n v="54.2"/>
    <n v="21.95"/>
    <x v="2"/>
    <x v="30"/>
    <x v="0"/>
    <n v="0.1"/>
    <s v="Breakfast"/>
    <n v="97.56"/>
    <n v="43.9"/>
  </r>
  <r>
    <s v="O00162"/>
    <x v="17"/>
    <n v="2"/>
    <n v="39.950000000000003"/>
    <n v="15.51"/>
    <x v="0"/>
    <x v="51"/>
    <x v="2"/>
    <n v="0.1"/>
    <s v="Breakfast"/>
    <n v="71.910000000000011"/>
    <n v="31.02"/>
  </r>
  <r>
    <s v="O00162"/>
    <x v="11"/>
    <n v="3"/>
    <n v="57.07"/>
    <n v="29.14"/>
    <x v="2"/>
    <x v="51"/>
    <x v="2"/>
    <n v="0.1"/>
    <s v="Breakfast"/>
    <n v="154.089"/>
    <n v="87.42"/>
  </r>
  <r>
    <s v="O00162"/>
    <x v="16"/>
    <n v="1"/>
    <n v="146.4"/>
    <n v="80.92"/>
    <x v="3"/>
    <x v="51"/>
    <x v="2"/>
    <n v="0.1"/>
    <s v="Breakfast"/>
    <n v="131.76000000000002"/>
    <n v="80.92"/>
  </r>
  <r>
    <s v="O00162"/>
    <x v="12"/>
    <n v="1"/>
    <n v="54.2"/>
    <n v="21.95"/>
    <x v="2"/>
    <x v="51"/>
    <x v="2"/>
    <n v="0.1"/>
    <s v="Breakfast"/>
    <n v="48.78"/>
    <n v="21.95"/>
  </r>
  <r>
    <s v="O00163"/>
    <x v="14"/>
    <n v="2"/>
    <n v="256.91000000000003"/>
    <n v="121.24"/>
    <x v="3"/>
    <x v="10"/>
    <x v="1"/>
    <n v="0"/>
    <s v="Lunch"/>
    <n v="513.82000000000005"/>
    <n v="242.48"/>
  </r>
  <r>
    <s v="O00163"/>
    <x v="17"/>
    <n v="3"/>
    <n v="39.950000000000003"/>
    <n v="15.51"/>
    <x v="0"/>
    <x v="10"/>
    <x v="1"/>
    <n v="0"/>
    <s v="Lunch"/>
    <n v="119.85000000000001"/>
    <n v="46.53"/>
  </r>
  <r>
    <s v="O00164"/>
    <x v="7"/>
    <n v="2"/>
    <n v="70.540000000000006"/>
    <n v="35.81"/>
    <x v="0"/>
    <x v="14"/>
    <x v="2"/>
    <n v="0.02"/>
    <s v="Dinner"/>
    <n v="138.25840000000002"/>
    <n v="71.62"/>
  </r>
  <r>
    <s v="O00164"/>
    <x v="11"/>
    <n v="1"/>
    <n v="57.07"/>
    <n v="29.14"/>
    <x v="2"/>
    <x v="14"/>
    <x v="2"/>
    <n v="0.02"/>
    <s v="Dinner"/>
    <n v="55.928599999999996"/>
    <n v="29.14"/>
  </r>
  <r>
    <s v="O00165"/>
    <x v="10"/>
    <n v="1"/>
    <n v="22.2"/>
    <n v="9.3800000000000008"/>
    <x v="1"/>
    <x v="25"/>
    <x v="0"/>
    <n v="0.08"/>
    <s v="Lunch"/>
    <n v="20.423999999999999"/>
    <n v="9.3800000000000008"/>
  </r>
  <r>
    <s v="O00165"/>
    <x v="3"/>
    <n v="2"/>
    <n v="32.979999999999997"/>
    <n v="11.84"/>
    <x v="1"/>
    <x v="25"/>
    <x v="0"/>
    <n v="0.08"/>
    <s v="Lunch"/>
    <n v="60.683199999999999"/>
    <n v="23.68"/>
  </r>
  <r>
    <s v="O00165"/>
    <x v="7"/>
    <n v="1"/>
    <n v="70.540000000000006"/>
    <n v="35.81"/>
    <x v="0"/>
    <x v="25"/>
    <x v="0"/>
    <n v="0.08"/>
    <s v="Lunch"/>
    <n v="64.896800000000013"/>
    <n v="35.81"/>
  </r>
  <r>
    <s v="O00166"/>
    <x v="3"/>
    <n v="3"/>
    <n v="32.979999999999997"/>
    <n v="11.84"/>
    <x v="1"/>
    <x v="19"/>
    <x v="0"/>
    <n v="0.08"/>
    <s v="Lunch"/>
    <n v="91.024799999999999"/>
    <n v="35.519999999999996"/>
  </r>
  <r>
    <s v="O00167"/>
    <x v="9"/>
    <n v="2"/>
    <n v="20.11"/>
    <n v="8"/>
    <x v="1"/>
    <x v="40"/>
    <x v="2"/>
    <n v="0.08"/>
    <s v="Breakfast"/>
    <n v="37.002400000000002"/>
    <n v="16"/>
  </r>
  <r>
    <s v="O00168"/>
    <x v="16"/>
    <n v="2"/>
    <n v="146.4"/>
    <n v="80.92"/>
    <x v="3"/>
    <x v="57"/>
    <x v="2"/>
    <n v="0.21"/>
    <s v="Lunch"/>
    <n v="231.31200000000001"/>
    <n v="161.84"/>
  </r>
  <r>
    <s v="O00168"/>
    <x v="18"/>
    <n v="1"/>
    <n v="50.19"/>
    <n v="22.61"/>
    <x v="0"/>
    <x v="57"/>
    <x v="2"/>
    <n v="0.21"/>
    <s v="Lunch"/>
    <n v="39.650100000000002"/>
    <n v="22.61"/>
  </r>
  <r>
    <s v="O00168"/>
    <x v="2"/>
    <n v="1"/>
    <n v="76.55"/>
    <n v="38.229999999999997"/>
    <x v="2"/>
    <x v="57"/>
    <x v="2"/>
    <n v="0.21"/>
    <s v="Lunch"/>
    <n v="60.474499999999999"/>
    <n v="38.229999999999997"/>
  </r>
  <r>
    <s v="O00169"/>
    <x v="11"/>
    <n v="1"/>
    <n v="57.07"/>
    <n v="29.14"/>
    <x v="2"/>
    <x v="58"/>
    <x v="1"/>
    <n v="0.08"/>
    <s v="Breakfast"/>
    <n v="52.504400000000004"/>
    <n v="29.14"/>
  </r>
  <r>
    <s v="O00169"/>
    <x v="3"/>
    <n v="1"/>
    <n v="32.979999999999997"/>
    <n v="11.84"/>
    <x v="1"/>
    <x v="58"/>
    <x v="1"/>
    <n v="0.08"/>
    <s v="Breakfast"/>
    <n v="30.3416"/>
    <n v="11.84"/>
  </r>
  <r>
    <s v="O00169"/>
    <x v="15"/>
    <n v="1"/>
    <n v="227.61"/>
    <n v="96.22"/>
    <x v="3"/>
    <x v="58"/>
    <x v="1"/>
    <n v="0.08"/>
    <s v="Breakfast"/>
    <n v="209.40120000000002"/>
    <n v="96.22"/>
  </r>
  <r>
    <s v="O00169"/>
    <x v="8"/>
    <n v="1"/>
    <n v="28.43"/>
    <n v="13.89"/>
    <x v="1"/>
    <x v="58"/>
    <x v="1"/>
    <n v="0.08"/>
    <s v="Breakfast"/>
    <n v="26.1556"/>
    <n v="13.89"/>
  </r>
  <r>
    <s v="O00170"/>
    <x v="5"/>
    <n v="1"/>
    <n v="38.06"/>
    <n v="19.55"/>
    <x v="0"/>
    <x v="30"/>
    <x v="2"/>
    <n v="0.11"/>
    <s v="Breakfast"/>
    <n v="33.873400000000004"/>
    <n v="19.55"/>
  </r>
  <r>
    <s v="O00170"/>
    <x v="10"/>
    <n v="2"/>
    <n v="22.2"/>
    <n v="9.3800000000000008"/>
    <x v="1"/>
    <x v="30"/>
    <x v="2"/>
    <n v="0.11"/>
    <s v="Breakfast"/>
    <n v="39.515999999999998"/>
    <n v="18.760000000000002"/>
  </r>
  <r>
    <s v="O00170"/>
    <x v="18"/>
    <n v="1"/>
    <n v="50.19"/>
    <n v="22.61"/>
    <x v="0"/>
    <x v="30"/>
    <x v="2"/>
    <n v="0.11"/>
    <s v="Breakfast"/>
    <n v="44.6691"/>
    <n v="22.61"/>
  </r>
  <r>
    <s v="O00170"/>
    <x v="17"/>
    <n v="1"/>
    <n v="39.950000000000003"/>
    <n v="15.51"/>
    <x v="0"/>
    <x v="30"/>
    <x v="2"/>
    <n v="0.11"/>
    <s v="Breakfast"/>
    <n v="35.555500000000002"/>
    <n v="15.51"/>
  </r>
  <r>
    <s v="O00171"/>
    <x v="16"/>
    <n v="1"/>
    <n v="146.4"/>
    <n v="80.92"/>
    <x v="3"/>
    <x v="52"/>
    <x v="0"/>
    <n v="0.1"/>
    <s v="Breakfast"/>
    <n v="131.76000000000002"/>
    <n v="80.92"/>
  </r>
  <r>
    <s v="O00171"/>
    <x v="7"/>
    <n v="1"/>
    <n v="70.540000000000006"/>
    <n v="35.81"/>
    <x v="0"/>
    <x v="52"/>
    <x v="0"/>
    <n v="0.1"/>
    <s v="Breakfast"/>
    <n v="63.486000000000004"/>
    <n v="35.81"/>
  </r>
  <r>
    <s v="O00171"/>
    <x v="4"/>
    <n v="2"/>
    <n v="170.83"/>
    <n v="74.069999999999993"/>
    <x v="3"/>
    <x v="52"/>
    <x v="0"/>
    <n v="0.1"/>
    <s v="Breakfast"/>
    <n v="307.49400000000003"/>
    <n v="148.13999999999999"/>
  </r>
  <r>
    <s v="O00172"/>
    <x v="15"/>
    <n v="2"/>
    <n v="227.61"/>
    <n v="96.22"/>
    <x v="3"/>
    <x v="42"/>
    <x v="0"/>
    <n v="0.09"/>
    <s v="Lunch"/>
    <n v="414.25020000000006"/>
    <n v="192.44"/>
  </r>
  <r>
    <s v="O00173"/>
    <x v="14"/>
    <n v="2"/>
    <n v="256.91000000000003"/>
    <n v="121.24"/>
    <x v="3"/>
    <x v="24"/>
    <x v="0"/>
    <n v="0.05"/>
    <s v="Dinner"/>
    <n v="488.12900000000002"/>
    <n v="242.48"/>
  </r>
  <r>
    <s v="O00174"/>
    <x v="9"/>
    <n v="2"/>
    <n v="20.11"/>
    <n v="8"/>
    <x v="1"/>
    <x v="13"/>
    <x v="0"/>
    <n v="0.09"/>
    <s v="Lunch"/>
    <n v="36.600200000000001"/>
    <n v="16"/>
  </r>
  <r>
    <s v="O00174"/>
    <x v="2"/>
    <n v="1"/>
    <n v="76.55"/>
    <n v="38.229999999999997"/>
    <x v="2"/>
    <x v="13"/>
    <x v="0"/>
    <n v="0.09"/>
    <s v="Lunch"/>
    <n v="69.660499999999999"/>
    <n v="38.229999999999997"/>
  </r>
  <r>
    <s v="O00174"/>
    <x v="3"/>
    <n v="2"/>
    <n v="32.979999999999997"/>
    <n v="11.84"/>
    <x v="1"/>
    <x v="13"/>
    <x v="0"/>
    <n v="0.09"/>
    <s v="Lunch"/>
    <n v="60.023599999999995"/>
    <n v="23.68"/>
  </r>
  <r>
    <s v="O00174"/>
    <x v="8"/>
    <n v="3"/>
    <n v="28.43"/>
    <n v="13.89"/>
    <x v="1"/>
    <x v="13"/>
    <x v="0"/>
    <n v="0.09"/>
    <s v="Lunch"/>
    <n v="77.613900000000001"/>
    <n v="41.67"/>
  </r>
  <r>
    <s v="O00175"/>
    <x v="18"/>
    <n v="2"/>
    <n v="50.19"/>
    <n v="22.61"/>
    <x v="0"/>
    <x v="46"/>
    <x v="1"/>
    <n v="0.03"/>
    <s v="Dinner"/>
    <n v="97.368599999999986"/>
    <n v="45.22"/>
  </r>
  <r>
    <s v="O00175"/>
    <x v="15"/>
    <n v="1"/>
    <n v="227.61"/>
    <n v="96.22"/>
    <x v="3"/>
    <x v="46"/>
    <x v="1"/>
    <n v="0.03"/>
    <s v="Dinner"/>
    <n v="220.7817"/>
    <n v="96.22"/>
  </r>
  <r>
    <s v="O00176"/>
    <x v="9"/>
    <n v="1"/>
    <n v="20.11"/>
    <n v="8"/>
    <x v="1"/>
    <x v="57"/>
    <x v="1"/>
    <n v="0.05"/>
    <s v="Breakfast"/>
    <n v="19.104499999999998"/>
    <n v="8"/>
  </r>
  <r>
    <s v="O00176"/>
    <x v="14"/>
    <n v="1"/>
    <n v="256.91000000000003"/>
    <n v="121.24"/>
    <x v="3"/>
    <x v="57"/>
    <x v="1"/>
    <n v="0.05"/>
    <s v="Breakfast"/>
    <n v="244.06450000000001"/>
    <n v="121.24"/>
  </r>
  <r>
    <s v="O00176"/>
    <x v="15"/>
    <n v="1"/>
    <n v="227.61"/>
    <n v="96.22"/>
    <x v="3"/>
    <x v="57"/>
    <x v="1"/>
    <n v="0.05"/>
    <s v="Breakfast"/>
    <n v="216.2295"/>
    <n v="96.22"/>
  </r>
  <r>
    <s v="O00177"/>
    <x v="11"/>
    <n v="1"/>
    <n v="57.07"/>
    <n v="29.14"/>
    <x v="2"/>
    <x v="41"/>
    <x v="2"/>
    <n v="0.04"/>
    <s v="Breakfast"/>
    <n v="54.787199999999999"/>
    <n v="29.14"/>
  </r>
  <r>
    <s v="O00177"/>
    <x v="8"/>
    <n v="2"/>
    <n v="28.43"/>
    <n v="13.89"/>
    <x v="1"/>
    <x v="41"/>
    <x v="2"/>
    <n v="0.04"/>
    <s v="Breakfast"/>
    <n v="54.585599999999999"/>
    <n v="27.78"/>
  </r>
  <r>
    <s v="O00177"/>
    <x v="5"/>
    <n v="1"/>
    <n v="38.06"/>
    <n v="19.55"/>
    <x v="0"/>
    <x v="41"/>
    <x v="2"/>
    <n v="0.04"/>
    <s v="Breakfast"/>
    <n v="36.537599999999998"/>
    <n v="19.55"/>
  </r>
  <r>
    <s v="O00178"/>
    <x v="4"/>
    <n v="2"/>
    <n v="170.83"/>
    <n v="74.069999999999993"/>
    <x v="3"/>
    <x v="2"/>
    <x v="1"/>
    <n v="0.06"/>
    <s v="Dinner"/>
    <n v="321.16039999999998"/>
    <n v="148.13999999999999"/>
  </r>
  <r>
    <s v="O00178"/>
    <x v="12"/>
    <n v="1"/>
    <n v="54.2"/>
    <n v="21.95"/>
    <x v="2"/>
    <x v="2"/>
    <x v="1"/>
    <n v="0.06"/>
    <s v="Dinner"/>
    <n v="50.948"/>
    <n v="21.95"/>
  </r>
  <r>
    <s v="O00178"/>
    <x v="16"/>
    <n v="2"/>
    <n v="146.4"/>
    <n v="80.92"/>
    <x v="3"/>
    <x v="2"/>
    <x v="1"/>
    <n v="0.06"/>
    <s v="Dinner"/>
    <n v="275.23199999999997"/>
    <n v="161.84"/>
  </r>
  <r>
    <s v="O00178"/>
    <x v="13"/>
    <n v="3"/>
    <n v="116.8"/>
    <n v="48.97"/>
    <x v="2"/>
    <x v="2"/>
    <x v="1"/>
    <n v="0.06"/>
    <s v="Dinner"/>
    <n v="329.37599999999998"/>
    <n v="146.91"/>
  </r>
  <r>
    <s v="O00179"/>
    <x v="6"/>
    <n v="1"/>
    <n v="246.09"/>
    <n v="112.08"/>
    <x v="3"/>
    <x v="21"/>
    <x v="0"/>
    <n v="0.15"/>
    <s v="Dinner"/>
    <n v="209.1765"/>
    <n v="112.08"/>
  </r>
  <r>
    <s v="O00179"/>
    <x v="18"/>
    <n v="2"/>
    <n v="50.19"/>
    <n v="22.61"/>
    <x v="0"/>
    <x v="21"/>
    <x v="0"/>
    <n v="0.15"/>
    <s v="Dinner"/>
    <n v="85.322999999999993"/>
    <n v="45.22"/>
  </r>
  <r>
    <s v="O00179"/>
    <x v="0"/>
    <n v="1"/>
    <n v="52.45"/>
    <n v="25.8"/>
    <x v="0"/>
    <x v="21"/>
    <x v="0"/>
    <n v="0.15"/>
    <s v="Dinner"/>
    <n v="44.582500000000003"/>
    <n v="25.8"/>
  </r>
  <r>
    <s v="O00180"/>
    <x v="8"/>
    <n v="1"/>
    <n v="28.43"/>
    <n v="13.89"/>
    <x v="1"/>
    <x v="58"/>
    <x v="1"/>
    <n v="0"/>
    <s v="Lunch"/>
    <n v="28.43"/>
    <n v="13.89"/>
  </r>
  <r>
    <s v="O00181"/>
    <x v="15"/>
    <n v="3"/>
    <n v="227.61"/>
    <n v="96.22"/>
    <x v="3"/>
    <x v="15"/>
    <x v="1"/>
    <n v="0.09"/>
    <s v="Breakfast"/>
    <n v="621.37530000000004"/>
    <n v="288.65999999999997"/>
  </r>
  <r>
    <s v="O00181"/>
    <x v="6"/>
    <n v="1"/>
    <n v="246.09"/>
    <n v="112.08"/>
    <x v="3"/>
    <x v="15"/>
    <x v="1"/>
    <n v="0.09"/>
    <s v="Breakfast"/>
    <n v="223.9419"/>
    <n v="112.08"/>
  </r>
  <r>
    <s v="O00181"/>
    <x v="14"/>
    <n v="1"/>
    <n v="256.91000000000003"/>
    <n v="121.24"/>
    <x v="3"/>
    <x v="15"/>
    <x v="1"/>
    <n v="0.09"/>
    <s v="Breakfast"/>
    <n v="233.78810000000004"/>
    <n v="121.24"/>
  </r>
  <r>
    <s v="O00181"/>
    <x v="11"/>
    <n v="2"/>
    <n v="57.07"/>
    <n v="29.14"/>
    <x v="2"/>
    <x v="15"/>
    <x v="1"/>
    <n v="0.09"/>
    <s v="Breakfast"/>
    <n v="103.8674"/>
    <n v="58.28"/>
  </r>
  <r>
    <s v="O00182"/>
    <x v="0"/>
    <n v="1"/>
    <n v="52.45"/>
    <n v="25.8"/>
    <x v="0"/>
    <x v="16"/>
    <x v="0"/>
    <n v="0"/>
    <s v="Dinner"/>
    <n v="52.45"/>
    <n v="25.8"/>
  </r>
  <r>
    <s v="O00183"/>
    <x v="1"/>
    <n v="3"/>
    <n v="30.34"/>
    <n v="14.18"/>
    <x v="1"/>
    <x v="26"/>
    <x v="0"/>
    <n v="0.04"/>
    <s v="Dinner"/>
    <n v="87.379199999999997"/>
    <n v="42.54"/>
  </r>
  <r>
    <s v="O00183"/>
    <x v="3"/>
    <n v="2"/>
    <n v="32.979999999999997"/>
    <n v="11.84"/>
    <x v="1"/>
    <x v="26"/>
    <x v="0"/>
    <n v="0.04"/>
    <s v="Dinner"/>
    <n v="63.321599999999989"/>
    <n v="23.68"/>
  </r>
  <r>
    <s v="O00184"/>
    <x v="5"/>
    <n v="1"/>
    <n v="38.06"/>
    <n v="19.55"/>
    <x v="0"/>
    <x v="46"/>
    <x v="0"/>
    <n v="0.1"/>
    <s v="Breakfast"/>
    <n v="34.254000000000005"/>
    <n v="19.55"/>
  </r>
  <r>
    <s v="O00184"/>
    <x v="18"/>
    <n v="1"/>
    <n v="50.19"/>
    <n v="22.61"/>
    <x v="0"/>
    <x v="46"/>
    <x v="0"/>
    <n v="0.1"/>
    <s v="Breakfast"/>
    <n v="45.170999999999999"/>
    <n v="22.61"/>
  </r>
  <r>
    <s v="O00184"/>
    <x v="11"/>
    <n v="1"/>
    <n v="57.07"/>
    <n v="29.14"/>
    <x v="2"/>
    <x v="46"/>
    <x v="0"/>
    <n v="0.1"/>
    <s v="Breakfast"/>
    <n v="51.363"/>
    <n v="29.14"/>
  </r>
  <r>
    <s v="O00185"/>
    <x v="7"/>
    <n v="1"/>
    <n v="70.540000000000006"/>
    <n v="35.81"/>
    <x v="0"/>
    <x v="28"/>
    <x v="1"/>
    <n v="0.06"/>
    <s v="Breakfast"/>
    <n v="66.307600000000008"/>
    <n v="35.81"/>
  </r>
  <r>
    <s v="O00185"/>
    <x v="11"/>
    <n v="1"/>
    <n v="57.07"/>
    <n v="29.14"/>
    <x v="2"/>
    <x v="28"/>
    <x v="1"/>
    <n v="0.06"/>
    <s v="Breakfast"/>
    <n v="53.645799999999994"/>
    <n v="29.14"/>
  </r>
  <r>
    <s v="O00185"/>
    <x v="9"/>
    <n v="1"/>
    <n v="20.11"/>
    <n v="8"/>
    <x v="1"/>
    <x v="28"/>
    <x v="1"/>
    <n v="0.06"/>
    <s v="Breakfast"/>
    <n v="18.903399999999998"/>
    <n v="8"/>
  </r>
  <r>
    <s v="O00186"/>
    <x v="1"/>
    <n v="2"/>
    <n v="30.34"/>
    <n v="14.18"/>
    <x v="1"/>
    <x v="26"/>
    <x v="2"/>
    <n v="0.02"/>
    <s v="Breakfast"/>
    <n v="59.4664"/>
    <n v="28.36"/>
  </r>
  <r>
    <s v="O00187"/>
    <x v="7"/>
    <n v="1"/>
    <n v="70.540000000000006"/>
    <n v="35.81"/>
    <x v="0"/>
    <x v="36"/>
    <x v="1"/>
    <n v="0.03"/>
    <s v="Breakfast"/>
    <n v="68.4238"/>
    <n v="35.81"/>
  </r>
  <r>
    <s v="O00187"/>
    <x v="3"/>
    <n v="2"/>
    <n v="32.979999999999997"/>
    <n v="11.84"/>
    <x v="1"/>
    <x v="36"/>
    <x v="1"/>
    <n v="0.03"/>
    <s v="Breakfast"/>
    <n v="63.981199999999994"/>
    <n v="23.68"/>
  </r>
  <r>
    <s v="O00187"/>
    <x v="12"/>
    <n v="2"/>
    <n v="54.2"/>
    <n v="21.95"/>
    <x v="2"/>
    <x v="36"/>
    <x v="1"/>
    <n v="0.03"/>
    <s v="Breakfast"/>
    <n v="105.148"/>
    <n v="43.9"/>
  </r>
  <r>
    <s v="O00187"/>
    <x v="4"/>
    <n v="1"/>
    <n v="170.83"/>
    <n v="74.069999999999993"/>
    <x v="3"/>
    <x v="36"/>
    <x v="1"/>
    <n v="0.03"/>
    <s v="Breakfast"/>
    <n v="165.70510000000002"/>
    <n v="74.069999999999993"/>
  </r>
  <r>
    <s v="O00188"/>
    <x v="10"/>
    <n v="2"/>
    <n v="22.2"/>
    <n v="9.3800000000000008"/>
    <x v="1"/>
    <x v="12"/>
    <x v="1"/>
    <n v="0.09"/>
    <s v="Dinner"/>
    <n v="40.404000000000003"/>
    <n v="18.760000000000002"/>
  </r>
  <r>
    <s v="O00188"/>
    <x v="9"/>
    <n v="2"/>
    <n v="20.11"/>
    <n v="8"/>
    <x v="1"/>
    <x v="12"/>
    <x v="1"/>
    <n v="0.09"/>
    <s v="Dinner"/>
    <n v="36.600200000000001"/>
    <n v="16"/>
  </r>
  <r>
    <s v="O00188"/>
    <x v="7"/>
    <n v="1"/>
    <n v="70.540000000000006"/>
    <n v="35.81"/>
    <x v="0"/>
    <x v="12"/>
    <x v="1"/>
    <n v="0.09"/>
    <s v="Dinner"/>
    <n v="64.191400000000002"/>
    <n v="35.81"/>
  </r>
  <r>
    <s v="O00188"/>
    <x v="18"/>
    <n v="1"/>
    <n v="50.19"/>
    <n v="22.61"/>
    <x v="0"/>
    <x v="12"/>
    <x v="1"/>
    <n v="0.09"/>
    <s v="Dinner"/>
    <n v="45.672899999999998"/>
    <n v="22.61"/>
  </r>
  <r>
    <s v="O00189"/>
    <x v="7"/>
    <n v="1"/>
    <n v="70.540000000000006"/>
    <n v="35.81"/>
    <x v="0"/>
    <x v="48"/>
    <x v="2"/>
    <n v="0.03"/>
    <s v="Dinner"/>
    <n v="68.4238"/>
    <n v="35.81"/>
  </r>
  <r>
    <s v="O00189"/>
    <x v="9"/>
    <n v="2"/>
    <n v="20.11"/>
    <n v="8"/>
    <x v="1"/>
    <x v="48"/>
    <x v="2"/>
    <n v="0.03"/>
    <s v="Dinner"/>
    <n v="39.013399999999997"/>
    <n v="16"/>
  </r>
  <r>
    <s v="O00189"/>
    <x v="6"/>
    <n v="2"/>
    <n v="246.09"/>
    <n v="112.08"/>
    <x v="3"/>
    <x v="48"/>
    <x v="2"/>
    <n v="0.03"/>
    <s v="Dinner"/>
    <n v="477.41460000000001"/>
    <n v="224.16"/>
  </r>
  <r>
    <s v="O00190"/>
    <x v="16"/>
    <n v="1"/>
    <n v="146.4"/>
    <n v="80.92"/>
    <x v="3"/>
    <x v="1"/>
    <x v="1"/>
    <n v="7.0000000000000007E-2"/>
    <s v="Lunch"/>
    <n v="136.15199999999999"/>
    <n v="80.92"/>
  </r>
  <r>
    <s v="O00191"/>
    <x v="18"/>
    <n v="2"/>
    <n v="50.19"/>
    <n v="22.61"/>
    <x v="0"/>
    <x v="39"/>
    <x v="0"/>
    <n v="0.06"/>
    <s v="Breakfast"/>
    <n v="94.357199999999992"/>
    <n v="45.22"/>
  </r>
  <r>
    <s v="O00191"/>
    <x v="11"/>
    <n v="3"/>
    <n v="57.07"/>
    <n v="29.14"/>
    <x v="2"/>
    <x v="39"/>
    <x v="0"/>
    <n v="0.06"/>
    <s v="Breakfast"/>
    <n v="160.9374"/>
    <n v="87.42"/>
  </r>
  <r>
    <s v="O00192"/>
    <x v="14"/>
    <n v="2"/>
    <n v="256.91000000000003"/>
    <n v="121.24"/>
    <x v="3"/>
    <x v="21"/>
    <x v="1"/>
    <n v="0.03"/>
    <s v="Breakfast"/>
    <n v="498.40540000000004"/>
    <n v="242.48"/>
  </r>
  <r>
    <s v="O00193"/>
    <x v="9"/>
    <n v="1"/>
    <n v="20.11"/>
    <n v="8"/>
    <x v="1"/>
    <x v="10"/>
    <x v="2"/>
    <n v="0.15"/>
    <s v="Lunch"/>
    <n v="17.093499999999999"/>
    <n v="8"/>
  </r>
  <r>
    <s v="O00193"/>
    <x v="7"/>
    <n v="1"/>
    <n v="70.540000000000006"/>
    <n v="35.81"/>
    <x v="0"/>
    <x v="10"/>
    <x v="2"/>
    <n v="0.15"/>
    <s v="Lunch"/>
    <n v="59.959000000000003"/>
    <n v="35.81"/>
  </r>
  <r>
    <s v="O00193"/>
    <x v="3"/>
    <n v="3"/>
    <n v="32.979999999999997"/>
    <n v="11.84"/>
    <x v="1"/>
    <x v="10"/>
    <x v="2"/>
    <n v="0.15"/>
    <s v="Lunch"/>
    <n v="84.09899999999999"/>
    <n v="35.519999999999996"/>
  </r>
  <r>
    <s v="O00193"/>
    <x v="11"/>
    <n v="1"/>
    <n v="57.07"/>
    <n v="29.14"/>
    <x v="2"/>
    <x v="10"/>
    <x v="2"/>
    <n v="0.15"/>
    <s v="Lunch"/>
    <n v="48.509499999999996"/>
    <n v="29.14"/>
  </r>
  <r>
    <s v="O00194"/>
    <x v="10"/>
    <n v="2"/>
    <n v="22.2"/>
    <n v="9.3800000000000008"/>
    <x v="1"/>
    <x v="9"/>
    <x v="0"/>
    <n v="0.09"/>
    <s v="Breakfast"/>
    <n v="40.404000000000003"/>
    <n v="18.760000000000002"/>
  </r>
  <r>
    <s v="O00194"/>
    <x v="18"/>
    <n v="2"/>
    <n v="50.19"/>
    <n v="22.61"/>
    <x v="0"/>
    <x v="9"/>
    <x v="0"/>
    <n v="0.09"/>
    <s v="Breakfast"/>
    <n v="91.345799999999997"/>
    <n v="45.22"/>
  </r>
  <r>
    <s v="O00194"/>
    <x v="0"/>
    <n v="2"/>
    <n v="52.45"/>
    <n v="25.8"/>
    <x v="0"/>
    <x v="9"/>
    <x v="0"/>
    <n v="0.09"/>
    <s v="Breakfast"/>
    <n v="95.459000000000003"/>
    <n v="51.6"/>
  </r>
  <r>
    <s v="O00195"/>
    <x v="13"/>
    <n v="1"/>
    <n v="116.8"/>
    <n v="48.97"/>
    <x v="2"/>
    <x v="32"/>
    <x v="1"/>
    <n v="0"/>
    <s v="Lunch"/>
    <n v="116.8"/>
    <n v="48.97"/>
  </r>
  <r>
    <s v="O00195"/>
    <x v="18"/>
    <n v="2"/>
    <n v="50.19"/>
    <n v="22.61"/>
    <x v="0"/>
    <x v="32"/>
    <x v="1"/>
    <n v="0"/>
    <s v="Lunch"/>
    <n v="100.38"/>
    <n v="45.22"/>
  </r>
  <r>
    <s v="O00195"/>
    <x v="14"/>
    <n v="2"/>
    <n v="256.91000000000003"/>
    <n v="121.24"/>
    <x v="3"/>
    <x v="32"/>
    <x v="1"/>
    <n v="0"/>
    <s v="Lunch"/>
    <n v="513.82000000000005"/>
    <n v="242.48"/>
  </r>
  <r>
    <s v="O00196"/>
    <x v="2"/>
    <n v="1"/>
    <n v="76.55"/>
    <n v="38.229999999999997"/>
    <x v="2"/>
    <x v="57"/>
    <x v="0"/>
    <n v="7.0000000000000007E-2"/>
    <s v="Breakfast"/>
    <n v="71.191499999999991"/>
    <n v="38.229999999999997"/>
  </r>
  <r>
    <s v="O00196"/>
    <x v="17"/>
    <n v="3"/>
    <n v="39.950000000000003"/>
    <n v="15.51"/>
    <x v="0"/>
    <x v="57"/>
    <x v="0"/>
    <n v="7.0000000000000007E-2"/>
    <s v="Breakfast"/>
    <n v="111.4605"/>
    <n v="46.53"/>
  </r>
  <r>
    <s v="O00196"/>
    <x v="16"/>
    <n v="1"/>
    <n v="146.4"/>
    <n v="80.92"/>
    <x v="3"/>
    <x v="57"/>
    <x v="0"/>
    <n v="7.0000000000000007E-2"/>
    <s v="Breakfast"/>
    <n v="136.15199999999999"/>
    <n v="80.92"/>
  </r>
  <r>
    <s v="O00197"/>
    <x v="1"/>
    <n v="2"/>
    <n v="30.34"/>
    <n v="14.18"/>
    <x v="1"/>
    <x v="56"/>
    <x v="2"/>
    <n v="0.03"/>
    <s v="Dinner"/>
    <n v="58.8596"/>
    <n v="28.36"/>
  </r>
  <r>
    <s v="O00197"/>
    <x v="14"/>
    <n v="1"/>
    <n v="256.91000000000003"/>
    <n v="121.24"/>
    <x v="3"/>
    <x v="56"/>
    <x v="2"/>
    <n v="0.03"/>
    <s v="Dinner"/>
    <n v="249.20270000000002"/>
    <n v="121.24"/>
  </r>
  <r>
    <s v="O00198"/>
    <x v="11"/>
    <n v="1"/>
    <n v="57.07"/>
    <n v="29.14"/>
    <x v="2"/>
    <x v="21"/>
    <x v="0"/>
    <n v="0.09"/>
    <s v="Breakfast"/>
    <n v="51.933700000000002"/>
    <n v="29.14"/>
  </r>
  <r>
    <s v="O00198"/>
    <x v="1"/>
    <n v="2"/>
    <n v="30.34"/>
    <n v="14.18"/>
    <x v="1"/>
    <x v="21"/>
    <x v="0"/>
    <n v="0.09"/>
    <s v="Breakfast"/>
    <n v="55.218800000000002"/>
    <n v="28.36"/>
  </r>
  <r>
    <s v="O00199"/>
    <x v="6"/>
    <n v="1"/>
    <n v="246.09"/>
    <n v="112.08"/>
    <x v="3"/>
    <x v="54"/>
    <x v="0"/>
    <n v="0.03"/>
    <s v="Breakfast"/>
    <n v="238.7073"/>
    <n v="112.08"/>
  </r>
  <r>
    <s v="O00199"/>
    <x v="14"/>
    <n v="1"/>
    <n v="256.91000000000003"/>
    <n v="121.24"/>
    <x v="3"/>
    <x v="54"/>
    <x v="0"/>
    <n v="0.03"/>
    <s v="Breakfast"/>
    <n v="249.20270000000002"/>
    <n v="121.24"/>
  </r>
  <r>
    <s v="O00199"/>
    <x v="4"/>
    <n v="2"/>
    <n v="170.83"/>
    <n v="74.069999999999993"/>
    <x v="3"/>
    <x v="54"/>
    <x v="0"/>
    <n v="0.03"/>
    <s v="Breakfast"/>
    <n v="331.41020000000003"/>
    <n v="148.13999999999999"/>
  </r>
  <r>
    <s v="O00199"/>
    <x v="3"/>
    <n v="1"/>
    <n v="32.979999999999997"/>
    <n v="11.84"/>
    <x v="1"/>
    <x v="54"/>
    <x v="0"/>
    <n v="0.03"/>
    <s v="Breakfast"/>
    <n v="31.990599999999997"/>
    <n v="11.84"/>
  </r>
  <r>
    <s v="O00200"/>
    <x v="17"/>
    <n v="1"/>
    <n v="39.950000000000003"/>
    <n v="15.51"/>
    <x v="0"/>
    <x v="54"/>
    <x v="1"/>
    <n v="0.06"/>
    <s v="Breakfast"/>
    <n v="37.552999999999997"/>
    <n v="15.51"/>
  </r>
  <r>
    <s v="O00201"/>
    <x v="5"/>
    <n v="1"/>
    <n v="38.06"/>
    <n v="19.55"/>
    <x v="0"/>
    <x v="5"/>
    <x v="0"/>
    <n v="0.08"/>
    <s v="Lunch"/>
    <n v="35.0152"/>
    <n v="19.55"/>
  </r>
  <r>
    <s v="O00202"/>
    <x v="4"/>
    <n v="1"/>
    <n v="170.83"/>
    <n v="74.069999999999993"/>
    <x v="3"/>
    <x v="2"/>
    <x v="0"/>
    <n v="0.09"/>
    <s v="Dinner"/>
    <n v="155.45530000000002"/>
    <n v="74.069999999999993"/>
  </r>
  <r>
    <s v="O00203"/>
    <x v="16"/>
    <n v="1"/>
    <n v="146.4"/>
    <n v="80.92"/>
    <x v="3"/>
    <x v="42"/>
    <x v="2"/>
    <n v="0.01"/>
    <s v="Breakfast"/>
    <n v="144.93600000000001"/>
    <n v="80.92"/>
  </r>
  <r>
    <s v="O00203"/>
    <x v="12"/>
    <n v="2"/>
    <n v="54.2"/>
    <n v="21.95"/>
    <x v="2"/>
    <x v="42"/>
    <x v="2"/>
    <n v="0.01"/>
    <s v="Breakfast"/>
    <n v="107.316"/>
    <n v="43.9"/>
  </r>
  <r>
    <s v="O00204"/>
    <x v="10"/>
    <n v="1"/>
    <n v="22.2"/>
    <n v="9.3800000000000008"/>
    <x v="1"/>
    <x v="2"/>
    <x v="1"/>
    <n v="0.05"/>
    <s v="Breakfast"/>
    <n v="21.09"/>
    <n v="9.3800000000000008"/>
  </r>
  <r>
    <s v="O00204"/>
    <x v="15"/>
    <n v="3"/>
    <n v="227.61"/>
    <n v="96.22"/>
    <x v="3"/>
    <x v="2"/>
    <x v="1"/>
    <n v="0.05"/>
    <s v="Breakfast"/>
    <n v="648.68849999999998"/>
    <n v="288.65999999999997"/>
  </r>
  <r>
    <s v="O00204"/>
    <x v="6"/>
    <n v="1"/>
    <n v="246.09"/>
    <n v="112.08"/>
    <x v="3"/>
    <x v="2"/>
    <x v="1"/>
    <n v="0.05"/>
    <s v="Breakfast"/>
    <n v="233.78549999999998"/>
    <n v="112.08"/>
  </r>
  <r>
    <s v="O00205"/>
    <x v="16"/>
    <n v="1"/>
    <n v="146.4"/>
    <n v="80.92"/>
    <x v="3"/>
    <x v="29"/>
    <x v="2"/>
    <n v="0.04"/>
    <s v="Breakfast"/>
    <n v="140.54400000000001"/>
    <n v="80.92"/>
  </r>
  <r>
    <s v="O00205"/>
    <x v="17"/>
    <n v="2"/>
    <n v="39.950000000000003"/>
    <n v="15.51"/>
    <x v="0"/>
    <x v="29"/>
    <x v="2"/>
    <n v="0.04"/>
    <s v="Breakfast"/>
    <n v="76.704000000000008"/>
    <n v="31.02"/>
  </r>
  <r>
    <s v="O00205"/>
    <x v="1"/>
    <n v="1"/>
    <n v="30.34"/>
    <n v="14.18"/>
    <x v="1"/>
    <x v="29"/>
    <x v="2"/>
    <n v="0.04"/>
    <s v="Breakfast"/>
    <n v="29.1264"/>
    <n v="14.18"/>
  </r>
  <r>
    <s v="O00205"/>
    <x v="0"/>
    <n v="1"/>
    <n v="52.45"/>
    <n v="25.8"/>
    <x v="0"/>
    <x v="29"/>
    <x v="2"/>
    <n v="0.04"/>
    <s v="Breakfast"/>
    <n v="50.352000000000004"/>
    <n v="25.8"/>
  </r>
  <r>
    <s v="O00206"/>
    <x v="8"/>
    <n v="3"/>
    <n v="28.43"/>
    <n v="13.89"/>
    <x v="1"/>
    <x v="12"/>
    <x v="0"/>
    <n v="0.03"/>
    <s v="Dinner"/>
    <n v="82.73129999999999"/>
    <n v="41.67"/>
  </r>
  <r>
    <s v="O00206"/>
    <x v="5"/>
    <n v="1"/>
    <n v="38.06"/>
    <n v="19.55"/>
    <x v="0"/>
    <x v="12"/>
    <x v="0"/>
    <n v="0.03"/>
    <s v="Dinner"/>
    <n v="36.918199999999999"/>
    <n v="19.55"/>
  </r>
  <r>
    <s v="O00206"/>
    <x v="3"/>
    <n v="2"/>
    <n v="32.979999999999997"/>
    <n v="11.84"/>
    <x v="1"/>
    <x v="12"/>
    <x v="0"/>
    <n v="0.03"/>
    <s v="Dinner"/>
    <n v="63.981199999999994"/>
    <n v="23.68"/>
  </r>
  <r>
    <s v="O00206"/>
    <x v="1"/>
    <n v="1"/>
    <n v="30.34"/>
    <n v="14.18"/>
    <x v="1"/>
    <x v="12"/>
    <x v="0"/>
    <n v="0.03"/>
    <s v="Dinner"/>
    <n v="29.4298"/>
    <n v="14.18"/>
  </r>
  <r>
    <s v="O00207"/>
    <x v="6"/>
    <n v="1"/>
    <n v="246.09"/>
    <n v="112.08"/>
    <x v="3"/>
    <x v="51"/>
    <x v="1"/>
    <n v="0.13"/>
    <s v="Breakfast"/>
    <n v="214.09829999999999"/>
    <n v="112.08"/>
  </r>
  <r>
    <s v="O00207"/>
    <x v="11"/>
    <n v="3"/>
    <n v="57.07"/>
    <n v="29.14"/>
    <x v="2"/>
    <x v="51"/>
    <x v="1"/>
    <n v="0.13"/>
    <s v="Breakfast"/>
    <n v="148.95269999999999"/>
    <n v="87.42"/>
  </r>
  <r>
    <s v="O00208"/>
    <x v="10"/>
    <n v="3"/>
    <n v="22.2"/>
    <n v="9.3800000000000008"/>
    <x v="1"/>
    <x v="39"/>
    <x v="2"/>
    <n v="0.08"/>
    <s v="Dinner"/>
    <n v="61.271999999999998"/>
    <n v="28.14"/>
  </r>
  <r>
    <s v="O00208"/>
    <x v="5"/>
    <n v="2"/>
    <n v="38.06"/>
    <n v="19.55"/>
    <x v="0"/>
    <x v="39"/>
    <x v="2"/>
    <n v="0.08"/>
    <s v="Dinner"/>
    <n v="70.0304"/>
    <n v="39.1"/>
  </r>
  <r>
    <s v="O00209"/>
    <x v="18"/>
    <n v="3"/>
    <n v="50.19"/>
    <n v="22.61"/>
    <x v="0"/>
    <x v="18"/>
    <x v="1"/>
    <n v="0.01"/>
    <s v="Breakfast"/>
    <n v="149.0643"/>
    <n v="67.83"/>
  </r>
  <r>
    <s v="O00209"/>
    <x v="9"/>
    <n v="1"/>
    <n v="20.11"/>
    <n v="8"/>
    <x v="1"/>
    <x v="18"/>
    <x v="1"/>
    <n v="0.01"/>
    <s v="Breakfast"/>
    <n v="19.908899999999999"/>
    <n v="8"/>
  </r>
  <r>
    <s v="O00209"/>
    <x v="8"/>
    <n v="2"/>
    <n v="28.43"/>
    <n v="13.89"/>
    <x v="1"/>
    <x v="18"/>
    <x v="1"/>
    <n v="0.01"/>
    <s v="Breakfast"/>
    <n v="56.291399999999996"/>
    <n v="27.78"/>
  </r>
  <r>
    <s v="O00210"/>
    <x v="9"/>
    <n v="1"/>
    <n v="20.11"/>
    <n v="8"/>
    <x v="1"/>
    <x v="55"/>
    <x v="0"/>
    <n v="0.1"/>
    <s v="Dinner"/>
    <n v="18.099"/>
    <n v="8"/>
  </r>
  <r>
    <s v="O00210"/>
    <x v="6"/>
    <n v="2"/>
    <n v="246.09"/>
    <n v="112.08"/>
    <x v="3"/>
    <x v="55"/>
    <x v="0"/>
    <n v="0.1"/>
    <s v="Dinner"/>
    <n v="442.96199999999999"/>
    <n v="224.16"/>
  </r>
  <r>
    <s v="O00210"/>
    <x v="10"/>
    <n v="1"/>
    <n v="22.2"/>
    <n v="9.3800000000000008"/>
    <x v="1"/>
    <x v="55"/>
    <x v="0"/>
    <n v="0.1"/>
    <s v="Dinner"/>
    <n v="19.98"/>
    <n v="9.3800000000000008"/>
  </r>
  <r>
    <s v="O00211"/>
    <x v="14"/>
    <n v="3"/>
    <n v="256.91000000000003"/>
    <n v="121.24"/>
    <x v="3"/>
    <x v="55"/>
    <x v="0"/>
    <n v="0.14000000000000001"/>
    <s v="Dinner"/>
    <n v="662.82780000000002"/>
    <n v="363.71999999999997"/>
  </r>
  <r>
    <s v="O00211"/>
    <x v="7"/>
    <n v="3"/>
    <n v="70.540000000000006"/>
    <n v="35.81"/>
    <x v="0"/>
    <x v="55"/>
    <x v="0"/>
    <n v="0.14000000000000001"/>
    <s v="Dinner"/>
    <n v="181.9932"/>
    <n v="107.43"/>
  </r>
  <r>
    <s v="O00212"/>
    <x v="17"/>
    <n v="1"/>
    <n v="39.950000000000003"/>
    <n v="15.51"/>
    <x v="0"/>
    <x v="28"/>
    <x v="0"/>
    <n v="0.1"/>
    <s v="Dinner"/>
    <n v="35.955000000000005"/>
    <n v="15.51"/>
  </r>
  <r>
    <s v="O00212"/>
    <x v="11"/>
    <n v="1"/>
    <n v="57.07"/>
    <n v="29.14"/>
    <x v="2"/>
    <x v="28"/>
    <x v="0"/>
    <n v="0.1"/>
    <s v="Dinner"/>
    <n v="51.363"/>
    <n v="29.14"/>
  </r>
  <r>
    <s v="O00212"/>
    <x v="8"/>
    <n v="1"/>
    <n v="28.43"/>
    <n v="13.89"/>
    <x v="1"/>
    <x v="28"/>
    <x v="0"/>
    <n v="0.1"/>
    <s v="Dinner"/>
    <n v="25.587"/>
    <n v="13.89"/>
  </r>
  <r>
    <s v="O00212"/>
    <x v="15"/>
    <n v="1"/>
    <n v="227.61"/>
    <n v="96.22"/>
    <x v="3"/>
    <x v="28"/>
    <x v="0"/>
    <n v="0.1"/>
    <s v="Dinner"/>
    <n v="204.84900000000002"/>
    <n v="96.22"/>
  </r>
  <r>
    <s v="O00213"/>
    <x v="18"/>
    <n v="2"/>
    <n v="50.19"/>
    <n v="22.61"/>
    <x v="0"/>
    <x v="18"/>
    <x v="1"/>
    <n v="0"/>
    <s v="Dinner"/>
    <n v="100.38"/>
    <n v="45.22"/>
  </r>
  <r>
    <s v="O00213"/>
    <x v="5"/>
    <n v="3"/>
    <n v="38.06"/>
    <n v="19.55"/>
    <x v="0"/>
    <x v="18"/>
    <x v="1"/>
    <n v="0"/>
    <s v="Dinner"/>
    <n v="114.18"/>
    <n v="58.650000000000006"/>
  </r>
  <r>
    <s v="O00213"/>
    <x v="15"/>
    <n v="1"/>
    <n v="227.61"/>
    <n v="96.22"/>
    <x v="3"/>
    <x v="18"/>
    <x v="1"/>
    <n v="0"/>
    <s v="Dinner"/>
    <n v="227.61"/>
    <n v="96.22"/>
  </r>
  <r>
    <s v="O00214"/>
    <x v="11"/>
    <n v="1"/>
    <n v="57.07"/>
    <n v="29.14"/>
    <x v="2"/>
    <x v="39"/>
    <x v="0"/>
    <n v="0.04"/>
    <s v="Breakfast"/>
    <n v="54.787199999999999"/>
    <n v="29.14"/>
  </r>
  <r>
    <s v="O00214"/>
    <x v="10"/>
    <n v="1"/>
    <n v="22.2"/>
    <n v="9.3800000000000008"/>
    <x v="1"/>
    <x v="39"/>
    <x v="0"/>
    <n v="0.04"/>
    <s v="Breakfast"/>
    <n v="21.311999999999998"/>
    <n v="9.3800000000000008"/>
  </r>
  <r>
    <s v="O00214"/>
    <x v="15"/>
    <n v="3"/>
    <n v="227.61"/>
    <n v="96.22"/>
    <x v="3"/>
    <x v="39"/>
    <x v="0"/>
    <n v="0.04"/>
    <s v="Breakfast"/>
    <n v="655.51679999999999"/>
    <n v="288.65999999999997"/>
  </r>
  <r>
    <s v="O00215"/>
    <x v="18"/>
    <n v="1"/>
    <n v="50.19"/>
    <n v="22.61"/>
    <x v="0"/>
    <x v="25"/>
    <x v="2"/>
    <n v="0.11"/>
    <s v="Lunch"/>
    <n v="44.6691"/>
    <n v="22.61"/>
  </r>
  <r>
    <s v="O00215"/>
    <x v="16"/>
    <n v="1"/>
    <n v="146.4"/>
    <n v="80.92"/>
    <x v="3"/>
    <x v="25"/>
    <x v="2"/>
    <n v="0.11"/>
    <s v="Lunch"/>
    <n v="130.29600000000002"/>
    <n v="80.92"/>
  </r>
  <r>
    <s v="O00215"/>
    <x v="9"/>
    <n v="1"/>
    <n v="20.11"/>
    <n v="8"/>
    <x v="1"/>
    <x v="25"/>
    <x v="2"/>
    <n v="0.11"/>
    <s v="Lunch"/>
    <n v="17.8979"/>
    <n v="8"/>
  </r>
  <r>
    <s v="O00215"/>
    <x v="2"/>
    <n v="2"/>
    <n v="76.55"/>
    <n v="38.229999999999997"/>
    <x v="2"/>
    <x v="25"/>
    <x v="2"/>
    <n v="0.11"/>
    <s v="Lunch"/>
    <n v="136.25899999999999"/>
    <n v="76.459999999999994"/>
  </r>
  <r>
    <s v="O00216"/>
    <x v="9"/>
    <n v="2"/>
    <n v="20.11"/>
    <n v="8"/>
    <x v="1"/>
    <x v="41"/>
    <x v="2"/>
    <n v="0.03"/>
    <s v="Breakfast"/>
    <n v="39.013399999999997"/>
    <n v="16"/>
  </r>
  <r>
    <s v="O00216"/>
    <x v="1"/>
    <n v="2"/>
    <n v="30.34"/>
    <n v="14.18"/>
    <x v="1"/>
    <x v="41"/>
    <x v="2"/>
    <n v="0.03"/>
    <s v="Breakfast"/>
    <n v="58.8596"/>
    <n v="28.36"/>
  </r>
  <r>
    <s v="O00216"/>
    <x v="7"/>
    <n v="1"/>
    <n v="70.540000000000006"/>
    <n v="35.81"/>
    <x v="0"/>
    <x v="41"/>
    <x v="2"/>
    <n v="0.03"/>
    <s v="Breakfast"/>
    <n v="68.4238"/>
    <n v="35.81"/>
  </r>
  <r>
    <s v="O00217"/>
    <x v="4"/>
    <n v="1"/>
    <n v="170.83"/>
    <n v="74.069999999999993"/>
    <x v="3"/>
    <x v="0"/>
    <x v="1"/>
    <n v="0.08"/>
    <s v="Breakfast"/>
    <n v="157.16360000000003"/>
    <n v="74.069999999999993"/>
  </r>
  <r>
    <s v="O00217"/>
    <x v="14"/>
    <n v="1"/>
    <n v="256.91000000000003"/>
    <n v="121.24"/>
    <x v="3"/>
    <x v="0"/>
    <x v="1"/>
    <n v="0.08"/>
    <s v="Breakfast"/>
    <n v="236.35720000000003"/>
    <n v="121.24"/>
  </r>
  <r>
    <s v="O00217"/>
    <x v="17"/>
    <n v="2"/>
    <n v="39.950000000000003"/>
    <n v="15.51"/>
    <x v="0"/>
    <x v="0"/>
    <x v="1"/>
    <n v="0.08"/>
    <s v="Breakfast"/>
    <n v="73.50800000000001"/>
    <n v="31.02"/>
  </r>
  <r>
    <s v="O00217"/>
    <x v="0"/>
    <n v="3"/>
    <n v="52.45"/>
    <n v="25.8"/>
    <x v="0"/>
    <x v="0"/>
    <x v="1"/>
    <n v="0.08"/>
    <s v="Breakfast"/>
    <n v="144.76200000000003"/>
    <n v="77.400000000000006"/>
  </r>
  <r>
    <s v="O00218"/>
    <x v="8"/>
    <n v="1"/>
    <n v="28.43"/>
    <n v="13.89"/>
    <x v="1"/>
    <x v="3"/>
    <x v="0"/>
    <n v="0.09"/>
    <s v="Dinner"/>
    <n v="25.871300000000002"/>
    <n v="13.89"/>
  </r>
  <r>
    <s v="O00219"/>
    <x v="11"/>
    <n v="2"/>
    <n v="57.07"/>
    <n v="29.14"/>
    <x v="2"/>
    <x v="3"/>
    <x v="0"/>
    <n v="0.02"/>
    <s v="Lunch"/>
    <n v="111.85719999999999"/>
    <n v="58.28"/>
  </r>
  <r>
    <s v="O00219"/>
    <x v="15"/>
    <n v="1"/>
    <n v="227.61"/>
    <n v="96.22"/>
    <x v="3"/>
    <x v="3"/>
    <x v="0"/>
    <n v="0.02"/>
    <s v="Lunch"/>
    <n v="223.05780000000001"/>
    <n v="96.22"/>
  </r>
  <r>
    <s v="O00219"/>
    <x v="4"/>
    <n v="2"/>
    <n v="170.83"/>
    <n v="74.069999999999993"/>
    <x v="3"/>
    <x v="3"/>
    <x v="0"/>
    <n v="0.02"/>
    <s v="Lunch"/>
    <n v="334.82679999999999"/>
    <n v="148.13999999999999"/>
  </r>
  <r>
    <s v="O00220"/>
    <x v="2"/>
    <n v="3"/>
    <n v="76.55"/>
    <n v="38.229999999999997"/>
    <x v="2"/>
    <x v="33"/>
    <x v="2"/>
    <n v="0.06"/>
    <s v="Breakfast"/>
    <n v="215.87099999999995"/>
    <n v="114.69"/>
  </r>
  <r>
    <s v="O00220"/>
    <x v="15"/>
    <n v="1"/>
    <n v="227.61"/>
    <n v="96.22"/>
    <x v="3"/>
    <x v="33"/>
    <x v="2"/>
    <n v="0.06"/>
    <s v="Breakfast"/>
    <n v="213.95339999999999"/>
    <n v="96.22"/>
  </r>
  <r>
    <s v="O00220"/>
    <x v="12"/>
    <n v="3"/>
    <n v="54.2"/>
    <n v="21.95"/>
    <x v="2"/>
    <x v="33"/>
    <x v="2"/>
    <n v="0.06"/>
    <s v="Breakfast"/>
    <n v="152.84400000000002"/>
    <n v="65.849999999999994"/>
  </r>
  <r>
    <s v="O00221"/>
    <x v="11"/>
    <n v="1"/>
    <n v="57.07"/>
    <n v="29.14"/>
    <x v="2"/>
    <x v="42"/>
    <x v="1"/>
    <n v="0"/>
    <s v="Breakfast"/>
    <n v="57.07"/>
    <n v="29.14"/>
  </r>
  <r>
    <s v="O00222"/>
    <x v="17"/>
    <n v="1"/>
    <n v="39.950000000000003"/>
    <n v="15.51"/>
    <x v="0"/>
    <x v="36"/>
    <x v="0"/>
    <n v="0.02"/>
    <s v="Dinner"/>
    <n v="39.151000000000003"/>
    <n v="15.51"/>
  </r>
  <r>
    <s v="O00222"/>
    <x v="9"/>
    <n v="2"/>
    <n v="20.11"/>
    <n v="8"/>
    <x v="1"/>
    <x v="36"/>
    <x v="0"/>
    <n v="0.02"/>
    <s v="Dinner"/>
    <n v="39.415599999999998"/>
    <n v="16"/>
  </r>
  <r>
    <s v="O00222"/>
    <x v="1"/>
    <n v="2"/>
    <n v="30.34"/>
    <n v="14.18"/>
    <x v="1"/>
    <x v="36"/>
    <x v="0"/>
    <n v="0.02"/>
    <s v="Dinner"/>
    <n v="59.4664"/>
    <n v="28.36"/>
  </r>
  <r>
    <s v="O00222"/>
    <x v="12"/>
    <n v="3"/>
    <n v="54.2"/>
    <n v="21.95"/>
    <x v="2"/>
    <x v="36"/>
    <x v="0"/>
    <n v="0.02"/>
    <s v="Dinner"/>
    <n v="159.34800000000001"/>
    <n v="65.849999999999994"/>
  </r>
  <r>
    <s v="O00223"/>
    <x v="12"/>
    <n v="2"/>
    <n v="54.2"/>
    <n v="21.95"/>
    <x v="2"/>
    <x v="59"/>
    <x v="1"/>
    <n v="0.05"/>
    <s v="Dinner"/>
    <n v="102.98"/>
    <n v="43.9"/>
  </r>
  <r>
    <s v="O00223"/>
    <x v="10"/>
    <n v="1"/>
    <n v="22.2"/>
    <n v="9.3800000000000008"/>
    <x v="1"/>
    <x v="59"/>
    <x v="1"/>
    <n v="0.05"/>
    <s v="Dinner"/>
    <n v="21.09"/>
    <n v="9.3800000000000008"/>
  </r>
  <r>
    <s v="O00223"/>
    <x v="8"/>
    <n v="2"/>
    <n v="28.43"/>
    <n v="13.89"/>
    <x v="1"/>
    <x v="59"/>
    <x v="1"/>
    <n v="0.05"/>
    <s v="Dinner"/>
    <n v="54.016999999999996"/>
    <n v="27.78"/>
  </r>
  <r>
    <s v="O00224"/>
    <x v="0"/>
    <n v="3"/>
    <n v="52.45"/>
    <n v="25.8"/>
    <x v="0"/>
    <x v="2"/>
    <x v="0"/>
    <n v="0.01"/>
    <s v="Breakfast"/>
    <n v="155.77650000000003"/>
    <n v="77.400000000000006"/>
  </r>
  <r>
    <s v="O00225"/>
    <x v="7"/>
    <n v="1"/>
    <n v="70.540000000000006"/>
    <n v="35.81"/>
    <x v="0"/>
    <x v="6"/>
    <x v="1"/>
    <n v="0.13"/>
    <s v="Breakfast"/>
    <n v="61.369800000000005"/>
    <n v="35.81"/>
  </r>
  <r>
    <s v="O00225"/>
    <x v="8"/>
    <n v="2"/>
    <n v="28.43"/>
    <n v="13.89"/>
    <x v="1"/>
    <x v="6"/>
    <x v="1"/>
    <n v="0.13"/>
    <s v="Breakfast"/>
    <n v="49.468199999999996"/>
    <n v="27.78"/>
  </r>
  <r>
    <s v="O00225"/>
    <x v="14"/>
    <n v="3"/>
    <n v="256.91000000000003"/>
    <n v="121.24"/>
    <x v="3"/>
    <x v="6"/>
    <x v="1"/>
    <n v="0.13"/>
    <s v="Breakfast"/>
    <n v="670.53510000000006"/>
    <n v="363.71999999999997"/>
  </r>
  <r>
    <s v="O00225"/>
    <x v="1"/>
    <n v="2"/>
    <n v="30.34"/>
    <n v="14.18"/>
    <x v="1"/>
    <x v="6"/>
    <x v="1"/>
    <n v="0.13"/>
    <s v="Breakfast"/>
    <n v="52.791600000000003"/>
    <n v="28.36"/>
  </r>
  <r>
    <s v="O00226"/>
    <x v="1"/>
    <n v="1"/>
    <n v="30.34"/>
    <n v="14.18"/>
    <x v="1"/>
    <x v="4"/>
    <x v="0"/>
    <n v="0"/>
    <s v="Dinner"/>
    <n v="30.34"/>
    <n v="14.18"/>
  </r>
  <r>
    <s v="O00226"/>
    <x v="16"/>
    <n v="1"/>
    <n v="146.4"/>
    <n v="80.92"/>
    <x v="3"/>
    <x v="4"/>
    <x v="0"/>
    <n v="0"/>
    <s v="Dinner"/>
    <n v="146.4"/>
    <n v="80.92"/>
  </r>
  <r>
    <s v="O00226"/>
    <x v="2"/>
    <n v="2"/>
    <n v="76.55"/>
    <n v="38.229999999999997"/>
    <x v="2"/>
    <x v="4"/>
    <x v="0"/>
    <n v="0"/>
    <s v="Dinner"/>
    <n v="153.1"/>
    <n v="76.459999999999994"/>
  </r>
  <r>
    <s v="O00227"/>
    <x v="4"/>
    <n v="2"/>
    <n v="170.83"/>
    <n v="74.069999999999993"/>
    <x v="3"/>
    <x v="46"/>
    <x v="1"/>
    <n v="0.04"/>
    <s v="Dinner"/>
    <n v="327.99360000000001"/>
    <n v="148.13999999999999"/>
  </r>
  <r>
    <s v="O00227"/>
    <x v="12"/>
    <n v="1"/>
    <n v="54.2"/>
    <n v="21.95"/>
    <x v="2"/>
    <x v="46"/>
    <x v="1"/>
    <n v="0.04"/>
    <s v="Dinner"/>
    <n v="52.032000000000004"/>
    <n v="21.95"/>
  </r>
  <r>
    <s v="O00228"/>
    <x v="12"/>
    <n v="2"/>
    <n v="54.2"/>
    <n v="21.95"/>
    <x v="2"/>
    <x v="33"/>
    <x v="2"/>
    <n v="7.0000000000000007E-2"/>
    <s v="Breakfast"/>
    <n v="100.812"/>
    <n v="43.9"/>
  </r>
  <r>
    <s v="O00229"/>
    <x v="6"/>
    <n v="1"/>
    <n v="246.09"/>
    <n v="112.08"/>
    <x v="3"/>
    <x v="29"/>
    <x v="2"/>
    <n v="0.12"/>
    <s v="Breakfast"/>
    <n v="216.5592"/>
    <n v="112.08"/>
  </r>
  <r>
    <s v="O00229"/>
    <x v="12"/>
    <n v="3"/>
    <n v="54.2"/>
    <n v="21.95"/>
    <x v="2"/>
    <x v="29"/>
    <x v="2"/>
    <n v="0.12"/>
    <s v="Breakfast"/>
    <n v="143.08800000000002"/>
    <n v="65.849999999999994"/>
  </r>
  <r>
    <s v="O00229"/>
    <x v="7"/>
    <n v="1"/>
    <n v="70.540000000000006"/>
    <n v="35.81"/>
    <x v="0"/>
    <x v="29"/>
    <x v="2"/>
    <n v="0.12"/>
    <s v="Breakfast"/>
    <n v="62.075200000000002"/>
    <n v="35.81"/>
  </r>
  <r>
    <s v="O00229"/>
    <x v="5"/>
    <n v="1"/>
    <n v="38.06"/>
    <n v="19.55"/>
    <x v="0"/>
    <x v="29"/>
    <x v="2"/>
    <n v="0.12"/>
    <s v="Breakfast"/>
    <n v="33.492800000000003"/>
    <n v="19.55"/>
  </r>
  <r>
    <s v="O00230"/>
    <x v="4"/>
    <n v="1"/>
    <n v="170.83"/>
    <n v="74.069999999999993"/>
    <x v="3"/>
    <x v="21"/>
    <x v="1"/>
    <n v="0"/>
    <s v="Dinner"/>
    <n v="170.83"/>
    <n v="74.069999999999993"/>
  </r>
  <r>
    <s v="O00230"/>
    <x v="8"/>
    <n v="1"/>
    <n v="28.43"/>
    <n v="13.89"/>
    <x v="1"/>
    <x v="21"/>
    <x v="1"/>
    <n v="0"/>
    <s v="Dinner"/>
    <n v="28.43"/>
    <n v="13.89"/>
  </r>
  <r>
    <s v="O00231"/>
    <x v="13"/>
    <n v="1"/>
    <n v="116.8"/>
    <n v="48.97"/>
    <x v="2"/>
    <x v="21"/>
    <x v="2"/>
    <n v="0.11"/>
    <s v="Dinner"/>
    <n v="103.952"/>
    <n v="48.97"/>
  </r>
  <r>
    <s v="O00231"/>
    <x v="0"/>
    <n v="2"/>
    <n v="52.45"/>
    <n v="25.8"/>
    <x v="0"/>
    <x v="21"/>
    <x v="2"/>
    <n v="0.11"/>
    <s v="Dinner"/>
    <n v="93.361000000000004"/>
    <n v="51.6"/>
  </r>
  <r>
    <s v="O00231"/>
    <x v="3"/>
    <n v="2"/>
    <n v="32.979999999999997"/>
    <n v="11.84"/>
    <x v="1"/>
    <x v="21"/>
    <x v="2"/>
    <n v="0.11"/>
    <s v="Dinner"/>
    <n v="58.704399999999993"/>
    <n v="23.68"/>
  </r>
  <r>
    <s v="O00231"/>
    <x v="2"/>
    <n v="3"/>
    <n v="76.55"/>
    <n v="38.229999999999997"/>
    <x v="2"/>
    <x v="21"/>
    <x v="2"/>
    <n v="0.11"/>
    <s v="Dinner"/>
    <n v="204.38849999999999"/>
    <n v="114.69"/>
  </r>
  <r>
    <s v="O00232"/>
    <x v="10"/>
    <n v="1"/>
    <n v="22.2"/>
    <n v="9.3800000000000008"/>
    <x v="1"/>
    <x v="9"/>
    <x v="0"/>
    <n v="0.06"/>
    <s v="Breakfast"/>
    <n v="20.867999999999999"/>
    <n v="9.3800000000000008"/>
  </r>
  <r>
    <s v="O00232"/>
    <x v="6"/>
    <n v="2"/>
    <n v="246.09"/>
    <n v="112.08"/>
    <x v="3"/>
    <x v="9"/>
    <x v="0"/>
    <n v="0.06"/>
    <s v="Breakfast"/>
    <n v="462.64920000000001"/>
    <n v="224.16"/>
  </r>
  <r>
    <s v="O00233"/>
    <x v="18"/>
    <n v="2"/>
    <n v="50.19"/>
    <n v="22.61"/>
    <x v="0"/>
    <x v="40"/>
    <x v="1"/>
    <n v="0.02"/>
    <s v="Lunch"/>
    <n v="98.372399999999999"/>
    <n v="45.22"/>
  </r>
  <r>
    <s v="O00233"/>
    <x v="1"/>
    <n v="1"/>
    <n v="30.34"/>
    <n v="14.18"/>
    <x v="1"/>
    <x v="40"/>
    <x v="1"/>
    <n v="0.02"/>
    <s v="Lunch"/>
    <n v="29.7332"/>
    <n v="14.18"/>
  </r>
  <r>
    <s v="O00234"/>
    <x v="17"/>
    <n v="1"/>
    <n v="39.950000000000003"/>
    <n v="15.51"/>
    <x v="0"/>
    <x v="17"/>
    <x v="0"/>
    <n v="0.08"/>
    <s v="Breakfast"/>
    <n v="36.754000000000005"/>
    <n v="15.51"/>
  </r>
  <r>
    <s v="O00235"/>
    <x v="16"/>
    <n v="1"/>
    <n v="146.4"/>
    <n v="80.92"/>
    <x v="3"/>
    <x v="43"/>
    <x v="1"/>
    <n v="7.0000000000000007E-2"/>
    <s v="Dinner"/>
    <n v="136.15199999999999"/>
    <n v="80.92"/>
  </r>
  <r>
    <s v="O00236"/>
    <x v="7"/>
    <n v="2"/>
    <n v="70.540000000000006"/>
    <n v="35.81"/>
    <x v="0"/>
    <x v="4"/>
    <x v="1"/>
    <n v="0.04"/>
    <s v="Breakfast"/>
    <n v="135.43680000000001"/>
    <n v="71.62"/>
  </r>
  <r>
    <s v="O00236"/>
    <x v="11"/>
    <n v="1"/>
    <n v="57.07"/>
    <n v="29.14"/>
    <x v="2"/>
    <x v="4"/>
    <x v="1"/>
    <n v="0.04"/>
    <s v="Breakfast"/>
    <n v="54.787199999999999"/>
    <n v="29.14"/>
  </r>
  <r>
    <s v="O00237"/>
    <x v="17"/>
    <n v="2"/>
    <n v="39.950000000000003"/>
    <n v="15.51"/>
    <x v="0"/>
    <x v="51"/>
    <x v="0"/>
    <n v="0.06"/>
    <s v="Dinner"/>
    <n v="75.105999999999995"/>
    <n v="31.02"/>
  </r>
  <r>
    <s v="O00238"/>
    <x v="2"/>
    <n v="2"/>
    <n v="76.55"/>
    <n v="38.229999999999997"/>
    <x v="2"/>
    <x v="49"/>
    <x v="0"/>
    <n v="0.04"/>
    <s v="Lunch"/>
    <n v="146.976"/>
    <n v="76.459999999999994"/>
  </r>
  <r>
    <s v="O00238"/>
    <x v="10"/>
    <n v="1"/>
    <n v="22.2"/>
    <n v="9.3800000000000008"/>
    <x v="1"/>
    <x v="49"/>
    <x v="0"/>
    <n v="0.04"/>
    <s v="Lunch"/>
    <n v="21.311999999999998"/>
    <n v="9.3800000000000008"/>
  </r>
  <r>
    <s v="O00238"/>
    <x v="7"/>
    <n v="2"/>
    <n v="70.540000000000006"/>
    <n v="35.81"/>
    <x v="0"/>
    <x v="49"/>
    <x v="0"/>
    <n v="0.04"/>
    <s v="Lunch"/>
    <n v="135.43680000000001"/>
    <n v="71.62"/>
  </r>
  <r>
    <s v="O00238"/>
    <x v="8"/>
    <n v="2"/>
    <n v="28.43"/>
    <n v="13.89"/>
    <x v="1"/>
    <x v="49"/>
    <x v="0"/>
    <n v="0.04"/>
    <s v="Lunch"/>
    <n v="54.585599999999999"/>
    <n v="27.78"/>
  </r>
  <r>
    <s v="O00239"/>
    <x v="9"/>
    <n v="3"/>
    <n v="20.11"/>
    <n v="8"/>
    <x v="1"/>
    <x v="30"/>
    <x v="0"/>
    <n v="0.06"/>
    <s v="Dinner"/>
    <n v="56.710199999999993"/>
    <n v="24"/>
  </r>
  <r>
    <s v="O00239"/>
    <x v="2"/>
    <n v="1"/>
    <n v="76.55"/>
    <n v="38.229999999999997"/>
    <x v="2"/>
    <x v="30"/>
    <x v="0"/>
    <n v="0.06"/>
    <s v="Dinner"/>
    <n v="71.956999999999994"/>
    <n v="38.229999999999997"/>
  </r>
  <r>
    <s v="O00239"/>
    <x v="16"/>
    <n v="2"/>
    <n v="146.4"/>
    <n v="80.92"/>
    <x v="3"/>
    <x v="30"/>
    <x v="0"/>
    <n v="0.06"/>
    <s v="Dinner"/>
    <n v="275.23199999999997"/>
    <n v="161.84"/>
  </r>
  <r>
    <s v="O00240"/>
    <x v="7"/>
    <n v="3"/>
    <n v="70.540000000000006"/>
    <n v="35.81"/>
    <x v="0"/>
    <x v="49"/>
    <x v="1"/>
    <n v="0.09"/>
    <s v="Dinner"/>
    <n v="192.57420000000002"/>
    <n v="107.43"/>
  </r>
  <r>
    <s v="O00240"/>
    <x v="4"/>
    <n v="2"/>
    <n v="170.83"/>
    <n v="74.069999999999993"/>
    <x v="3"/>
    <x v="49"/>
    <x v="1"/>
    <n v="0.09"/>
    <s v="Dinner"/>
    <n v="310.91060000000004"/>
    <n v="148.13999999999999"/>
  </r>
  <r>
    <s v="O00240"/>
    <x v="2"/>
    <n v="3"/>
    <n v="76.55"/>
    <n v="38.229999999999997"/>
    <x v="2"/>
    <x v="49"/>
    <x v="1"/>
    <n v="0.09"/>
    <s v="Dinner"/>
    <n v="208.98149999999998"/>
    <n v="114.69"/>
  </r>
  <r>
    <s v="O00240"/>
    <x v="14"/>
    <n v="2"/>
    <n v="256.91000000000003"/>
    <n v="121.24"/>
    <x v="3"/>
    <x v="49"/>
    <x v="1"/>
    <n v="0.09"/>
    <s v="Dinner"/>
    <n v="467.57620000000009"/>
    <n v="242.48"/>
  </r>
  <r>
    <s v="O00241"/>
    <x v="1"/>
    <n v="1"/>
    <n v="30.34"/>
    <n v="14.18"/>
    <x v="1"/>
    <x v="17"/>
    <x v="0"/>
    <n v="0.12"/>
    <s v="Breakfast"/>
    <n v="26.699200000000001"/>
    <n v="14.18"/>
  </r>
  <r>
    <s v="O00241"/>
    <x v="13"/>
    <n v="1"/>
    <n v="116.8"/>
    <n v="48.97"/>
    <x v="2"/>
    <x v="17"/>
    <x v="0"/>
    <n v="0.12"/>
    <s v="Breakfast"/>
    <n v="102.78399999999999"/>
    <n v="48.97"/>
  </r>
  <r>
    <s v="O00242"/>
    <x v="5"/>
    <n v="1"/>
    <n v="38.06"/>
    <n v="19.55"/>
    <x v="0"/>
    <x v="25"/>
    <x v="0"/>
    <n v="0.01"/>
    <s v="Breakfast"/>
    <n v="37.679400000000001"/>
    <n v="19.55"/>
  </r>
  <r>
    <s v="O00242"/>
    <x v="14"/>
    <n v="2"/>
    <n v="256.91000000000003"/>
    <n v="121.24"/>
    <x v="3"/>
    <x v="25"/>
    <x v="0"/>
    <n v="0.01"/>
    <s v="Breakfast"/>
    <n v="508.68180000000007"/>
    <n v="242.48"/>
  </r>
  <r>
    <s v="O00242"/>
    <x v="17"/>
    <n v="2"/>
    <n v="39.950000000000003"/>
    <n v="15.51"/>
    <x v="0"/>
    <x v="25"/>
    <x v="0"/>
    <n v="0.01"/>
    <s v="Breakfast"/>
    <n v="79.100999999999999"/>
    <n v="31.02"/>
  </r>
  <r>
    <s v="O00242"/>
    <x v="6"/>
    <n v="2"/>
    <n v="246.09"/>
    <n v="112.08"/>
    <x v="3"/>
    <x v="25"/>
    <x v="0"/>
    <n v="0.01"/>
    <s v="Breakfast"/>
    <n v="487.25819999999999"/>
    <n v="224.16"/>
  </r>
  <r>
    <s v="O00243"/>
    <x v="11"/>
    <n v="2"/>
    <n v="57.07"/>
    <n v="29.14"/>
    <x v="2"/>
    <x v="35"/>
    <x v="1"/>
    <n v="0.15"/>
    <s v="Breakfast"/>
    <n v="97.018999999999991"/>
    <n v="58.28"/>
  </r>
  <r>
    <s v="O00243"/>
    <x v="13"/>
    <n v="1"/>
    <n v="116.8"/>
    <n v="48.97"/>
    <x v="2"/>
    <x v="35"/>
    <x v="1"/>
    <n v="0.15"/>
    <s v="Breakfast"/>
    <n v="99.28"/>
    <n v="48.97"/>
  </r>
  <r>
    <s v="O00244"/>
    <x v="9"/>
    <n v="1"/>
    <n v="20.11"/>
    <n v="8"/>
    <x v="1"/>
    <x v="17"/>
    <x v="1"/>
    <n v="0"/>
    <s v="Breakfast"/>
    <n v="20.11"/>
    <n v="8"/>
  </r>
  <r>
    <s v="O00244"/>
    <x v="17"/>
    <n v="3"/>
    <n v="39.950000000000003"/>
    <n v="15.51"/>
    <x v="0"/>
    <x v="17"/>
    <x v="1"/>
    <n v="0"/>
    <s v="Breakfast"/>
    <n v="119.85000000000001"/>
    <n v="46.53"/>
  </r>
  <r>
    <s v="O00244"/>
    <x v="0"/>
    <n v="1"/>
    <n v="52.45"/>
    <n v="25.8"/>
    <x v="0"/>
    <x v="17"/>
    <x v="1"/>
    <n v="0"/>
    <s v="Breakfast"/>
    <n v="52.45"/>
    <n v="25.8"/>
  </r>
  <r>
    <s v="O00244"/>
    <x v="15"/>
    <n v="1"/>
    <n v="227.61"/>
    <n v="96.22"/>
    <x v="3"/>
    <x v="17"/>
    <x v="1"/>
    <n v="0"/>
    <s v="Breakfast"/>
    <n v="227.61"/>
    <n v="96.22"/>
  </r>
  <r>
    <s v="O00245"/>
    <x v="15"/>
    <n v="1"/>
    <n v="227.61"/>
    <n v="96.22"/>
    <x v="3"/>
    <x v="16"/>
    <x v="1"/>
    <n v="0.05"/>
    <s v="Lunch"/>
    <n v="216.2295"/>
    <n v="96.22"/>
  </r>
  <r>
    <s v="O00245"/>
    <x v="18"/>
    <n v="1"/>
    <n v="50.19"/>
    <n v="22.61"/>
    <x v="0"/>
    <x v="16"/>
    <x v="1"/>
    <n v="0.05"/>
    <s v="Lunch"/>
    <n v="47.680499999999995"/>
    <n v="22.61"/>
  </r>
  <r>
    <s v="O00245"/>
    <x v="16"/>
    <n v="2"/>
    <n v="146.4"/>
    <n v="80.92"/>
    <x v="3"/>
    <x v="16"/>
    <x v="1"/>
    <n v="0.05"/>
    <s v="Lunch"/>
    <n v="278.16000000000003"/>
    <n v="161.84"/>
  </r>
  <r>
    <s v="O00245"/>
    <x v="0"/>
    <n v="1"/>
    <n v="52.45"/>
    <n v="25.8"/>
    <x v="0"/>
    <x v="16"/>
    <x v="1"/>
    <n v="0.05"/>
    <s v="Lunch"/>
    <n v="49.827500000000001"/>
    <n v="25.8"/>
  </r>
  <r>
    <s v="O00246"/>
    <x v="7"/>
    <n v="3"/>
    <n v="70.540000000000006"/>
    <n v="35.81"/>
    <x v="0"/>
    <x v="47"/>
    <x v="2"/>
    <n v="0.08"/>
    <s v="Lunch"/>
    <n v="194.69040000000001"/>
    <n v="107.43"/>
  </r>
  <r>
    <s v="O00247"/>
    <x v="4"/>
    <n v="2"/>
    <n v="170.83"/>
    <n v="74.069999999999993"/>
    <x v="3"/>
    <x v="2"/>
    <x v="2"/>
    <n v="7.0000000000000007E-2"/>
    <s v="Breakfast"/>
    <n v="317.74380000000002"/>
    <n v="148.13999999999999"/>
  </r>
  <r>
    <s v="O00247"/>
    <x v="6"/>
    <n v="2"/>
    <n v="246.09"/>
    <n v="112.08"/>
    <x v="3"/>
    <x v="2"/>
    <x v="2"/>
    <n v="7.0000000000000007E-2"/>
    <s v="Breakfast"/>
    <n v="457.72739999999999"/>
    <n v="224.16"/>
  </r>
  <r>
    <s v="O00248"/>
    <x v="17"/>
    <n v="1"/>
    <n v="39.950000000000003"/>
    <n v="15.51"/>
    <x v="0"/>
    <x v="47"/>
    <x v="2"/>
    <n v="0.04"/>
    <s v="Breakfast"/>
    <n v="38.352000000000004"/>
    <n v="15.51"/>
  </r>
  <r>
    <s v="O00248"/>
    <x v="6"/>
    <n v="1"/>
    <n v="246.09"/>
    <n v="112.08"/>
    <x v="3"/>
    <x v="47"/>
    <x v="2"/>
    <n v="0.04"/>
    <s v="Breakfast"/>
    <n v="236.24639999999999"/>
    <n v="112.08"/>
  </r>
  <r>
    <s v="O00249"/>
    <x v="4"/>
    <n v="2"/>
    <n v="170.83"/>
    <n v="74.069999999999993"/>
    <x v="3"/>
    <x v="18"/>
    <x v="1"/>
    <n v="0.05"/>
    <s v="Dinner"/>
    <n v="324.577"/>
    <n v="148.13999999999999"/>
  </r>
  <r>
    <s v="O00249"/>
    <x v="6"/>
    <n v="1"/>
    <n v="246.09"/>
    <n v="112.08"/>
    <x v="3"/>
    <x v="18"/>
    <x v="1"/>
    <n v="0.05"/>
    <s v="Dinner"/>
    <n v="233.78549999999998"/>
    <n v="112.08"/>
  </r>
  <r>
    <s v="O00249"/>
    <x v="11"/>
    <n v="1"/>
    <n v="57.07"/>
    <n v="29.14"/>
    <x v="2"/>
    <x v="18"/>
    <x v="1"/>
    <n v="0.05"/>
    <s v="Dinner"/>
    <n v="54.216499999999996"/>
    <n v="29.14"/>
  </r>
  <r>
    <s v="O00250"/>
    <x v="9"/>
    <n v="3"/>
    <n v="20.11"/>
    <n v="8"/>
    <x v="1"/>
    <x v="31"/>
    <x v="0"/>
    <n v="0.04"/>
    <s v="Lunch"/>
    <n v="57.916799999999995"/>
    <n v="24"/>
  </r>
  <r>
    <s v="O00250"/>
    <x v="15"/>
    <n v="2"/>
    <n v="227.61"/>
    <n v="96.22"/>
    <x v="3"/>
    <x v="31"/>
    <x v="0"/>
    <n v="0.04"/>
    <s v="Lunch"/>
    <n v="437.01120000000003"/>
    <n v="192.44"/>
  </r>
  <r>
    <s v="O00250"/>
    <x v="11"/>
    <n v="2"/>
    <n v="57.07"/>
    <n v="29.14"/>
    <x v="2"/>
    <x v="31"/>
    <x v="0"/>
    <n v="0.04"/>
    <s v="Lunch"/>
    <n v="109.5744"/>
    <n v="58.28"/>
  </r>
  <r>
    <s v="O00250"/>
    <x v="6"/>
    <n v="2"/>
    <n v="246.09"/>
    <n v="112.08"/>
    <x v="3"/>
    <x v="31"/>
    <x v="0"/>
    <n v="0.04"/>
    <s v="Lunch"/>
    <n v="472.49279999999999"/>
    <n v="224.16"/>
  </r>
  <r>
    <s v="O00251"/>
    <x v="15"/>
    <n v="3"/>
    <n v="227.61"/>
    <n v="96.22"/>
    <x v="3"/>
    <x v="56"/>
    <x v="0"/>
    <n v="0.04"/>
    <s v="Breakfast"/>
    <n v="655.51679999999999"/>
    <n v="288.65999999999997"/>
  </r>
  <r>
    <s v="O00251"/>
    <x v="18"/>
    <n v="1"/>
    <n v="50.19"/>
    <n v="22.61"/>
    <x v="0"/>
    <x v="56"/>
    <x v="0"/>
    <n v="0.04"/>
    <s v="Breakfast"/>
    <n v="48.182399999999994"/>
    <n v="22.61"/>
  </r>
  <r>
    <s v="O00251"/>
    <x v="16"/>
    <n v="2"/>
    <n v="146.4"/>
    <n v="80.92"/>
    <x v="3"/>
    <x v="56"/>
    <x v="0"/>
    <n v="0.04"/>
    <s v="Breakfast"/>
    <n v="281.08800000000002"/>
    <n v="161.84"/>
  </r>
  <r>
    <s v="O00251"/>
    <x v="14"/>
    <n v="2"/>
    <n v="256.91000000000003"/>
    <n v="121.24"/>
    <x v="3"/>
    <x v="56"/>
    <x v="0"/>
    <n v="0.04"/>
    <s v="Breakfast"/>
    <n v="493.2672"/>
    <n v="242.48"/>
  </r>
  <r>
    <s v="O00252"/>
    <x v="5"/>
    <n v="2"/>
    <n v="38.06"/>
    <n v="19.55"/>
    <x v="0"/>
    <x v="11"/>
    <x v="0"/>
    <n v="0.09"/>
    <s v="Breakfast"/>
    <n v="69.269200000000012"/>
    <n v="39.1"/>
  </r>
  <r>
    <s v="O00252"/>
    <x v="14"/>
    <n v="1"/>
    <n v="256.91000000000003"/>
    <n v="121.24"/>
    <x v="3"/>
    <x v="11"/>
    <x v="0"/>
    <n v="0.09"/>
    <s v="Breakfast"/>
    <n v="233.78810000000004"/>
    <n v="121.24"/>
  </r>
  <r>
    <s v="O00252"/>
    <x v="15"/>
    <n v="3"/>
    <n v="227.61"/>
    <n v="96.22"/>
    <x v="3"/>
    <x v="11"/>
    <x v="0"/>
    <n v="0.09"/>
    <s v="Breakfast"/>
    <n v="621.37530000000004"/>
    <n v="288.65999999999997"/>
  </r>
  <r>
    <s v="O00253"/>
    <x v="15"/>
    <n v="1"/>
    <n v="227.61"/>
    <n v="96.22"/>
    <x v="3"/>
    <x v="46"/>
    <x v="2"/>
    <n v="7.0000000000000007E-2"/>
    <s v="Breakfast"/>
    <n v="211.6773"/>
    <n v="96.22"/>
  </r>
  <r>
    <s v="O00253"/>
    <x v="0"/>
    <n v="1"/>
    <n v="52.45"/>
    <n v="25.8"/>
    <x v="0"/>
    <x v="46"/>
    <x v="2"/>
    <n v="7.0000000000000007E-2"/>
    <s v="Breakfast"/>
    <n v="48.778500000000001"/>
    <n v="25.8"/>
  </r>
  <r>
    <s v="O00254"/>
    <x v="7"/>
    <n v="2"/>
    <n v="70.540000000000006"/>
    <n v="35.81"/>
    <x v="0"/>
    <x v="25"/>
    <x v="1"/>
    <n v="0.03"/>
    <s v="Breakfast"/>
    <n v="136.8476"/>
    <n v="71.62"/>
  </r>
  <r>
    <s v="O00254"/>
    <x v="5"/>
    <n v="2"/>
    <n v="38.06"/>
    <n v="19.55"/>
    <x v="0"/>
    <x v="25"/>
    <x v="1"/>
    <n v="0.03"/>
    <s v="Breakfast"/>
    <n v="73.836399999999998"/>
    <n v="39.1"/>
  </r>
  <r>
    <s v="O00254"/>
    <x v="10"/>
    <n v="2"/>
    <n v="22.2"/>
    <n v="9.3800000000000008"/>
    <x v="1"/>
    <x v="25"/>
    <x v="1"/>
    <n v="0.03"/>
    <s v="Breakfast"/>
    <n v="43.067999999999998"/>
    <n v="18.760000000000002"/>
  </r>
  <r>
    <s v="O00254"/>
    <x v="15"/>
    <n v="1"/>
    <n v="227.61"/>
    <n v="96.22"/>
    <x v="3"/>
    <x v="25"/>
    <x v="1"/>
    <n v="0.03"/>
    <s v="Breakfast"/>
    <n v="220.7817"/>
    <n v="96.22"/>
  </r>
  <r>
    <s v="O00255"/>
    <x v="17"/>
    <n v="2"/>
    <n v="39.950000000000003"/>
    <n v="15.51"/>
    <x v="0"/>
    <x v="18"/>
    <x v="0"/>
    <n v="0.1"/>
    <s v="Dinner"/>
    <n v="71.910000000000011"/>
    <n v="31.02"/>
  </r>
  <r>
    <s v="O00255"/>
    <x v="15"/>
    <n v="1"/>
    <n v="227.61"/>
    <n v="96.22"/>
    <x v="3"/>
    <x v="18"/>
    <x v="0"/>
    <n v="0.1"/>
    <s v="Dinner"/>
    <n v="204.84900000000002"/>
    <n v="96.22"/>
  </r>
  <r>
    <s v="O00255"/>
    <x v="14"/>
    <n v="1"/>
    <n v="256.91000000000003"/>
    <n v="121.24"/>
    <x v="3"/>
    <x v="18"/>
    <x v="0"/>
    <n v="0.1"/>
    <s v="Dinner"/>
    <n v="231.21900000000002"/>
    <n v="121.24"/>
  </r>
  <r>
    <s v="O00256"/>
    <x v="10"/>
    <n v="1"/>
    <n v="22.2"/>
    <n v="9.3800000000000008"/>
    <x v="1"/>
    <x v="45"/>
    <x v="0"/>
    <n v="7.0000000000000007E-2"/>
    <s v="Dinner"/>
    <n v="20.645999999999997"/>
    <n v="9.3800000000000008"/>
  </r>
  <r>
    <s v="O00256"/>
    <x v="0"/>
    <n v="1"/>
    <n v="52.45"/>
    <n v="25.8"/>
    <x v="0"/>
    <x v="45"/>
    <x v="0"/>
    <n v="7.0000000000000007E-2"/>
    <s v="Dinner"/>
    <n v="48.778500000000001"/>
    <n v="25.8"/>
  </r>
  <r>
    <s v="O00256"/>
    <x v="16"/>
    <n v="2"/>
    <n v="146.4"/>
    <n v="80.92"/>
    <x v="3"/>
    <x v="45"/>
    <x v="0"/>
    <n v="7.0000000000000007E-2"/>
    <s v="Dinner"/>
    <n v="272.30399999999997"/>
    <n v="161.84"/>
  </r>
  <r>
    <s v="O00257"/>
    <x v="11"/>
    <n v="1"/>
    <n v="57.07"/>
    <n v="29.14"/>
    <x v="2"/>
    <x v="26"/>
    <x v="2"/>
    <n v="0.09"/>
    <s v="Breakfast"/>
    <n v="51.933700000000002"/>
    <n v="29.14"/>
  </r>
  <r>
    <s v="O00257"/>
    <x v="18"/>
    <n v="1"/>
    <n v="50.19"/>
    <n v="22.61"/>
    <x v="0"/>
    <x v="26"/>
    <x v="2"/>
    <n v="0.09"/>
    <s v="Breakfast"/>
    <n v="45.672899999999998"/>
    <n v="22.61"/>
  </r>
  <r>
    <s v="O00257"/>
    <x v="10"/>
    <n v="3"/>
    <n v="22.2"/>
    <n v="9.3800000000000008"/>
    <x v="1"/>
    <x v="26"/>
    <x v="2"/>
    <n v="0.09"/>
    <s v="Breakfast"/>
    <n v="60.605999999999995"/>
    <n v="28.14"/>
  </r>
  <r>
    <s v="O00258"/>
    <x v="3"/>
    <n v="2"/>
    <n v="32.979999999999997"/>
    <n v="11.84"/>
    <x v="1"/>
    <x v="22"/>
    <x v="1"/>
    <n v="0.09"/>
    <s v="Breakfast"/>
    <n v="60.023599999999995"/>
    <n v="23.68"/>
  </r>
  <r>
    <s v="O00258"/>
    <x v="7"/>
    <n v="3"/>
    <n v="70.540000000000006"/>
    <n v="35.81"/>
    <x v="0"/>
    <x v="22"/>
    <x v="1"/>
    <n v="0.09"/>
    <s v="Breakfast"/>
    <n v="192.57420000000002"/>
    <n v="107.43"/>
  </r>
  <r>
    <s v="O00258"/>
    <x v="8"/>
    <n v="1"/>
    <n v="28.43"/>
    <n v="13.89"/>
    <x v="1"/>
    <x v="22"/>
    <x v="1"/>
    <n v="0.09"/>
    <s v="Breakfast"/>
    <n v="25.871300000000002"/>
    <n v="13.89"/>
  </r>
  <r>
    <s v="O00258"/>
    <x v="16"/>
    <n v="2"/>
    <n v="146.4"/>
    <n v="80.92"/>
    <x v="3"/>
    <x v="22"/>
    <x v="1"/>
    <n v="0.09"/>
    <s v="Breakfast"/>
    <n v="266.44800000000004"/>
    <n v="161.84"/>
  </r>
  <r>
    <s v="O00259"/>
    <x v="6"/>
    <n v="1"/>
    <n v="246.09"/>
    <n v="112.08"/>
    <x v="3"/>
    <x v="37"/>
    <x v="0"/>
    <n v="0.03"/>
    <s v="Breakfast"/>
    <n v="238.7073"/>
    <n v="112.08"/>
  </r>
  <r>
    <s v="O00259"/>
    <x v="7"/>
    <n v="2"/>
    <n v="70.540000000000006"/>
    <n v="35.81"/>
    <x v="0"/>
    <x v="37"/>
    <x v="0"/>
    <n v="0.03"/>
    <s v="Breakfast"/>
    <n v="136.8476"/>
    <n v="71.62"/>
  </r>
  <r>
    <s v="O00260"/>
    <x v="15"/>
    <n v="1"/>
    <n v="227.61"/>
    <n v="96.22"/>
    <x v="3"/>
    <x v="26"/>
    <x v="2"/>
    <n v="0.04"/>
    <s v="Breakfast"/>
    <n v="218.50560000000002"/>
    <n v="96.22"/>
  </r>
  <r>
    <s v="O00260"/>
    <x v="16"/>
    <n v="2"/>
    <n v="146.4"/>
    <n v="80.92"/>
    <x v="3"/>
    <x v="26"/>
    <x v="2"/>
    <n v="0.04"/>
    <s v="Breakfast"/>
    <n v="281.08800000000002"/>
    <n v="161.84"/>
  </r>
  <r>
    <s v="O00261"/>
    <x v="8"/>
    <n v="2"/>
    <n v="28.43"/>
    <n v="13.89"/>
    <x v="1"/>
    <x v="47"/>
    <x v="1"/>
    <n v="0.09"/>
    <s v="Dinner"/>
    <n v="51.742600000000003"/>
    <n v="27.78"/>
  </r>
  <r>
    <s v="O00261"/>
    <x v="0"/>
    <n v="1"/>
    <n v="52.45"/>
    <n v="25.8"/>
    <x v="0"/>
    <x v="47"/>
    <x v="1"/>
    <n v="0.09"/>
    <s v="Dinner"/>
    <n v="47.729500000000002"/>
    <n v="25.8"/>
  </r>
  <r>
    <s v="O00261"/>
    <x v="16"/>
    <n v="1"/>
    <n v="146.4"/>
    <n v="80.92"/>
    <x v="3"/>
    <x v="47"/>
    <x v="1"/>
    <n v="0.09"/>
    <s v="Dinner"/>
    <n v="133.22400000000002"/>
    <n v="80.92"/>
  </r>
  <r>
    <s v="O00262"/>
    <x v="2"/>
    <n v="2"/>
    <n v="76.55"/>
    <n v="38.229999999999997"/>
    <x v="2"/>
    <x v="47"/>
    <x v="1"/>
    <n v="0.08"/>
    <s v="Breakfast"/>
    <n v="140.852"/>
    <n v="76.459999999999994"/>
  </r>
  <r>
    <s v="O00262"/>
    <x v="12"/>
    <n v="1"/>
    <n v="54.2"/>
    <n v="21.95"/>
    <x v="2"/>
    <x v="47"/>
    <x v="1"/>
    <n v="0.08"/>
    <s v="Breakfast"/>
    <n v="49.864000000000004"/>
    <n v="21.95"/>
  </r>
  <r>
    <s v="O00262"/>
    <x v="14"/>
    <n v="2"/>
    <n v="256.91000000000003"/>
    <n v="121.24"/>
    <x v="3"/>
    <x v="47"/>
    <x v="1"/>
    <n v="0.08"/>
    <s v="Breakfast"/>
    <n v="472.71440000000007"/>
    <n v="242.48"/>
  </r>
  <r>
    <s v="O00263"/>
    <x v="14"/>
    <n v="1"/>
    <n v="256.91000000000003"/>
    <n v="121.24"/>
    <x v="3"/>
    <x v="6"/>
    <x v="2"/>
    <n v="0.06"/>
    <s v="Breakfast"/>
    <n v="241.49540000000002"/>
    <n v="121.24"/>
  </r>
  <r>
    <s v="O00263"/>
    <x v="2"/>
    <n v="2"/>
    <n v="76.55"/>
    <n v="38.229999999999997"/>
    <x v="2"/>
    <x v="6"/>
    <x v="2"/>
    <n v="0.06"/>
    <s v="Breakfast"/>
    <n v="143.91399999999999"/>
    <n v="76.459999999999994"/>
  </r>
  <r>
    <s v="O00264"/>
    <x v="8"/>
    <n v="1"/>
    <n v="28.43"/>
    <n v="13.89"/>
    <x v="1"/>
    <x v="15"/>
    <x v="1"/>
    <n v="0.06"/>
    <s v="Breakfast"/>
    <n v="26.7242"/>
    <n v="13.89"/>
  </r>
  <r>
    <s v="O00264"/>
    <x v="2"/>
    <n v="2"/>
    <n v="76.55"/>
    <n v="38.229999999999997"/>
    <x v="2"/>
    <x v="15"/>
    <x v="1"/>
    <n v="0.06"/>
    <s v="Breakfast"/>
    <n v="143.91399999999999"/>
    <n v="76.459999999999994"/>
  </r>
  <r>
    <s v="O00264"/>
    <x v="13"/>
    <n v="3"/>
    <n v="116.8"/>
    <n v="48.97"/>
    <x v="2"/>
    <x v="15"/>
    <x v="1"/>
    <n v="0.06"/>
    <s v="Breakfast"/>
    <n v="329.37599999999998"/>
    <n v="146.91"/>
  </r>
  <r>
    <s v="O00265"/>
    <x v="1"/>
    <n v="2"/>
    <n v="30.34"/>
    <n v="14.18"/>
    <x v="1"/>
    <x v="51"/>
    <x v="0"/>
    <n v="0.11"/>
    <s v="Breakfast"/>
    <n v="54.005200000000002"/>
    <n v="28.36"/>
  </r>
  <r>
    <s v="O00265"/>
    <x v="9"/>
    <n v="2"/>
    <n v="20.11"/>
    <n v="8"/>
    <x v="1"/>
    <x v="51"/>
    <x v="0"/>
    <n v="0.11"/>
    <s v="Breakfast"/>
    <n v="35.7958"/>
    <n v="16"/>
  </r>
  <r>
    <s v="O00265"/>
    <x v="6"/>
    <n v="2"/>
    <n v="246.09"/>
    <n v="112.08"/>
    <x v="3"/>
    <x v="51"/>
    <x v="0"/>
    <n v="0.11"/>
    <s v="Breakfast"/>
    <n v="438.04020000000003"/>
    <n v="224.16"/>
  </r>
  <r>
    <s v="O00266"/>
    <x v="13"/>
    <n v="2"/>
    <n v="116.8"/>
    <n v="48.97"/>
    <x v="2"/>
    <x v="7"/>
    <x v="0"/>
    <n v="0.04"/>
    <s v="Breakfast"/>
    <n v="224.256"/>
    <n v="97.94"/>
  </r>
  <r>
    <s v="O00266"/>
    <x v="15"/>
    <n v="1"/>
    <n v="227.61"/>
    <n v="96.22"/>
    <x v="3"/>
    <x v="7"/>
    <x v="0"/>
    <n v="0.04"/>
    <s v="Breakfast"/>
    <n v="218.50560000000002"/>
    <n v="96.22"/>
  </r>
  <r>
    <s v="O00267"/>
    <x v="15"/>
    <n v="1"/>
    <n v="227.61"/>
    <n v="96.22"/>
    <x v="3"/>
    <x v="25"/>
    <x v="1"/>
    <n v="0.08"/>
    <s v="Breakfast"/>
    <n v="209.40120000000002"/>
    <n v="96.22"/>
  </r>
  <r>
    <s v="O00267"/>
    <x v="6"/>
    <n v="1"/>
    <n v="246.09"/>
    <n v="112.08"/>
    <x v="3"/>
    <x v="25"/>
    <x v="1"/>
    <n v="0.08"/>
    <s v="Breakfast"/>
    <n v="226.40280000000001"/>
    <n v="112.08"/>
  </r>
  <r>
    <s v="O00267"/>
    <x v="9"/>
    <n v="1"/>
    <n v="20.11"/>
    <n v="8"/>
    <x v="1"/>
    <x v="25"/>
    <x v="1"/>
    <n v="0.08"/>
    <s v="Breakfast"/>
    <n v="18.501200000000001"/>
    <n v="8"/>
  </r>
  <r>
    <s v="O00267"/>
    <x v="8"/>
    <n v="3"/>
    <n v="28.43"/>
    <n v="13.89"/>
    <x v="1"/>
    <x v="25"/>
    <x v="1"/>
    <n v="0.08"/>
    <s v="Breakfast"/>
    <n v="78.466799999999992"/>
    <n v="41.67"/>
  </r>
  <r>
    <s v="O00268"/>
    <x v="18"/>
    <n v="1"/>
    <n v="50.19"/>
    <n v="22.61"/>
    <x v="0"/>
    <x v="12"/>
    <x v="0"/>
    <n v="0.05"/>
    <s v="Breakfast"/>
    <n v="47.680499999999995"/>
    <n v="22.61"/>
  </r>
  <r>
    <s v="O00268"/>
    <x v="14"/>
    <n v="3"/>
    <n v="256.91000000000003"/>
    <n v="121.24"/>
    <x v="3"/>
    <x v="12"/>
    <x v="0"/>
    <n v="0.05"/>
    <s v="Breakfast"/>
    <n v="732.19349999999997"/>
    <n v="363.71999999999997"/>
  </r>
  <r>
    <s v="O00268"/>
    <x v="11"/>
    <n v="3"/>
    <n v="57.07"/>
    <n v="29.14"/>
    <x v="2"/>
    <x v="12"/>
    <x v="0"/>
    <n v="0.05"/>
    <s v="Breakfast"/>
    <n v="162.64949999999999"/>
    <n v="87.42"/>
  </r>
  <r>
    <s v="O00269"/>
    <x v="14"/>
    <n v="3"/>
    <n v="256.91000000000003"/>
    <n v="121.24"/>
    <x v="3"/>
    <x v="59"/>
    <x v="0"/>
    <n v="0.05"/>
    <s v="Lunch"/>
    <n v="732.19349999999997"/>
    <n v="363.71999999999997"/>
  </r>
  <r>
    <s v="O00269"/>
    <x v="8"/>
    <n v="1"/>
    <n v="28.43"/>
    <n v="13.89"/>
    <x v="1"/>
    <x v="59"/>
    <x v="0"/>
    <n v="0.05"/>
    <s v="Lunch"/>
    <n v="27.008499999999998"/>
    <n v="13.89"/>
  </r>
  <r>
    <s v="O00269"/>
    <x v="15"/>
    <n v="1"/>
    <n v="227.61"/>
    <n v="96.22"/>
    <x v="3"/>
    <x v="59"/>
    <x v="0"/>
    <n v="0.05"/>
    <s v="Lunch"/>
    <n v="216.2295"/>
    <n v="96.22"/>
  </r>
  <r>
    <s v="O00269"/>
    <x v="7"/>
    <n v="2"/>
    <n v="70.540000000000006"/>
    <n v="35.81"/>
    <x v="0"/>
    <x v="59"/>
    <x v="0"/>
    <n v="0.05"/>
    <s v="Lunch"/>
    <n v="134.02600000000001"/>
    <n v="71.62"/>
  </r>
  <r>
    <s v="O00270"/>
    <x v="6"/>
    <n v="3"/>
    <n v="246.09"/>
    <n v="112.08"/>
    <x v="3"/>
    <x v="38"/>
    <x v="2"/>
    <n v="0.1"/>
    <s v="Lunch"/>
    <n v="664.44299999999998"/>
    <n v="336.24"/>
  </r>
  <r>
    <s v="O00270"/>
    <x v="14"/>
    <n v="3"/>
    <n v="256.91000000000003"/>
    <n v="121.24"/>
    <x v="3"/>
    <x v="38"/>
    <x v="2"/>
    <n v="0.1"/>
    <s v="Lunch"/>
    <n v="693.65700000000004"/>
    <n v="363.71999999999997"/>
  </r>
  <r>
    <s v="O00270"/>
    <x v="7"/>
    <n v="2"/>
    <n v="70.540000000000006"/>
    <n v="35.81"/>
    <x v="0"/>
    <x v="38"/>
    <x v="2"/>
    <n v="0.1"/>
    <s v="Lunch"/>
    <n v="126.97200000000001"/>
    <n v="71.62"/>
  </r>
  <r>
    <s v="O00271"/>
    <x v="10"/>
    <n v="1"/>
    <n v="22.2"/>
    <n v="9.3800000000000008"/>
    <x v="1"/>
    <x v="50"/>
    <x v="2"/>
    <n v="0.09"/>
    <s v="Breakfast"/>
    <n v="20.202000000000002"/>
    <n v="9.3800000000000008"/>
  </r>
  <r>
    <s v="O00271"/>
    <x v="2"/>
    <n v="1"/>
    <n v="76.55"/>
    <n v="38.229999999999997"/>
    <x v="2"/>
    <x v="50"/>
    <x v="2"/>
    <n v="0.09"/>
    <s v="Breakfast"/>
    <n v="69.660499999999999"/>
    <n v="38.229999999999997"/>
  </r>
  <r>
    <s v="O00271"/>
    <x v="12"/>
    <n v="1"/>
    <n v="54.2"/>
    <n v="21.95"/>
    <x v="2"/>
    <x v="50"/>
    <x v="2"/>
    <n v="0.09"/>
    <s v="Breakfast"/>
    <n v="49.322000000000003"/>
    <n v="21.95"/>
  </r>
  <r>
    <s v="O00272"/>
    <x v="16"/>
    <n v="1"/>
    <n v="146.4"/>
    <n v="80.92"/>
    <x v="3"/>
    <x v="29"/>
    <x v="2"/>
    <n v="0.09"/>
    <s v="Breakfast"/>
    <n v="133.22400000000002"/>
    <n v="80.92"/>
  </r>
  <r>
    <s v="O00272"/>
    <x v="10"/>
    <n v="3"/>
    <n v="22.2"/>
    <n v="9.3800000000000008"/>
    <x v="1"/>
    <x v="29"/>
    <x v="2"/>
    <n v="0.09"/>
    <s v="Breakfast"/>
    <n v="60.605999999999995"/>
    <n v="28.14"/>
  </r>
  <r>
    <s v="O00272"/>
    <x v="5"/>
    <n v="1"/>
    <n v="38.06"/>
    <n v="19.55"/>
    <x v="0"/>
    <x v="29"/>
    <x v="2"/>
    <n v="0.09"/>
    <s v="Breakfast"/>
    <n v="34.634600000000006"/>
    <n v="19.55"/>
  </r>
  <r>
    <s v="O00273"/>
    <x v="13"/>
    <n v="3"/>
    <n v="116.8"/>
    <n v="48.97"/>
    <x v="2"/>
    <x v="41"/>
    <x v="0"/>
    <n v="0.11"/>
    <s v="Dinner"/>
    <n v="311.85599999999999"/>
    <n v="146.91"/>
  </r>
  <r>
    <s v="O00274"/>
    <x v="5"/>
    <n v="1"/>
    <n v="38.06"/>
    <n v="19.55"/>
    <x v="0"/>
    <x v="59"/>
    <x v="0"/>
    <n v="0.06"/>
    <s v="Dinner"/>
    <n v="35.776400000000002"/>
    <n v="19.55"/>
  </r>
  <r>
    <s v="O00274"/>
    <x v="10"/>
    <n v="1"/>
    <n v="22.2"/>
    <n v="9.3800000000000008"/>
    <x v="1"/>
    <x v="59"/>
    <x v="0"/>
    <n v="0.06"/>
    <s v="Dinner"/>
    <n v="20.867999999999999"/>
    <n v="9.3800000000000008"/>
  </r>
  <r>
    <s v="O00274"/>
    <x v="18"/>
    <n v="2"/>
    <n v="50.19"/>
    <n v="22.61"/>
    <x v="0"/>
    <x v="59"/>
    <x v="0"/>
    <n v="0.06"/>
    <s v="Dinner"/>
    <n v="94.357199999999992"/>
    <n v="45.22"/>
  </r>
  <r>
    <s v="O00274"/>
    <x v="14"/>
    <n v="2"/>
    <n v="256.91000000000003"/>
    <n v="121.24"/>
    <x v="3"/>
    <x v="59"/>
    <x v="0"/>
    <n v="0.06"/>
    <s v="Dinner"/>
    <n v="482.99080000000004"/>
    <n v="242.48"/>
  </r>
  <r>
    <s v="O00275"/>
    <x v="1"/>
    <n v="2"/>
    <n v="30.34"/>
    <n v="14.18"/>
    <x v="1"/>
    <x v="17"/>
    <x v="2"/>
    <n v="0.09"/>
    <s v="Dinner"/>
    <n v="55.218800000000002"/>
    <n v="28.36"/>
  </r>
  <r>
    <s v="O00275"/>
    <x v="4"/>
    <n v="2"/>
    <n v="170.83"/>
    <n v="74.069999999999993"/>
    <x v="3"/>
    <x v="17"/>
    <x v="2"/>
    <n v="0.09"/>
    <s v="Dinner"/>
    <n v="310.91060000000004"/>
    <n v="148.13999999999999"/>
  </r>
  <r>
    <s v="O00275"/>
    <x v="13"/>
    <n v="3"/>
    <n v="116.8"/>
    <n v="48.97"/>
    <x v="2"/>
    <x v="17"/>
    <x v="2"/>
    <n v="0.09"/>
    <s v="Dinner"/>
    <n v="318.86399999999998"/>
    <n v="146.91"/>
  </r>
  <r>
    <s v="O00275"/>
    <x v="18"/>
    <n v="3"/>
    <n v="50.19"/>
    <n v="22.61"/>
    <x v="0"/>
    <x v="17"/>
    <x v="2"/>
    <n v="0.09"/>
    <s v="Dinner"/>
    <n v="137.0187"/>
    <n v="67.83"/>
  </r>
  <r>
    <s v="O00276"/>
    <x v="5"/>
    <n v="1"/>
    <n v="38.06"/>
    <n v="19.55"/>
    <x v="0"/>
    <x v="37"/>
    <x v="1"/>
    <n v="0.05"/>
    <s v="Dinner"/>
    <n v="36.157000000000004"/>
    <n v="19.55"/>
  </r>
  <r>
    <s v="O00276"/>
    <x v="9"/>
    <n v="2"/>
    <n v="20.11"/>
    <n v="8"/>
    <x v="1"/>
    <x v="37"/>
    <x v="1"/>
    <n v="0.05"/>
    <s v="Dinner"/>
    <n v="38.208999999999996"/>
    <n v="16"/>
  </r>
  <r>
    <s v="O00276"/>
    <x v="13"/>
    <n v="3"/>
    <n v="116.8"/>
    <n v="48.97"/>
    <x v="2"/>
    <x v="37"/>
    <x v="1"/>
    <n v="0.05"/>
    <s v="Dinner"/>
    <n v="332.87999999999994"/>
    <n v="146.91"/>
  </r>
  <r>
    <s v="O00277"/>
    <x v="5"/>
    <n v="1"/>
    <n v="38.06"/>
    <n v="19.55"/>
    <x v="0"/>
    <x v="56"/>
    <x v="2"/>
    <n v="7.0000000000000007E-2"/>
    <s v="Breakfast"/>
    <n v="35.395800000000001"/>
    <n v="19.55"/>
  </r>
  <r>
    <s v="O00277"/>
    <x v="17"/>
    <n v="1"/>
    <n v="39.950000000000003"/>
    <n v="15.51"/>
    <x v="0"/>
    <x v="56"/>
    <x v="2"/>
    <n v="7.0000000000000007E-2"/>
    <s v="Breakfast"/>
    <n v="37.153500000000001"/>
    <n v="15.51"/>
  </r>
  <r>
    <s v="O00278"/>
    <x v="4"/>
    <n v="1"/>
    <n v="170.83"/>
    <n v="74.069999999999993"/>
    <x v="3"/>
    <x v="48"/>
    <x v="0"/>
    <n v="0.05"/>
    <s v="Dinner"/>
    <n v="162.2885"/>
    <n v="74.069999999999993"/>
  </r>
  <r>
    <s v="O00278"/>
    <x v="1"/>
    <n v="1"/>
    <n v="30.34"/>
    <n v="14.18"/>
    <x v="1"/>
    <x v="48"/>
    <x v="0"/>
    <n v="0.05"/>
    <s v="Dinner"/>
    <n v="28.822999999999997"/>
    <n v="14.18"/>
  </r>
  <r>
    <s v="O00278"/>
    <x v="13"/>
    <n v="2"/>
    <n v="116.8"/>
    <n v="48.97"/>
    <x v="2"/>
    <x v="48"/>
    <x v="0"/>
    <n v="0.05"/>
    <s v="Dinner"/>
    <n v="221.92"/>
    <n v="97.94"/>
  </r>
  <r>
    <s v="O00279"/>
    <x v="1"/>
    <n v="1"/>
    <n v="30.34"/>
    <n v="14.18"/>
    <x v="1"/>
    <x v="15"/>
    <x v="1"/>
    <n v="0.06"/>
    <s v="Dinner"/>
    <n v="28.519599999999997"/>
    <n v="14.18"/>
  </r>
  <r>
    <s v="O00280"/>
    <x v="8"/>
    <n v="1"/>
    <n v="28.43"/>
    <n v="13.89"/>
    <x v="1"/>
    <x v="52"/>
    <x v="1"/>
    <n v="0.08"/>
    <s v="Breakfast"/>
    <n v="26.1556"/>
    <n v="13.89"/>
  </r>
  <r>
    <s v="O00280"/>
    <x v="1"/>
    <n v="3"/>
    <n v="30.34"/>
    <n v="14.18"/>
    <x v="1"/>
    <x v="52"/>
    <x v="1"/>
    <n v="0.08"/>
    <s v="Breakfast"/>
    <n v="83.738399999999999"/>
    <n v="42.54"/>
  </r>
  <r>
    <s v="O00280"/>
    <x v="4"/>
    <n v="1"/>
    <n v="170.83"/>
    <n v="74.069999999999993"/>
    <x v="3"/>
    <x v="52"/>
    <x v="1"/>
    <n v="0.08"/>
    <s v="Breakfast"/>
    <n v="157.16360000000003"/>
    <n v="74.069999999999993"/>
  </r>
  <r>
    <s v="O00281"/>
    <x v="1"/>
    <n v="1"/>
    <n v="30.34"/>
    <n v="14.18"/>
    <x v="1"/>
    <x v="16"/>
    <x v="0"/>
    <n v="0.03"/>
    <s v="Breakfast"/>
    <n v="29.4298"/>
    <n v="14.18"/>
  </r>
  <r>
    <s v="O00282"/>
    <x v="17"/>
    <n v="2"/>
    <n v="39.950000000000003"/>
    <n v="15.51"/>
    <x v="0"/>
    <x v="48"/>
    <x v="2"/>
    <n v="0.14000000000000001"/>
    <s v="Lunch"/>
    <n v="68.713999999999999"/>
    <n v="31.02"/>
  </r>
  <r>
    <s v="O00282"/>
    <x v="7"/>
    <n v="3"/>
    <n v="70.540000000000006"/>
    <n v="35.81"/>
    <x v="0"/>
    <x v="48"/>
    <x v="2"/>
    <n v="0.14000000000000001"/>
    <s v="Lunch"/>
    <n v="181.9932"/>
    <n v="107.43"/>
  </r>
  <r>
    <s v="O00282"/>
    <x v="1"/>
    <n v="1"/>
    <n v="30.34"/>
    <n v="14.18"/>
    <x v="1"/>
    <x v="48"/>
    <x v="2"/>
    <n v="0.14000000000000001"/>
    <s v="Lunch"/>
    <n v="26.092399999999998"/>
    <n v="14.18"/>
  </r>
  <r>
    <s v="O00283"/>
    <x v="15"/>
    <n v="3"/>
    <n v="227.61"/>
    <n v="96.22"/>
    <x v="3"/>
    <x v="12"/>
    <x v="0"/>
    <n v="0.02"/>
    <s v="Dinner"/>
    <n v="669.17340000000002"/>
    <n v="288.65999999999997"/>
  </r>
  <r>
    <s v="O00283"/>
    <x v="17"/>
    <n v="2"/>
    <n v="39.950000000000003"/>
    <n v="15.51"/>
    <x v="0"/>
    <x v="12"/>
    <x v="0"/>
    <n v="0.02"/>
    <s v="Dinner"/>
    <n v="78.302000000000007"/>
    <n v="31.02"/>
  </r>
  <r>
    <s v="O00283"/>
    <x v="4"/>
    <n v="2"/>
    <n v="170.83"/>
    <n v="74.069999999999993"/>
    <x v="3"/>
    <x v="12"/>
    <x v="0"/>
    <n v="0.02"/>
    <s v="Dinner"/>
    <n v="334.82679999999999"/>
    <n v="148.13999999999999"/>
  </r>
  <r>
    <s v="O00283"/>
    <x v="1"/>
    <n v="1"/>
    <n v="30.34"/>
    <n v="14.18"/>
    <x v="1"/>
    <x v="12"/>
    <x v="0"/>
    <n v="0.02"/>
    <s v="Dinner"/>
    <n v="29.7332"/>
    <n v="14.18"/>
  </r>
  <r>
    <s v="O00284"/>
    <x v="2"/>
    <n v="1"/>
    <n v="76.55"/>
    <n v="38.229999999999997"/>
    <x v="2"/>
    <x v="53"/>
    <x v="2"/>
    <n v="0.01"/>
    <s v="Lunch"/>
    <n v="75.784499999999994"/>
    <n v="38.229999999999997"/>
  </r>
  <r>
    <s v="O00284"/>
    <x v="18"/>
    <n v="3"/>
    <n v="50.19"/>
    <n v="22.61"/>
    <x v="0"/>
    <x v="53"/>
    <x v="2"/>
    <n v="0.01"/>
    <s v="Lunch"/>
    <n v="149.0643"/>
    <n v="67.83"/>
  </r>
  <r>
    <s v="O00284"/>
    <x v="0"/>
    <n v="2"/>
    <n v="52.45"/>
    <n v="25.8"/>
    <x v="0"/>
    <x v="53"/>
    <x v="2"/>
    <n v="0.01"/>
    <s v="Lunch"/>
    <n v="103.851"/>
    <n v="51.6"/>
  </r>
  <r>
    <s v="O00285"/>
    <x v="12"/>
    <n v="1"/>
    <n v="54.2"/>
    <n v="21.95"/>
    <x v="2"/>
    <x v="32"/>
    <x v="2"/>
    <n v="0.11"/>
    <s v="Breakfast"/>
    <n v="48.238000000000007"/>
    <n v="21.95"/>
  </r>
  <r>
    <s v="O00285"/>
    <x v="0"/>
    <n v="1"/>
    <n v="52.45"/>
    <n v="25.8"/>
    <x v="0"/>
    <x v="32"/>
    <x v="2"/>
    <n v="0.11"/>
    <s v="Breakfast"/>
    <n v="46.680500000000002"/>
    <n v="25.8"/>
  </r>
  <r>
    <s v="O00285"/>
    <x v="4"/>
    <n v="1"/>
    <n v="170.83"/>
    <n v="74.069999999999993"/>
    <x v="3"/>
    <x v="32"/>
    <x v="2"/>
    <n v="0.11"/>
    <s v="Breakfast"/>
    <n v="152.03870000000001"/>
    <n v="74.069999999999993"/>
  </r>
  <r>
    <s v="O00285"/>
    <x v="18"/>
    <n v="3"/>
    <n v="50.19"/>
    <n v="22.61"/>
    <x v="0"/>
    <x v="32"/>
    <x v="2"/>
    <n v="0.11"/>
    <s v="Breakfast"/>
    <n v="134.00729999999999"/>
    <n v="67.83"/>
  </r>
  <r>
    <s v="O00286"/>
    <x v="2"/>
    <n v="2"/>
    <n v="76.55"/>
    <n v="38.229999999999997"/>
    <x v="2"/>
    <x v="29"/>
    <x v="0"/>
    <n v="0.09"/>
    <s v="Breakfast"/>
    <n v="139.321"/>
    <n v="76.459999999999994"/>
  </r>
  <r>
    <s v="O00286"/>
    <x v="4"/>
    <n v="1"/>
    <n v="170.83"/>
    <n v="74.069999999999993"/>
    <x v="3"/>
    <x v="29"/>
    <x v="0"/>
    <n v="0.09"/>
    <s v="Breakfast"/>
    <n v="155.45530000000002"/>
    <n v="74.069999999999993"/>
  </r>
  <r>
    <s v="O00287"/>
    <x v="16"/>
    <n v="1"/>
    <n v="146.4"/>
    <n v="80.92"/>
    <x v="3"/>
    <x v="37"/>
    <x v="0"/>
    <n v="0.08"/>
    <s v="Breakfast"/>
    <n v="134.68800000000002"/>
    <n v="80.92"/>
  </r>
  <r>
    <s v="O00287"/>
    <x v="14"/>
    <n v="1"/>
    <n v="256.91000000000003"/>
    <n v="121.24"/>
    <x v="3"/>
    <x v="37"/>
    <x v="0"/>
    <n v="0.08"/>
    <s v="Breakfast"/>
    <n v="236.35720000000003"/>
    <n v="121.24"/>
  </r>
  <r>
    <s v="O00288"/>
    <x v="4"/>
    <n v="1"/>
    <n v="170.83"/>
    <n v="74.069999999999993"/>
    <x v="3"/>
    <x v="16"/>
    <x v="2"/>
    <n v="0.09"/>
    <s v="Dinner"/>
    <n v="155.45530000000002"/>
    <n v="74.069999999999993"/>
  </r>
  <r>
    <s v="O00288"/>
    <x v="0"/>
    <n v="2"/>
    <n v="52.45"/>
    <n v="25.8"/>
    <x v="0"/>
    <x v="16"/>
    <x v="2"/>
    <n v="0.09"/>
    <s v="Dinner"/>
    <n v="95.459000000000003"/>
    <n v="51.6"/>
  </r>
  <r>
    <s v="O00288"/>
    <x v="10"/>
    <n v="2"/>
    <n v="22.2"/>
    <n v="9.3800000000000008"/>
    <x v="1"/>
    <x v="16"/>
    <x v="2"/>
    <n v="0.09"/>
    <s v="Dinner"/>
    <n v="40.404000000000003"/>
    <n v="18.760000000000002"/>
  </r>
  <r>
    <s v="O00289"/>
    <x v="7"/>
    <n v="3"/>
    <n v="70.540000000000006"/>
    <n v="35.81"/>
    <x v="0"/>
    <x v="42"/>
    <x v="0"/>
    <n v="0.06"/>
    <s v="Breakfast"/>
    <n v="198.9228"/>
    <n v="107.43"/>
  </r>
  <r>
    <s v="O00289"/>
    <x v="9"/>
    <n v="1"/>
    <n v="20.11"/>
    <n v="8"/>
    <x v="1"/>
    <x v="42"/>
    <x v="0"/>
    <n v="0.06"/>
    <s v="Breakfast"/>
    <n v="18.903399999999998"/>
    <n v="8"/>
  </r>
  <r>
    <s v="O00289"/>
    <x v="2"/>
    <n v="1"/>
    <n v="76.55"/>
    <n v="38.229999999999997"/>
    <x v="2"/>
    <x v="42"/>
    <x v="0"/>
    <n v="0.06"/>
    <s v="Breakfast"/>
    <n v="71.956999999999994"/>
    <n v="38.229999999999997"/>
  </r>
  <r>
    <s v="O00290"/>
    <x v="3"/>
    <n v="1"/>
    <n v="32.979999999999997"/>
    <n v="11.84"/>
    <x v="1"/>
    <x v="31"/>
    <x v="0"/>
    <n v="0.02"/>
    <s v="Breakfast"/>
    <n v="32.320399999999999"/>
    <n v="11.84"/>
  </r>
  <r>
    <s v="O00290"/>
    <x v="9"/>
    <n v="1"/>
    <n v="20.11"/>
    <n v="8"/>
    <x v="1"/>
    <x v="31"/>
    <x v="0"/>
    <n v="0.02"/>
    <s v="Breakfast"/>
    <n v="19.707799999999999"/>
    <n v="8"/>
  </r>
  <r>
    <s v="O00291"/>
    <x v="14"/>
    <n v="2"/>
    <n v="256.91000000000003"/>
    <n v="121.24"/>
    <x v="3"/>
    <x v="17"/>
    <x v="2"/>
    <n v="0.06"/>
    <s v="Breakfast"/>
    <n v="482.99080000000004"/>
    <n v="242.48"/>
  </r>
  <r>
    <s v="O00292"/>
    <x v="9"/>
    <n v="1"/>
    <n v="20.11"/>
    <n v="8"/>
    <x v="1"/>
    <x v="58"/>
    <x v="0"/>
    <n v="0.03"/>
    <s v="Dinner"/>
    <n v="19.506699999999999"/>
    <n v="8"/>
  </r>
  <r>
    <s v="O00292"/>
    <x v="1"/>
    <n v="2"/>
    <n v="30.34"/>
    <n v="14.18"/>
    <x v="1"/>
    <x v="58"/>
    <x v="0"/>
    <n v="0.03"/>
    <s v="Dinner"/>
    <n v="58.8596"/>
    <n v="28.36"/>
  </r>
  <r>
    <s v="O00293"/>
    <x v="15"/>
    <n v="2"/>
    <n v="227.61"/>
    <n v="96.22"/>
    <x v="3"/>
    <x v="57"/>
    <x v="1"/>
    <n v="0.1"/>
    <s v="Lunch"/>
    <n v="409.69800000000004"/>
    <n v="192.44"/>
  </r>
  <r>
    <s v="O00293"/>
    <x v="1"/>
    <n v="2"/>
    <n v="30.34"/>
    <n v="14.18"/>
    <x v="1"/>
    <x v="57"/>
    <x v="1"/>
    <n v="0.1"/>
    <s v="Lunch"/>
    <n v="54.612000000000002"/>
    <n v="28.36"/>
  </r>
  <r>
    <s v="O00294"/>
    <x v="8"/>
    <n v="2"/>
    <n v="28.43"/>
    <n v="13.89"/>
    <x v="1"/>
    <x v="42"/>
    <x v="0"/>
    <n v="0.05"/>
    <s v="Dinner"/>
    <n v="54.016999999999996"/>
    <n v="27.78"/>
  </r>
  <r>
    <s v="O00295"/>
    <x v="11"/>
    <n v="1"/>
    <n v="57.07"/>
    <n v="29.14"/>
    <x v="2"/>
    <x v="34"/>
    <x v="1"/>
    <n v="0.03"/>
    <s v="Dinner"/>
    <n v="55.357900000000001"/>
    <n v="29.14"/>
  </r>
  <r>
    <s v="O00295"/>
    <x v="10"/>
    <n v="1"/>
    <n v="22.2"/>
    <n v="9.3800000000000008"/>
    <x v="1"/>
    <x v="34"/>
    <x v="1"/>
    <n v="0.03"/>
    <s v="Dinner"/>
    <n v="21.533999999999999"/>
    <n v="9.3800000000000008"/>
  </r>
  <r>
    <s v="O00296"/>
    <x v="18"/>
    <n v="1"/>
    <n v="50.19"/>
    <n v="22.61"/>
    <x v="0"/>
    <x v="42"/>
    <x v="2"/>
    <n v="0.05"/>
    <s v="Dinner"/>
    <n v="47.680499999999995"/>
    <n v="22.61"/>
  </r>
  <r>
    <s v="O00296"/>
    <x v="17"/>
    <n v="3"/>
    <n v="39.950000000000003"/>
    <n v="15.51"/>
    <x v="0"/>
    <x v="42"/>
    <x v="2"/>
    <n v="0.05"/>
    <s v="Dinner"/>
    <n v="113.8575"/>
    <n v="46.53"/>
  </r>
  <r>
    <s v="O00297"/>
    <x v="7"/>
    <n v="3"/>
    <n v="70.540000000000006"/>
    <n v="35.81"/>
    <x v="0"/>
    <x v="19"/>
    <x v="0"/>
    <n v="0.08"/>
    <s v="Breakfast"/>
    <n v="194.69040000000001"/>
    <n v="107.43"/>
  </r>
  <r>
    <s v="O00298"/>
    <x v="14"/>
    <n v="1"/>
    <n v="256.91000000000003"/>
    <n v="121.24"/>
    <x v="3"/>
    <x v="35"/>
    <x v="1"/>
    <n v="0.04"/>
    <s v="Dinner"/>
    <n v="246.6336"/>
    <n v="121.24"/>
  </r>
  <r>
    <s v="O00299"/>
    <x v="5"/>
    <n v="1"/>
    <n v="38.06"/>
    <n v="19.55"/>
    <x v="0"/>
    <x v="36"/>
    <x v="1"/>
    <n v="0.03"/>
    <s v="Lunch"/>
    <n v="36.918199999999999"/>
    <n v="19.55"/>
  </r>
  <r>
    <s v="O00299"/>
    <x v="13"/>
    <n v="1"/>
    <n v="116.8"/>
    <n v="48.97"/>
    <x v="2"/>
    <x v="36"/>
    <x v="1"/>
    <n v="0.03"/>
    <s v="Lunch"/>
    <n v="113.29599999999999"/>
    <n v="48.97"/>
  </r>
  <r>
    <s v="O00299"/>
    <x v="16"/>
    <n v="2"/>
    <n v="146.4"/>
    <n v="80.92"/>
    <x v="3"/>
    <x v="36"/>
    <x v="1"/>
    <n v="0.03"/>
    <s v="Lunch"/>
    <n v="284.01600000000002"/>
    <n v="161.84"/>
  </r>
  <r>
    <s v="O00299"/>
    <x v="9"/>
    <n v="1"/>
    <n v="20.11"/>
    <n v="8"/>
    <x v="1"/>
    <x v="36"/>
    <x v="1"/>
    <n v="0.03"/>
    <s v="Lunch"/>
    <n v="19.506699999999999"/>
    <n v="8"/>
  </r>
  <r>
    <s v="O00300"/>
    <x v="12"/>
    <n v="1"/>
    <n v="54.2"/>
    <n v="21.95"/>
    <x v="2"/>
    <x v="22"/>
    <x v="0"/>
    <n v="7.0000000000000007E-2"/>
    <s v="Breakfast"/>
    <n v="50.405999999999999"/>
    <n v="21.95"/>
  </r>
  <r>
    <s v="O00300"/>
    <x v="6"/>
    <n v="1"/>
    <n v="246.09"/>
    <n v="112.08"/>
    <x v="3"/>
    <x v="22"/>
    <x v="0"/>
    <n v="7.0000000000000007E-2"/>
    <s v="Breakfast"/>
    <n v="228.86369999999999"/>
    <n v="112.08"/>
  </r>
  <r>
    <s v="O00300"/>
    <x v="0"/>
    <n v="2"/>
    <n v="52.45"/>
    <n v="25.8"/>
    <x v="0"/>
    <x v="22"/>
    <x v="0"/>
    <n v="7.0000000000000007E-2"/>
    <s v="Breakfast"/>
    <n v="97.557000000000002"/>
    <n v="51.6"/>
  </r>
  <r>
    <s v="O00301"/>
    <x v="17"/>
    <n v="3"/>
    <n v="39.950000000000003"/>
    <n v="15.51"/>
    <x v="0"/>
    <x v="4"/>
    <x v="1"/>
    <n v="7.0000000000000007E-2"/>
    <s v="Lunch"/>
    <n v="111.4605"/>
    <n v="46.53"/>
  </r>
  <r>
    <s v="O00301"/>
    <x v="2"/>
    <n v="1"/>
    <n v="76.55"/>
    <n v="38.229999999999997"/>
    <x v="2"/>
    <x v="4"/>
    <x v="1"/>
    <n v="7.0000000000000007E-2"/>
    <s v="Lunch"/>
    <n v="71.191499999999991"/>
    <n v="38.229999999999997"/>
  </r>
  <r>
    <s v="O00301"/>
    <x v="12"/>
    <n v="2"/>
    <n v="54.2"/>
    <n v="21.95"/>
    <x v="2"/>
    <x v="4"/>
    <x v="1"/>
    <n v="7.0000000000000007E-2"/>
    <s v="Lunch"/>
    <n v="100.812"/>
    <n v="43.9"/>
  </r>
  <r>
    <s v="O00301"/>
    <x v="7"/>
    <n v="1"/>
    <n v="70.540000000000006"/>
    <n v="35.81"/>
    <x v="0"/>
    <x v="4"/>
    <x v="1"/>
    <n v="7.0000000000000007E-2"/>
    <s v="Lunch"/>
    <n v="65.602199999999996"/>
    <n v="35.81"/>
  </r>
  <r>
    <s v="O00302"/>
    <x v="10"/>
    <n v="3"/>
    <n v="22.2"/>
    <n v="9.3800000000000008"/>
    <x v="1"/>
    <x v="33"/>
    <x v="1"/>
    <n v="0.04"/>
    <s v="Dinner"/>
    <n v="63.935999999999993"/>
    <n v="28.14"/>
  </r>
  <r>
    <s v="O00303"/>
    <x v="17"/>
    <n v="2"/>
    <n v="39.950000000000003"/>
    <n v="15.51"/>
    <x v="0"/>
    <x v="50"/>
    <x v="2"/>
    <n v="0.04"/>
    <s v="Lunch"/>
    <n v="76.704000000000008"/>
    <n v="31.02"/>
  </r>
  <r>
    <s v="O00303"/>
    <x v="5"/>
    <n v="2"/>
    <n v="38.06"/>
    <n v="19.55"/>
    <x v="0"/>
    <x v="50"/>
    <x v="2"/>
    <n v="0.04"/>
    <s v="Lunch"/>
    <n v="73.075199999999995"/>
    <n v="39.1"/>
  </r>
  <r>
    <s v="O00304"/>
    <x v="3"/>
    <n v="1"/>
    <n v="32.979999999999997"/>
    <n v="11.84"/>
    <x v="1"/>
    <x v="31"/>
    <x v="1"/>
    <n v="7.0000000000000007E-2"/>
    <s v="Breakfast"/>
    <n v="30.671399999999995"/>
    <n v="11.84"/>
  </r>
  <r>
    <s v="O00305"/>
    <x v="17"/>
    <n v="2"/>
    <n v="39.950000000000003"/>
    <n v="15.51"/>
    <x v="0"/>
    <x v="23"/>
    <x v="0"/>
    <n v="0"/>
    <s v="Dinner"/>
    <n v="79.900000000000006"/>
    <n v="31.02"/>
  </r>
  <r>
    <s v="O00305"/>
    <x v="6"/>
    <n v="2"/>
    <n v="246.09"/>
    <n v="112.08"/>
    <x v="3"/>
    <x v="23"/>
    <x v="0"/>
    <n v="0"/>
    <s v="Dinner"/>
    <n v="492.18"/>
    <n v="224.16"/>
  </r>
  <r>
    <s v="O00306"/>
    <x v="18"/>
    <n v="1"/>
    <n v="50.19"/>
    <n v="22.61"/>
    <x v="0"/>
    <x v="18"/>
    <x v="1"/>
    <n v="0"/>
    <s v="Lunch"/>
    <n v="50.19"/>
    <n v="22.61"/>
  </r>
  <r>
    <s v="O00306"/>
    <x v="9"/>
    <n v="1"/>
    <n v="20.11"/>
    <n v="8"/>
    <x v="1"/>
    <x v="18"/>
    <x v="1"/>
    <n v="0"/>
    <s v="Lunch"/>
    <n v="20.11"/>
    <n v="8"/>
  </r>
  <r>
    <s v="O00306"/>
    <x v="4"/>
    <n v="1"/>
    <n v="170.83"/>
    <n v="74.069999999999993"/>
    <x v="3"/>
    <x v="18"/>
    <x v="1"/>
    <n v="0"/>
    <s v="Lunch"/>
    <n v="170.83"/>
    <n v="74.069999999999993"/>
  </r>
  <r>
    <s v="O00306"/>
    <x v="16"/>
    <n v="3"/>
    <n v="146.4"/>
    <n v="80.92"/>
    <x v="3"/>
    <x v="18"/>
    <x v="1"/>
    <n v="0"/>
    <s v="Lunch"/>
    <n v="439.20000000000005"/>
    <n v="242.76"/>
  </r>
  <r>
    <s v="O00307"/>
    <x v="2"/>
    <n v="1"/>
    <n v="76.55"/>
    <n v="38.229999999999997"/>
    <x v="2"/>
    <x v="12"/>
    <x v="2"/>
    <n v="0.03"/>
    <s v="Breakfast"/>
    <n v="74.253499999999988"/>
    <n v="38.229999999999997"/>
  </r>
  <r>
    <s v="O00307"/>
    <x v="6"/>
    <n v="1"/>
    <n v="246.09"/>
    <n v="112.08"/>
    <x v="3"/>
    <x v="12"/>
    <x v="2"/>
    <n v="0.03"/>
    <s v="Breakfast"/>
    <n v="238.7073"/>
    <n v="112.08"/>
  </r>
  <r>
    <s v="O00307"/>
    <x v="10"/>
    <n v="2"/>
    <n v="22.2"/>
    <n v="9.3800000000000008"/>
    <x v="1"/>
    <x v="12"/>
    <x v="2"/>
    <n v="0.03"/>
    <s v="Breakfast"/>
    <n v="43.067999999999998"/>
    <n v="18.760000000000002"/>
  </r>
  <r>
    <s v="O00307"/>
    <x v="1"/>
    <n v="2"/>
    <n v="30.34"/>
    <n v="14.18"/>
    <x v="1"/>
    <x v="12"/>
    <x v="2"/>
    <n v="0.03"/>
    <s v="Breakfast"/>
    <n v="58.8596"/>
    <n v="28.36"/>
  </r>
  <r>
    <s v="O00308"/>
    <x v="14"/>
    <n v="1"/>
    <n v="256.91000000000003"/>
    <n v="121.24"/>
    <x v="3"/>
    <x v="19"/>
    <x v="1"/>
    <n v="0.05"/>
    <s v="Lunch"/>
    <n v="244.06450000000001"/>
    <n v="121.24"/>
  </r>
  <r>
    <s v="O00308"/>
    <x v="12"/>
    <n v="3"/>
    <n v="54.2"/>
    <n v="21.95"/>
    <x v="2"/>
    <x v="19"/>
    <x v="1"/>
    <n v="0.05"/>
    <s v="Lunch"/>
    <n v="154.47000000000003"/>
    <n v="65.849999999999994"/>
  </r>
  <r>
    <s v="O00308"/>
    <x v="13"/>
    <n v="1"/>
    <n v="116.8"/>
    <n v="48.97"/>
    <x v="2"/>
    <x v="19"/>
    <x v="1"/>
    <n v="0.05"/>
    <s v="Lunch"/>
    <n v="110.96"/>
    <n v="48.97"/>
  </r>
  <r>
    <s v="O00308"/>
    <x v="6"/>
    <n v="2"/>
    <n v="246.09"/>
    <n v="112.08"/>
    <x v="3"/>
    <x v="19"/>
    <x v="1"/>
    <n v="0.05"/>
    <s v="Lunch"/>
    <n v="467.57099999999997"/>
    <n v="224.16"/>
  </r>
  <r>
    <s v="O00309"/>
    <x v="3"/>
    <n v="1"/>
    <n v="32.979999999999997"/>
    <n v="11.84"/>
    <x v="1"/>
    <x v="29"/>
    <x v="2"/>
    <n v="7.0000000000000007E-2"/>
    <s v="Dinner"/>
    <n v="30.671399999999995"/>
    <n v="11.84"/>
  </r>
  <r>
    <s v="O00309"/>
    <x v="5"/>
    <n v="2"/>
    <n v="38.06"/>
    <n v="19.55"/>
    <x v="0"/>
    <x v="29"/>
    <x v="2"/>
    <n v="7.0000000000000007E-2"/>
    <s v="Dinner"/>
    <n v="70.791600000000003"/>
    <n v="39.1"/>
  </r>
  <r>
    <s v="O00310"/>
    <x v="9"/>
    <n v="1"/>
    <n v="20.11"/>
    <n v="8"/>
    <x v="1"/>
    <x v="46"/>
    <x v="2"/>
    <n v="0.12"/>
    <s v="Breakfast"/>
    <n v="17.6968"/>
    <n v="8"/>
  </r>
  <r>
    <s v="O00310"/>
    <x v="11"/>
    <n v="2"/>
    <n v="57.07"/>
    <n v="29.14"/>
    <x v="2"/>
    <x v="46"/>
    <x v="2"/>
    <n v="0.12"/>
    <s v="Breakfast"/>
    <n v="100.4432"/>
    <n v="58.28"/>
  </r>
  <r>
    <s v="O00310"/>
    <x v="18"/>
    <n v="1"/>
    <n v="50.19"/>
    <n v="22.61"/>
    <x v="0"/>
    <x v="46"/>
    <x v="2"/>
    <n v="0.12"/>
    <s v="Breakfast"/>
    <n v="44.167200000000001"/>
    <n v="22.61"/>
  </r>
  <r>
    <s v="O00311"/>
    <x v="2"/>
    <n v="2"/>
    <n v="76.55"/>
    <n v="38.229999999999997"/>
    <x v="2"/>
    <x v="28"/>
    <x v="0"/>
    <n v="0.09"/>
    <s v="Breakfast"/>
    <n v="139.321"/>
    <n v="76.459999999999994"/>
  </r>
  <r>
    <s v="O00311"/>
    <x v="13"/>
    <n v="1"/>
    <n v="116.8"/>
    <n v="48.97"/>
    <x v="2"/>
    <x v="28"/>
    <x v="0"/>
    <n v="0.09"/>
    <s v="Breakfast"/>
    <n v="106.288"/>
    <n v="48.97"/>
  </r>
  <r>
    <s v="O00311"/>
    <x v="5"/>
    <n v="2"/>
    <n v="38.06"/>
    <n v="19.55"/>
    <x v="0"/>
    <x v="28"/>
    <x v="0"/>
    <n v="0.09"/>
    <s v="Breakfast"/>
    <n v="69.269200000000012"/>
    <n v="39.1"/>
  </r>
  <r>
    <s v="O00312"/>
    <x v="7"/>
    <n v="2"/>
    <n v="70.540000000000006"/>
    <n v="35.81"/>
    <x v="0"/>
    <x v="26"/>
    <x v="0"/>
    <n v="0.05"/>
    <s v="Dinner"/>
    <n v="134.02600000000001"/>
    <n v="71.62"/>
  </r>
  <r>
    <s v="O00312"/>
    <x v="2"/>
    <n v="1"/>
    <n v="76.55"/>
    <n v="38.229999999999997"/>
    <x v="2"/>
    <x v="26"/>
    <x v="0"/>
    <n v="0.05"/>
    <s v="Dinner"/>
    <n v="72.722499999999997"/>
    <n v="38.229999999999997"/>
  </r>
  <r>
    <s v="O00312"/>
    <x v="11"/>
    <n v="1"/>
    <n v="57.07"/>
    <n v="29.14"/>
    <x v="2"/>
    <x v="26"/>
    <x v="0"/>
    <n v="0.05"/>
    <s v="Dinner"/>
    <n v="54.216499999999996"/>
    <n v="29.14"/>
  </r>
  <r>
    <s v="O00313"/>
    <x v="12"/>
    <n v="1"/>
    <n v="54.2"/>
    <n v="21.95"/>
    <x v="2"/>
    <x v="34"/>
    <x v="1"/>
    <n v="0.06"/>
    <s v="Breakfast"/>
    <n v="50.948"/>
    <n v="21.95"/>
  </r>
  <r>
    <s v="O00314"/>
    <x v="3"/>
    <n v="1"/>
    <n v="32.979999999999997"/>
    <n v="11.84"/>
    <x v="1"/>
    <x v="48"/>
    <x v="0"/>
    <n v="0.02"/>
    <s v="Breakfast"/>
    <n v="32.320399999999999"/>
    <n v="11.84"/>
  </r>
  <r>
    <s v="O00315"/>
    <x v="2"/>
    <n v="3"/>
    <n v="76.55"/>
    <n v="38.229999999999997"/>
    <x v="2"/>
    <x v="36"/>
    <x v="0"/>
    <n v="0.06"/>
    <s v="Lunch"/>
    <n v="215.87099999999995"/>
    <n v="114.69"/>
  </r>
  <r>
    <s v="O00315"/>
    <x v="13"/>
    <n v="1"/>
    <n v="116.8"/>
    <n v="48.97"/>
    <x v="2"/>
    <x v="36"/>
    <x v="0"/>
    <n v="0.06"/>
    <s v="Lunch"/>
    <n v="109.79199999999999"/>
    <n v="48.97"/>
  </r>
  <r>
    <s v="O00316"/>
    <x v="10"/>
    <n v="3"/>
    <n v="22.2"/>
    <n v="9.3800000000000008"/>
    <x v="1"/>
    <x v="54"/>
    <x v="1"/>
    <n v="0.05"/>
    <s v="Lunch"/>
    <n v="63.269999999999989"/>
    <n v="28.14"/>
  </r>
  <r>
    <s v="O00317"/>
    <x v="0"/>
    <n v="2"/>
    <n v="52.45"/>
    <n v="25.8"/>
    <x v="0"/>
    <x v="20"/>
    <x v="2"/>
    <n v="7.0000000000000007E-2"/>
    <s v="Breakfast"/>
    <n v="97.557000000000002"/>
    <n v="51.6"/>
  </r>
  <r>
    <s v="O00317"/>
    <x v="16"/>
    <n v="1"/>
    <n v="146.4"/>
    <n v="80.92"/>
    <x v="3"/>
    <x v="20"/>
    <x v="2"/>
    <n v="7.0000000000000007E-2"/>
    <s v="Breakfast"/>
    <n v="136.15199999999999"/>
    <n v="80.92"/>
  </r>
  <r>
    <s v="O00318"/>
    <x v="3"/>
    <n v="3"/>
    <n v="32.979999999999997"/>
    <n v="11.84"/>
    <x v="1"/>
    <x v="36"/>
    <x v="0"/>
    <n v="0.03"/>
    <s v="Dinner"/>
    <n v="95.971800000000002"/>
    <n v="35.519999999999996"/>
  </r>
  <r>
    <s v="O00318"/>
    <x v="16"/>
    <n v="1"/>
    <n v="146.4"/>
    <n v="80.92"/>
    <x v="3"/>
    <x v="36"/>
    <x v="0"/>
    <n v="0.03"/>
    <s v="Dinner"/>
    <n v="142.00800000000001"/>
    <n v="80.92"/>
  </r>
  <r>
    <s v="O00318"/>
    <x v="12"/>
    <n v="2"/>
    <n v="54.2"/>
    <n v="21.95"/>
    <x v="2"/>
    <x v="36"/>
    <x v="0"/>
    <n v="0.03"/>
    <s v="Dinner"/>
    <n v="105.148"/>
    <n v="43.9"/>
  </r>
  <r>
    <s v="O00318"/>
    <x v="10"/>
    <n v="2"/>
    <n v="22.2"/>
    <n v="9.3800000000000008"/>
    <x v="1"/>
    <x v="36"/>
    <x v="0"/>
    <n v="0.03"/>
    <s v="Dinner"/>
    <n v="43.067999999999998"/>
    <n v="18.760000000000002"/>
  </r>
  <r>
    <s v="O00319"/>
    <x v="9"/>
    <n v="2"/>
    <n v="20.11"/>
    <n v="8"/>
    <x v="1"/>
    <x v="33"/>
    <x v="1"/>
    <n v="0.08"/>
    <s v="Lunch"/>
    <n v="37.002400000000002"/>
    <n v="16"/>
  </r>
  <r>
    <s v="O00319"/>
    <x v="11"/>
    <n v="1"/>
    <n v="57.07"/>
    <n v="29.14"/>
    <x v="2"/>
    <x v="33"/>
    <x v="1"/>
    <n v="0.08"/>
    <s v="Lunch"/>
    <n v="52.504400000000004"/>
    <n v="29.14"/>
  </r>
  <r>
    <s v="O00320"/>
    <x v="4"/>
    <n v="2"/>
    <n v="170.83"/>
    <n v="74.069999999999993"/>
    <x v="3"/>
    <x v="10"/>
    <x v="2"/>
    <n v="0.12"/>
    <s v="Dinner"/>
    <n v="300.66080000000005"/>
    <n v="148.13999999999999"/>
  </r>
  <r>
    <s v="O00321"/>
    <x v="0"/>
    <n v="2"/>
    <n v="52.45"/>
    <n v="25.8"/>
    <x v="0"/>
    <x v="6"/>
    <x v="0"/>
    <n v="0.06"/>
    <s v="Breakfast"/>
    <n v="98.605999999999995"/>
    <n v="51.6"/>
  </r>
  <r>
    <s v="O00321"/>
    <x v="8"/>
    <n v="1"/>
    <n v="28.43"/>
    <n v="13.89"/>
    <x v="1"/>
    <x v="6"/>
    <x v="0"/>
    <n v="0.06"/>
    <s v="Breakfast"/>
    <n v="26.7242"/>
    <n v="13.89"/>
  </r>
  <r>
    <s v="O00321"/>
    <x v="13"/>
    <n v="3"/>
    <n v="116.8"/>
    <n v="48.97"/>
    <x v="2"/>
    <x v="6"/>
    <x v="0"/>
    <n v="0.06"/>
    <s v="Breakfast"/>
    <n v="329.37599999999998"/>
    <n v="146.91"/>
  </r>
  <r>
    <s v="O00321"/>
    <x v="16"/>
    <n v="1"/>
    <n v="146.4"/>
    <n v="80.92"/>
    <x v="3"/>
    <x v="6"/>
    <x v="0"/>
    <n v="0.06"/>
    <s v="Breakfast"/>
    <n v="137.61599999999999"/>
    <n v="80.92"/>
  </r>
  <r>
    <s v="O00322"/>
    <x v="6"/>
    <n v="1"/>
    <n v="246.09"/>
    <n v="112.08"/>
    <x v="3"/>
    <x v="28"/>
    <x v="0"/>
    <n v="0.08"/>
    <s v="Breakfast"/>
    <n v="226.40280000000001"/>
    <n v="112.08"/>
  </r>
  <r>
    <s v="O00322"/>
    <x v="10"/>
    <n v="2"/>
    <n v="22.2"/>
    <n v="9.3800000000000008"/>
    <x v="1"/>
    <x v="28"/>
    <x v="0"/>
    <n v="0.08"/>
    <s v="Breakfast"/>
    <n v="40.847999999999999"/>
    <n v="18.760000000000002"/>
  </r>
  <r>
    <s v="O00322"/>
    <x v="8"/>
    <n v="3"/>
    <n v="28.43"/>
    <n v="13.89"/>
    <x v="1"/>
    <x v="28"/>
    <x v="0"/>
    <n v="0.08"/>
    <s v="Breakfast"/>
    <n v="78.466799999999992"/>
    <n v="41.67"/>
  </r>
  <r>
    <s v="O00322"/>
    <x v="13"/>
    <n v="3"/>
    <n v="116.8"/>
    <n v="48.97"/>
    <x v="2"/>
    <x v="28"/>
    <x v="0"/>
    <n v="0.08"/>
    <s v="Breakfast"/>
    <n v="322.36799999999999"/>
    <n v="146.91"/>
  </r>
  <r>
    <s v="O00323"/>
    <x v="13"/>
    <n v="1"/>
    <n v="116.8"/>
    <n v="48.97"/>
    <x v="2"/>
    <x v="15"/>
    <x v="2"/>
    <n v="0.09"/>
    <s v="Breakfast"/>
    <n v="106.288"/>
    <n v="48.97"/>
  </r>
  <r>
    <s v="O00323"/>
    <x v="8"/>
    <n v="2"/>
    <n v="28.43"/>
    <n v="13.89"/>
    <x v="1"/>
    <x v="15"/>
    <x v="2"/>
    <n v="0.09"/>
    <s v="Breakfast"/>
    <n v="51.742600000000003"/>
    <n v="27.78"/>
  </r>
  <r>
    <s v="O00324"/>
    <x v="15"/>
    <n v="1"/>
    <n v="227.61"/>
    <n v="96.22"/>
    <x v="3"/>
    <x v="53"/>
    <x v="1"/>
    <n v="0.04"/>
    <s v="Lunch"/>
    <n v="218.50560000000002"/>
    <n v="96.22"/>
  </r>
  <r>
    <s v="O00324"/>
    <x v="18"/>
    <n v="3"/>
    <n v="50.19"/>
    <n v="22.61"/>
    <x v="0"/>
    <x v="53"/>
    <x v="1"/>
    <n v="0.04"/>
    <s v="Lunch"/>
    <n v="144.54719999999998"/>
    <n v="67.83"/>
  </r>
  <r>
    <s v="O00324"/>
    <x v="7"/>
    <n v="2"/>
    <n v="70.540000000000006"/>
    <n v="35.81"/>
    <x v="0"/>
    <x v="53"/>
    <x v="1"/>
    <n v="0.04"/>
    <s v="Lunch"/>
    <n v="135.43680000000001"/>
    <n v="71.62"/>
  </r>
  <r>
    <s v="O00325"/>
    <x v="18"/>
    <n v="1"/>
    <n v="50.19"/>
    <n v="22.61"/>
    <x v="0"/>
    <x v="31"/>
    <x v="2"/>
    <n v="7.0000000000000007E-2"/>
    <s v="Breakfast"/>
    <n v="46.676699999999997"/>
    <n v="22.61"/>
  </r>
  <r>
    <s v="O00326"/>
    <x v="9"/>
    <n v="1"/>
    <n v="20.11"/>
    <n v="8"/>
    <x v="1"/>
    <x v="41"/>
    <x v="1"/>
    <n v="0.06"/>
    <s v="Dinner"/>
    <n v="18.903399999999998"/>
    <n v="8"/>
  </r>
  <r>
    <s v="O00327"/>
    <x v="5"/>
    <n v="1"/>
    <n v="38.06"/>
    <n v="19.55"/>
    <x v="0"/>
    <x v="47"/>
    <x v="2"/>
    <n v="0.06"/>
    <s v="Lunch"/>
    <n v="35.776400000000002"/>
    <n v="19.55"/>
  </r>
  <r>
    <s v="O00327"/>
    <x v="8"/>
    <n v="1"/>
    <n v="28.43"/>
    <n v="13.89"/>
    <x v="1"/>
    <x v="47"/>
    <x v="2"/>
    <n v="0.06"/>
    <s v="Lunch"/>
    <n v="26.7242"/>
    <n v="13.89"/>
  </r>
  <r>
    <s v="O00327"/>
    <x v="18"/>
    <n v="1"/>
    <n v="50.19"/>
    <n v="22.61"/>
    <x v="0"/>
    <x v="47"/>
    <x v="2"/>
    <n v="0.06"/>
    <s v="Lunch"/>
    <n v="47.178599999999996"/>
    <n v="22.61"/>
  </r>
  <r>
    <s v="O00328"/>
    <x v="16"/>
    <n v="2"/>
    <n v="146.4"/>
    <n v="80.92"/>
    <x v="3"/>
    <x v="50"/>
    <x v="2"/>
    <n v="0.03"/>
    <s v="Dinner"/>
    <n v="284.01600000000002"/>
    <n v="161.84"/>
  </r>
  <r>
    <s v="O00329"/>
    <x v="12"/>
    <n v="1"/>
    <n v="54.2"/>
    <n v="21.95"/>
    <x v="2"/>
    <x v="40"/>
    <x v="0"/>
    <n v="0.06"/>
    <s v="Breakfast"/>
    <n v="50.948"/>
    <n v="21.95"/>
  </r>
  <r>
    <s v="O00329"/>
    <x v="16"/>
    <n v="3"/>
    <n v="146.4"/>
    <n v="80.92"/>
    <x v="3"/>
    <x v="40"/>
    <x v="0"/>
    <n v="0.06"/>
    <s v="Breakfast"/>
    <n v="412.84800000000001"/>
    <n v="242.76"/>
  </r>
  <r>
    <s v="O00329"/>
    <x v="0"/>
    <n v="1"/>
    <n v="52.45"/>
    <n v="25.8"/>
    <x v="0"/>
    <x v="40"/>
    <x v="0"/>
    <n v="0.06"/>
    <s v="Breakfast"/>
    <n v="49.302999999999997"/>
    <n v="25.8"/>
  </r>
  <r>
    <s v="O00330"/>
    <x v="9"/>
    <n v="2"/>
    <n v="20.11"/>
    <n v="8"/>
    <x v="1"/>
    <x v="42"/>
    <x v="0"/>
    <n v="0.08"/>
    <s v="Dinner"/>
    <n v="37.002400000000002"/>
    <n v="16"/>
  </r>
  <r>
    <s v="O00330"/>
    <x v="4"/>
    <n v="1"/>
    <n v="170.83"/>
    <n v="74.069999999999993"/>
    <x v="3"/>
    <x v="42"/>
    <x v="0"/>
    <n v="0.08"/>
    <s v="Dinner"/>
    <n v="157.16360000000003"/>
    <n v="74.069999999999993"/>
  </r>
  <r>
    <s v="O00330"/>
    <x v="14"/>
    <n v="2"/>
    <n v="256.91000000000003"/>
    <n v="121.24"/>
    <x v="3"/>
    <x v="42"/>
    <x v="0"/>
    <n v="0.08"/>
    <s v="Dinner"/>
    <n v="472.71440000000007"/>
    <n v="242.48"/>
  </r>
  <r>
    <s v="O00331"/>
    <x v="5"/>
    <n v="2"/>
    <n v="38.06"/>
    <n v="19.55"/>
    <x v="0"/>
    <x v="55"/>
    <x v="2"/>
    <n v="0.12"/>
    <s v="Breakfast"/>
    <n v="66.985600000000005"/>
    <n v="39.1"/>
  </r>
  <r>
    <s v="O00331"/>
    <x v="6"/>
    <n v="1"/>
    <n v="246.09"/>
    <n v="112.08"/>
    <x v="3"/>
    <x v="55"/>
    <x v="2"/>
    <n v="0.12"/>
    <s v="Breakfast"/>
    <n v="216.5592"/>
    <n v="112.08"/>
  </r>
  <r>
    <s v="O00331"/>
    <x v="17"/>
    <n v="2"/>
    <n v="39.950000000000003"/>
    <n v="15.51"/>
    <x v="0"/>
    <x v="55"/>
    <x v="2"/>
    <n v="0.12"/>
    <s v="Breakfast"/>
    <n v="70.312000000000012"/>
    <n v="31.02"/>
  </r>
  <r>
    <s v="O00331"/>
    <x v="11"/>
    <n v="1"/>
    <n v="57.07"/>
    <n v="29.14"/>
    <x v="2"/>
    <x v="55"/>
    <x v="2"/>
    <n v="0.12"/>
    <s v="Breakfast"/>
    <n v="50.221600000000002"/>
    <n v="29.14"/>
  </r>
  <r>
    <s v="O00332"/>
    <x v="10"/>
    <n v="2"/>
    <n v="22.2"/>
    <n v="9.3800000000000008"/>
    <x v="1"/>
    <x v="9"/>
    <x v="2"/>
    <n v="0.1"/>
    <s v="Breakfast"/>
    <n v="39.96"/>
    <n v="18.760000000000002"/>
  </r>
  <r>
    <s v="O00332"/>
    <x v="7"/>
    <n v="1"/>
    <n v="70.540000000000006"/>
    <n v="35.81"/>
    <x v="0"/>
    <x v="9"/>
    <x v="2"/>
    <n v="0.1"/>
    <s v="Breakfast"/>
    <n v="63.486000000000004"/>
    <n v="35.81"/>
  </r>
  <r>
    <s v="O00332"/>
    <x v="18"/>
    <n v="1"/>
    <n v="50.19"/>
    <n v="22.61"/>
    <x v="0"/>
    <x v="9"/>
    <x v="2"/>
    <n v="0.1"/>
    <s v="Breakfast"/>
    <n v="45.170999999999999"/>
    <n v="22.61"/>
  </r>
  <r>
    <s v="O00332"/>
    <x v="12"/>
    <n v="1"/>
    <n v="54.2"/>
    <n v="21.95"/>
    <x v="2"/>
    <x v="9"/>
    <x v="2"/>
    <n v="0.1"/>
    <s v="Breakfast"/>
    <n v="48.78"/>
    <n v="21.95"/>
  </r>
  <r>
    <s v="O00333"/>
    <x v="9"/>
    <n v="1"/>
    <n v="20.11"/>
    <n v="8"/>
    <x v="1"/>
    <x v="23"/>
    <x v="2"/>
    <n v="0.15"/>
    <s v="Breakfast"/>
    <n v="17.093499999999999"/>
    <n v="8"/>
  </r>
  <r>
    <s v="O00333"/>
    <x v="2"/>
    <n v="2"/>
    <n v="76.55"/>
    <n v="38.229999999999997"/>
    <x v="2"/>
    <x v="23"/>
    <x v="2"/>
    <n v="0.15"/>
    <s v="Breakfast"/>
    <n v="130.13499999999999"/>
    <n v="76.459999999999994"/>
  </r>
  <r>
    <s v="O00334"/>
    <x v="15"/>
    <n v="2"/>
    <n v="227.61"/>
    <n v="96.22"/>
    <x v="3"/>
    <x v="4"/>
    <x v="2"/>
    <n v="0.03"/>
    <s v="Breakfast"/>
    <n v="441.5634"/>
    <n v="192.44"/>
  </r>
  <r>
    <s v="O00334"/>
    <x v="12"/>
    <n v="1"/>
    <n v="54.2"/>
    <n v="21.95"/>
    <x v="2"/>
    <x v="4"/>
    <x v="2"/>
    <n v="0.03"/>
    <s v="Breakfast"/>
    <n v="52.573999999999998"/>
    <n v="21.95"/>
  </r>
  <r>
    <s v="O00334"/>
    <x v="18"/>
    <n v="2"/>
    <n v="50.19"/>
    <n v="22.61"/>
    <x v="0"/>
    <x v="4"/>
    <x v="2"/>
    <n v="0.03"/>
    <s v="Breakfast"/>
    <n v="97.368599999999986"/>
    <n v="45.22"/>
  </r>
  <r>
    <s v="O00334"/>
    <x v="3"/>
    <n v="2"/>
    <n v="32.979999999999997"/>
    <n v="11.84"/>
    <x v="1"/>
    <x v="4"/>
    <x v="2"/>
    <n v="0.03"/>
    <s v="Breakfast"/>
    <n v="63.981199999999994"/>
    <n v="23.68"/>
  </r>
  <r>
    <s v="O00335"/>
    <x v="4"/>
    <n v="2"/>
    <n v="170.83"/>
    <n v="74.069999999999993"/>
    <x v="3"/>
    <x v="21"/>
    <x v="0"/>
    <n v="0.09"/>
    <s v="Dinner"/>
    <n v="310.91060000000004"/>
    <n v="148.13999999999999"/>
  </r>
  <r>
    <s v="O00335"/>
    <x v="13"/>
    <n v="2"/>
    <n v="116.8"/>
    <n v="48.97"/>
    <x v="2"/>
    <x v="21"/>
    <x v="0"/>
    <n v="0.09"/>
    <s v="Dinner"/>
    <n v="212.57599999999999"/>
    <n v="97.94"/>
  </r>
  <r>
    <s v="O00335"/>
    <x v="16"/>
    <n v="1"/>
    <n v="146.4"/>
    <n v="80.92"/>
    <x v="3"/>
    <x v="21"/>
    <x v="0"/>
    <n v="0.09"/>
    <s v="Dinner"/>
    <n v="133.22400000000002"/>
    <n v="80.92"/>
  </r>
  <r>
    <s v="O00336"/>
    <x v="18"/>
    <n v="2"/>
    <n v="50.19"/>
    <n v="22.61"/>
    <x v="0"/>
    <x v="53"/>
    <x v="1"/>
    <n v="7.0000000000000007E-2"/>
    <s v="Breakfast"/>
    <n v="93.353399999999993"/>
    <n v="45.22"/>
  </r>
  <r>
    <s v="O00336"/>
    <x v="11"/>
    <n v="2"/>
    <n v="57.07"/>
    <n v="29.14"/>
    <x v="2"/>
    <x v="53"/>
    <x v="1"/>
    <n v="7.0000000000000007E-2"/>
    <s v="Breakfast"/>
    <n v="106.1502"/>
    <n v="58.28"/>
  </r>
  <r>
    <s v="O00337"/>
    <x v="16"/>
    <n v="1"/>
    <n v="146.4"/>
    <n v="80.92"/>
    <x v="3"/>
    <x v="1"/>
    <x v="0"/>
    <n v="0.15"/>
    <s v="Lunch"/>
    <n v="124.44"/>
    <n v="80.92"/>
  </r>
  <r>
    <s v="O00338"/>
    <x v="8"/>
    <n v="1"/>
    <n v="28.43"/>
    <n v="13.89"/>
    <x v="1"/>
    <x v="12"/>
    <x v="1"/>
    <n v="0.03"/>
    <s v="Breakfast"/>
    <n v="27.577099999999998"/>
    <n v="13.89"/>
  </r>
  <r>
    <s v="O00338"/>
    <x v="1"/>
    <n v="1"/>
    <n v="30.34"/>
    <n v="14.18"/>
    <x v="1"/>
    <x v="12"/>
    <x v="1"/>
    <n v="0.03"/>
    <s v="Breakfast"/>
    <n v="29.4298"/>
    <n v="14.18"/>
  </r>
  <r>
    <s v="O00338"/>
    <x v="3"/>
    <n v="3"/>
    <n v="32.979999999999997"/>
    <n v="11.84"/>
    <x v="1"/>
    <x v="12"/>
    <x v="1"/>
    <n v="0.03"/>
    <s v="Breakfast"/>
    <n v="95.971800000000002"/>
    <n v="35.519999999999996"/>
  </r>
  <r>
    <s v="O00339"/>
    <x v="13"/>
    <n v="2"/>
    <n v="116.8"/>
    <n v="48.97"/>
    <x v="2"/>
    <x v="19"/>
    <x v="0"/>
    <n v="0.03"/>
    <s v="Lunch"/>
    <n v="226.59199999999998"/>
    <n v="97.94"/>
  </r>
  <r>
    <s v="O00339"/>
    <x v="11"/>
    <n v="3"/>
    <n v="57.07"/>
    <n v="29.14"/>
    <x v="2"/>
    <x v="19"/>
    <x v="0"/>
    <n v="0.03"/>
    <s v="Lunch"/>
    <n v="166.0737"/>
    <n v="87.42"/>
  </r>
  <r>
    <s v="O00340"/>
    <x v="0"/>
    <n v="3"/>
    <n v="52.45"/>
    <n v="25.8"/>
    <x v="0"/>
    <x v="39"/>
    <x v="2"/>
    <n v="0.04"/>
    <s v="Dinner"/>
    <n v="151.05600000000001"/>
    <n v="77.400000000000006"/>
  </r>
  <r>
    <s v="O00340"/>
    <x v="3"/>
    <n v="1"/>
    <n v="32.979999999999997"/>
    <n v="11.84"/>
    <x v="1"/>
    <x v="39"/>
    <x v="2"/>
    <n v="0.04"/>
    <s v="Dinner"/>
    <n v="31.660799999999995"/>
    <n v="11.84"/>
  </r>
  <r>
    <s v="O00340"/>
    <x v="12"/>
    <n v="1"/>
    <n v="54.2"/>
    <n v="21.95"/>
    <x v="2"/>
    <x v="39"/>
    <x v="2"/>
    <n v="0.04"/>
    <s v="Dinner"/>
    <n v="52.032000000000004"/>
    <n v="21.95"/>
  </r>
  <r>
    <s v="O00340"/>
    <x v="1"/>
    <n v="1"/>
    <n v="30.34"/>
    <n v="14.18"/>
    <x v="1"/>
    <x v="39"/>
    <x v="2"/>
    <n v="0.04"/>
    <s v="Dinner"/>
    <n v="29.1264"/>
    <n v="14.18"/>
  </r>
  <r>
    <s v="O00341"/>
    <x v="17"/>
    <n v="1"/>
    <n v="39.950000000000003"/>
    <n v="15.51"/>
    <x v="0"/>
    <x v="5"/>
    <x v="0"/>
    <n v="0"/>
    <s v="Dinner"/>
    <n v="39.950000000000003"/>
    <n v="15.51"/>
  </r>
  <r>
    <s v="O00341"/>
    <x v="2"/>
    <n v="3"/>
    <n v="76.55"/>
    <n v="38.229999999999997"/>
    <x v="2"/>
    <x v="5"/>
    <x v="0"/>
    <n v="0"/>
    <s v="Dinner"/>
    <n v="229.64999999999998"/>
    <n v="114.69"/>
  </r>
  <r>
    <s v="O00341"/>
    <x v="16"/>
    <n v="1"/>
    <n v="146.4"/>
    <n v="80.92"/>
    <x v="3"/>
    <x v="5"/>
    <x v="0"/>
    <n v="0"/>
    <s v="Dinner"/>
    <n v="146.4"/>
    <n v="80.92"/>
  </r>
  <r>
    <s v="O00342"/>
    <x v="0"/>
    <n v="1"/>
    <n v="52.45"/>
    <n v="25.8"/>
    <x v="0"/>
    <x v="22"/>
    <x v="2"/>
    <n v="0.04"/>
    <s v="Dinner"/>
    <n v="50.352000000000004"/>
    <n v="25.8"/>
  </r>
  <r>
    <s v="O00342"/>
    <x v="8"/>
    <n v="2"/>
    <n v="28.43"/>
    <n v="13.89"/>
    <x v="1"/>
    <x v="22"/>
    <x v="2"/>
    <n v="0.04"/>
    <s v="Dinner"/>
    <n v="54.585599999999999"/>
    <n v="27.78"/>
  </r>
  <r>
    <s v="O00343"/>
    <x v="12"/>
    <n v="2"/>
    <n v="54.2"/>
    <n v="21.95"/>
    <x v="2"/>
    <x v="11"/>
    <x v="0"/>
    <n v="0.03"/>
    <s v="Dinner"/>
    <n v="105.148"/>
    <n v="43.9"/>
  </r>
  <r>
    <s v="O00344"/>
    <x v="5"/>
    <n v="2"/>
    <n v="38.06"/>
    <n v="19.55"/>
    <x v="0"/>
    <x v="31"/>
    <x v="0"/>
    <n v="7.0000000000000007E-2"/>
    <s v="Breakfast"/>
    <n v="70.791600000000003"/>
    <n v="39.1"/>
  </r>
  <r>
    <s v="O00344"/>
    <x v="12"/>
    <n v="1"/>
    <n v="54.2"/>
    <n v="21.95"/>
    <x v="2"/>
    <x v="31"/>
    <x v="0"/>
    <n v="7.0000000000000007E-2"/>
    <s v="Breakfast"/>
    <n v="50.405999999999999"/>
    <n v="21.95"/>
  </r>
  <r>
    <s v="O00344"/>
    <x v="18"/>
    <n v="2"/>
    <n v="50.19"/>
    <n v="22.61"/>
    <x v="0"/>
    <x v="31"/>
    <x v="0"/>
    <n v="7.0000000000000007E-2"/>
    <s v="Breakfast"/>
    <n v="93.353399999999993"/>
    <n v="45.22"/>
  </r>
  <r>
    <s v="O00345"/>
    <x v="10"/>
    <n v="1"/>
    <n v="22.2"/>
    <n v="9.3800000000000008"/>
    <x v="1"/>
    <x v="39"/>
    <x v="0"/>
    <n v="7.0000000000000007E-2"/>
    <s v="Breakfast"/>
    <n v="20.645999999999997"/>
    <n v="9.3800000000000008"/>
  </r>
  <r>
    <s v="O00345"/>
    <x v="12"/>
    <n v="3"/>
    <n v="54.2"/>
    <n v="21.95"/>
    <x v="2"/>
    <x v="39"/>
    <x v="0"/>
    <n v="7.0000000000000007E-2"/>
    <s v="Breakfast"/>
    <n v="151.21800000000002"/>
    <n v="65.849999999999994"/>
  </r>
  <r>
    <s v="O00345"/>
    <x v="15"/>
    <n v="2"/>
    <n v="227.61"/>
    <n v="96.22"/>
    <x v="3"/>
    <x v="39"/>
    <x v="0"/>
    <n v="7.0000000000000007E-2"/>
    <s v="Breakfast"/>
    <n v="423.3546"/>
    <n v="192.44"/>
  </r>
  <r>
    <s v="O00346"/>
    <x v="9"/>
    <n v="1"/>
    <n v="20.11"/>
    <n v="8"/>
    <x v="1"/>
    <x v="0"/>
    <x v="2"/>
    <n v="0.14000000000000001"/>
    <s v="Breakfast"/>
    <n v="17.294599999999999"/>
    <n v="8"/>
  </r>
  <r>
    <s v="O00346"/>
    <x v="8"/>
    <n v="2"/>
    <n v="28.43"/>
    <n v="13.89"/>
    <x v="1"/>
    <x v="0"/>
    <x v="2"/>
    <n v="0.14000000000000001"/>
    <s v="Breakfast"/>
    <n v="48.8996"/>
    <n v="27.78"/>
  </r>
  <r>
    <s v="O00347"/>
    <x v="16"/>
    <n v="2"/>
    <n v="146.4"/>
    <n v="80.92"/>
    <x v="3"/>
    <x v="56"/>
    <x v="2"/>
    <n v="0.1"/>
    <s v="Dinner"/>
    <n v="263.52000000000004"/>
    <n v="161.84"/>
  </r>
  <r>
    <s v="O00347"/>
    <x v="14"/>
    <n v="1"/>
    <n v="256.91000000000003"/>
    <n v="121.24"/>
    <x v="3"/>
    <x v="56"/>
    <x v="2"/>
    <n v="0.1"/>
    <s v="Dinner"/>
    <n v="231.21900000000002"/>
    <n v="121.24"/>
  </r>
  <r>
    <s v="O00348"/>
    <x v="4"/>
    <n v="2"/>
    <n v="170.83"/>
    <n v="74.069999999999993"/>
    <x v="3"/>
    <x v="16"/>
    <x v="1"/>
    <n v="0.04"/>
    <s v="Dinner"/>
    <n v="327.99360000000001"/>
    <n v="148.13999999999999"/>
  </r>
  <r>
    <s v="O00348"/>
    <x v="14"/>
    <n v="3"/>
    <n v="256.91000000000003"/>
    <n v="121.24"/>
    <x v="3"/>
    <x v="16"/>
    <x v="1"/>
    <n v="0.04"/>
    <s v="Dinner"/>
    <n v="739.9008"/>
    <n v="363.71999999999997"/>
  </r>
  <r>
    <s v="O00348"/>
    <x v="7"/>
    <n v="1"/>
    <n v="70.540000000000006"/>
    <n v="35.81"/>
    <x v="0"/>
    <x v="16"/>
    <x v="1"/>
    <n v="0.04"/>
    <s v="Dinner"/>
    <n v="67.718400000000003"/>
    <n v="35.81"/>
  </r>
  <r>
    <s v="O00348"/>
    <x v="11"/>
    <n v="2"/>
    <n v="57.07"/>
    <n v="29.14"/>
    <x v="2"/>
    <x v="16"/>
    <x v="1"/>
    <n v="0.04"/>
    <s v="Dinner"/>
    <n v="109.5744"/>
    <n v="58.28"/>
  </r>
  <r>
    <s v="O00349"/>
    <x v="13"/>
    <n v="1"/>
    <n v="116.8"/>
    <n v="48.97"/>
    <x v="2"/>
    <x v="40"/>
    <x v="1"/>
    <n v="0.02"/>
    <s v="Breakfast"/>
    <n v="114.464"/>
    <n v="48.97"/>
  </r>
  <r>
    <s v="O00349"/>
    <x v="6"/>
    <n v="1"/>
    <n v="246.09"/>
    <n v="112.08"/>
    <x v="3"/>
    <x v="40"/>
    <x v="1"/>
    <n v="0.02"/>
    <s v="Breakfast"/>
    <n v="241.16820000000001"/>
    <n v="112.08"/>
  </r>
  <r>
    <s v="O00349"/>
    <x v="2"/>
    <n v="3"/>
    <n v="76.55"/>
    <n v="38.229999999999997"/>
    <x v="2"/>
    <x v="40"/>
    <x v="1"/>
    <n v="0.02"/>
    <s v="Breakfast"/>
    <n v="225.05699999999996"/>
    <n v="114.69"/>
  </r>
  <r>
    <s v="O00349"/>
    <x v="4"/>
    <n v="2"/>
    <n v="170.83"/>
    <n v="74.069999999999993"/>
    <x v="3"/>
    <x v="40"/>
    <x v="1"/>
    <n v="0.02"/>
    <s v="Breakfast"/>
    <n v="334.82679999999999"/>
    <n v="148.13999999999999"/>
  </r>
  <r>
    <s v="O00350"/>
    <x v="3"/>
    <n v="2"/>
    <n v="32.979999999999997"/>
    <n v="11.84"/>
    <x v="1"/>
    <x v="56"/>
    <x v="1"/>
    <n v="0.08"/>
    <s v="Breakfast"/>
    <n v="60.683199999999999"/>
    <n v="23.68"/>
  </r>
  <r>
    <s v="O00350"/>
    <x v="16"/>
    <n v="2"/>
    <n v="146.4"/>
    <n v="80.92"/>
    <x v="3"/>
    <x v="56"/>
    <x v="1"/>
    <n v="0.08"/>
    <s v="Breakfast"/>
    <n v="269.37600000000003"/>
    <n v="161.84"/>
  </r>
  <r>
    <s v="O00350"/>
    <x v="8"/>
    <n v="1"/>
    <n v="28.43"/>
    <n v="13.89"/>
    <x v="1"/>
    <x v="56"/>
    <x v="1"/>
    <n v="0.08"/>
    <s v="Breakfast"/>
    <n v="26.1556"/>
    <n v="13.89"/>
  </r>
  <r>
    <s v="O00351"/>
    <x v="1"/>
    <n v="2"/>
    <n v="30.34"/>
    <n v="14.18"/>
    <x v="1"/>
    <x v="30"/>
    <x v="2"/>
    <n v="0.01"/>
    <s v="Dinner"/>
    <n v="60.0732"/>
    <n v="28.36"/>
  </r>
  <r>
    <s v="O00352"/>
    <x v="9"/>
    <n v="1"/>
    <n v="20.11"/>
    <n v="8"/>
    <x v="1"/>
    <x v="35"/>
    <x v="1"/>
    <n v="0.13"/>
    <s v="Dinner"/>
    <n v="17.495699999999999"/>
    <n v="8"/>
  </r>
  <r>
    <s v="O00352"/>
    <x v="12"/>
    <n v="2"/>
    <n v="54.2"/>
    <n v="21.95"/>
    <x v="2"/>
    <x v="35"/>
    <x v="1"/>
    <n v="0.13"/>
    <s v="Dinner"/>
    <n v="94.308000000000007"/>
    <n v="43.9"/>
  </r>
  <r>
    <s v="O00352"/>
    <x v="1"/>
    <n v="1"/>
    <n v="30.34"/>
    <n v="14.18"/>
    <x v="1"/>
    <x v="35"/>
    <x v="1"/>
    <n v="0.13"/>
    <s v="Dinner"/>
    <n v="26.395800000000001"/>
    <n v="14.18"/>
  </r>
  <r>
    <s v="O00352"/>
    <x v="5"/>
    <n v="2"/>
    <n v="38.06"/>
    <n v="19.55"/>
    <x v="0"/>
    <x v="35"/>
    <x v="1"/>
    <n v="0.13"/>
    <s v="Dinner"/>
    <n v="66.224400000000003"/>
    <n v="39.1"/>
  </r>
  <r>
    <s v="O00353"/>
    <x v="2"/>
    <n v="3"/>
    <n v="76.55"/>
    <n v="38.229999999999997"/>
    <x v="2"/>
    <x v="41"/>
    <x v="1"/>
    <n v="0.11"/>
    <s v="Lunch"/>
    <n v="204.38849999999999"/>
    <n v="114.69"/>
  </r>
  <r>
    <s v="O00354"/>
    <x v="2"/>
    <n v="2"/>
    <n v="76.55"/>
    <n v="38.229999999999997"/>
    <x v="2"/>
    <x v="9"/>
    <x v="2"/>
    <n v="0.04"/>
    <s v="Lunch"/>
    <n v="146.976"/>
    <n v="76.459999999999994"/>
  </r>
  <r>
    <s v="O00354"/>
    <x v="5"/>
    <n v="1"/>
    <n v="38.06"/>
    <n v="19.55"/>
    <x v="0"/>
    <x v="9"/>
    <x v="2"/>
    <n v="0.04"/>
    <s v="Lunch"/>
    <n v="36.537599999999998"/>
    <n v="19.55"/>
  </r>
  <r>
    <s v="O00355"/>
    <x v="11"/>
    <n v="1"/>
    <n v="57.07"/>
    <n v="29.14"/>
    <x v="2"/>
    <x v="24"/>
    <x v="1"/>
    <n v="0"/>
    <s v="Breakfast"/>
    <n v="57.07"/>
    <n v="29.14"/>
  </r>
  <r>
    <s v="O00355"/>
    <x v="1"/>
    <n v="1"/>
    <n v="30.34"/>
    <n v="14.18"/>
    <x v="1"/>
    <x v="24"/>
    <x v="1"/>
    <n v="0"/>
    <s v="Breakfast"/>
    <n v="30.34"/>
    <n v="14.18"/>
  </r>
  <r>
    <s v="O00356"/>
    <x v="18"/>
    <n v="2"/>
    <n v="50.19"/>
    <n v="22.61"/>
    <x v="0"/>
    <x v="50"/>
    <x v="0"/>
    <n v="0.11"/>
    <s v="Breakfast"/>
    <n v="89.338200000000001"/>
    <n v="45.22"/>
  </r>
  <r>
    <s v="O00356"/>
    <x v="15"/>
    <n v="2"/>
    <n v="227.61"/>
    <n v="96.22"/>
    <x v="3"/>
    <x v="50"/>
    <x v="0"/>
    <n v="0.11"/>
    <s v="Breakfast"/>
    <n v="405.14580000000001"/>
    <n v="192.44"/>
  </r>
  <r>
    <s v="O00356"/>
    <x v="4"/>
    <n v="1"/>
    <n v="170.83"/>
    <n v="74.069999999999993"/>
    <x v="3"/>
    <x v="50"/>
    <x v="0"/>
    <n v="0.11"/>
    <s v="Breakfast"/>
    <n v="152.03870000000001"/>
    <n v="74.069999999999993"/>
  </r>
  <r>
    <s v="O00356"/>
    <x v="1"/>
    <n v="2"/>
    <n v="30.34"/>
    <n v="14.18"/>
    <x v="1"/>
    <x v="50"/>
    <x v="0"/>
    <n v="0.11"/>
    <s v="Breakfast"/>
    <n v="54.005200000000002"/>
    <n v="28.36"/>
  </r>
  <r>
    <s v="O00357"/>
    <x v="9"/>
    <n v="1"/>
    <n v="20.11"/>
    <n v="8"/>
    <x v="1"/>
    <x v="34"/>
    <x v="0"/>
    <n v="0.06"/>
    <s v="Dinner"/>
    <n v="18.903399999999998"/>
    <n v="8"/>
  </r>
  <r>
    <s v="O00357"/>
    <x v="10"/>
    <n v="1"/>
    <n v="22.2"/>
    <n v="9.3800000000000008"/>
    <x v="1"/>
    <x v="34"/>
    <x v="0"/>
    <n v="0.06"/>
    <s v="Dinner"/>
    <n v="20.867999999999999"/>
    <n v="9.3800000000000008"/>
  </r>
  <r>
    <s v="O00357"/>
    <x v="11"/>
    <n v="1"/>
    <n v="57.07"/>
    <n v="29.14"/>
    <x v="2"/>
    <x v="34"/>
    <x v="0"/>
    <n v="0.06"/>
    <s v="Dinner"/>
    <n v="53.645799999999994"/>
    <n v="29.14"/>
  </r>
  <r>
    <s v="O00358"/>
    <x v="7"/>
    <n v="1"/>
    <n v="70.540000000000006"/>
    <n v="35.81"/>
    <x v="0"/>
    <x v="31"/>
    <x v="1"/>
    <n v="0.11"/>
    <s v="Breakfast"/>
    <n v="62.780600000000007"/>
    <n v="35.81"/>
  </r>
  <r>
    <s v="O00358"/>
    <x v="1"/>
    <n v="1"/>
    <n v="30.34"/>
    <n v="14.18"/>
    <x v="1"/>
    <x v="31"/>
    <x v="1"/>
    <n v="0.11"/>
    <s v="Breakfast"/>
    <n v="27.002600000000001"/>
    <n v="14.18"/>
  </r>
  <r>
    <s v="O00359"/>
    <x v="15"/>
    <n v="2"/>
    <n v="227.61"/>
    <n v="96.22"/>
    <x v="3"/>
    <x v="35"/>
    <x v="1"/>
    <n v="0"/>
    <s v="Lunch"/>
    <n v="455.22"/>
    <n v="192.44"/>
  </r>
  <r>
    <s v="O00360"/>
    <x v="4"/>
    <n v="1"/>
    <n v="170.83"/>
    <n v="74.069999999999993"/>
    <x v="3"/>
    <x v="14"/>
    <x v="1"/>
    <n v="0.04"/>
    <s v="Dinner"/>
    <n v="163.99680000000001"/>
    <n v="74.069999999999993"/>
  </r>
  <r>
    <s v="O00360"/>
    <x v="14"/>
    <n v="3"/>
    <n v="256.91000000000003"/>
    <n v="121.24"/>
    <x v="3"/>
    <x v="14"/>
    <x v="1"/>
    <n v="0.04"/>
    <s v="Dinner"/>
    <n v="739.9008"/>
    <n v="363.71999999999997"/>
  </r>
  <r>
    <s v="O00360"/>
    <x v="1"/>
    <n v="2"/>
    <n v="30.34"/>
    <n v="14.18"/>
    <x v="1"/>
    <x v="14"/>
    <x v="1"/>
    <n v="0.04"/>
    <s v="Dinner"/>
    <n v="58.252800000000001"/>
    <n v="28.3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
  <r>
    <s v="O00001"/>
    <d v="2025-07-14T02:18:32"/>
    <x v="0"/>
    <s v="Visitor"/>
    <s v="UPI"/>
    <x v="0"/>
    <n v="0.06"/>
    <b v="0"/>
    <n v="147.90900000000002"/>
    <x v="0"/>
    <s v="OK"/>
    <n v="70.509000000000015"/>
    <n v="0.47670527148449388"/>
    <b v="0"/>
    <b v="1"/>
    <b v="0"/>
    <n v="77.400000000000006"/>
  </r>
  <r>
    <s v="O00002"/>
    <d v="2025-07-24T20:13:28"/>
    <x v="1"/>
    <s v="Staff"/>
    <s v="Cash"/>
    <x v="1"/>
    <n v="0.05"/>
    <b v="1"/>
    <n v="101.54549999999999"/>
    <x v="0"/>
    <s v="OK"/>
    <n v="49.135499999999993"/>
    <n v="0.48387668582064197"/>
    <b v="0"/>
    <b v="0"/>
    <b v="1"/>
    <n v="52.41"/>
  </r>
  <r>
    <s v="O00003"/>
    <d v="2025-07-10T15:51:54"/>
    <x v="0"/>
    <s v="Staff"/>
    <s v="Card"/>
    <x v="2"/>
    <n v="0"/>
    <b v="1"/>
    <n v="668.96"/>
    <x v="1"/>
    <s v="OK"/>
    <n v="377.72"/>
    <n v="0.56463764649605364"/>
    <b v="1"/>
    <b v="1"/>
    <b v="0"/>
    <n v="291.24"/>
  </r>
  <r>
    <s v="O00004"/>
    <d v="2025-08-10T03:56:15"/>
    <x v="1"/>
    <s v="Visitor"/>
    <s v="Cash"/>
    <x v="0"/>
    <n v="0.03"/>
    <b v="0"/>
    <n v="477.41460000000001"/>
    <x v="0"/>
    <s v="OK"/>
    <n v="253.25460000000001"/>
    <n v="0.53047099942062936"/>
    <b v="1"/>
    <b v="0"/>
    <b v="0"/>
    <n v="224.16"/>
  </r>
  <r>
    <s v="O00005"/>
    <d v="2025-07-07T03:14:15"/>
    <x v="1"/>
    <s v="Visitor"/>
    <s v="Card"/>
    <x v="0"/>
    <n v="0.04"/>
    <b v="1"/>
    <n v="95.011200000000002"/>
    <x v="0"/>
    <s v="OK"/>
    <n v="45.311199999999999"/>
    <n v="0.47690377555488195"/>
    <b v="0"/>
    <b v="1"/>
    <b v="0"/>
    <n v="49.7"/>
  </r>
  <r>
    <s v="O00006"/>
    <d v="2025-07-25T09:24:40"/>
    <x v="2"/>
    <s v="Worker"/>
    <s v="UPI"/>
    <x v="0"/>
    <n v="0.1"/>
    <b v="1"/>
    <n v="54.296999999999997"/>
    <x v="0"/>
    <s v="OK"/>
    <n v="30.296999999999997"/>
    <n v="0.5579866290955301"/>
    <b v="0"/>
    <b v="0"/>
    <b v="0"/>
    <n v="24"/>
  </r>
  <r>
    <s v="O00007"/>
    <d v="2025-07-14T20:38:54"/>
    <x v="1"/>
    <s v="Worker"/>
    <s v="Card"/>
    <x v="1"/>
    <n v="7.0000000000000007E-2"/>
    <b v="1"/>
    <n v="348.41520000000003"/>
    <x v="1"/>
    <s v="OK"/>
    <n v="188.43520000000004"/>
    <n v="0.54083518744302783"/>
    <b v="1"/>
    <b v="0"/>
    <b v="0"/>
    <n v="159.97999999999999"/>
  </r>
  <r>
    <s v="O00008"/>
    <d v="2025-07-25T12:05:28"/>
    <x v="2"/>
    <s v="Staff"/>
    <s v="UPI"/>
    <x v="2"/>
    <n v="0"/>
    <b v="1"/>
    <n v="223.75"/>
    <x v="0"/>
    <s v="OK"/>
    <n v="112.77000000000001"/>
    <n v="0.504"/>
    <b v="0"/>
    <b v="0"/>
    <b v="1"/>
    <n v="110.97999999999999"/>
  </r>
  <r>
    <s v="O00009"/>
    <d v="2025-07-06T03:52:45"/>
    <x v="0"/>
    <s v="Visitor"/>
    <s v="Cash"/>
    <x v="0"/>
    <n v="7.0000000000000007E-2"/>
    <b v="0"/>
    <n v="459.28980000000001"/>
    <x v="0"/>
    <s v="OK"/>
    <n v="233.31980000000001"/>
    <n v="0.50800126630288767"/>
    <b v="1"/>
    <b v="1"/>
    <b v="1"/>
    <n v="225.97"/>
  </r>
  <r>
    <s v="O00010"/>
    <d v="2025-07-24T04:48:14"/>
    <x v="2"/>
    <s v="Staff"/>
    <s v="Card"/>
    <x v="0"/>
    <n v="0.04"/>
    <b v="1"/>
    <n v="420.07679999999999"/>
    <x v="1"/>
    <s v="OK"/>
    <n v="215.1968"/>
    <n v="0.51227965933848285"/>
    <b v="1"/>
    <b v="1"/>
    <b v="1"/>
    <n v="204.88"/>
  </r>
  <r>
    <s v="O00011"/>
    <d v="2025-07-22T00:04:02"/>
    <x v="1"/>
    <s v="Worker"/>
    <s v="Cash"/>
    <x v="0"/>
    <n v="0.03"/>
    <b v="1"/>
    <n v="27.577099999999998"/>
    <x v="0"/>
    <s v="OK"/>
    <n v="13.687099999999997"/>
    <n v="0.49632122304375725"/>
    <b v="0"/>
    <b v="0"/>
    <b v="0"/>
    <n v="13.89"/>
  </r>
  <r>
    <s v="O00012"/>
    <d v="2025-07-01T11:01:20"/>
    <x v="1"/>
    <s v="Staff"/>
    <s v="Card"/>
    <x v="2"/>
    <n v="0.08"/>
    <b v="0"/>
    <n v="98.118000000000009"/>
    <x v="0"/>
    <s v="OK"/>
    <n v="50.368000000000009"/>
    <n v="0.5133410791088282"/>
    <b v="0"/>
    <b v="1"/>
    <b v="1"/>
    <n v="47.75"/>
  </r>
  <r>
    <s v="O00013"/>
    <d v="2025-08-11T07:40:43"/>
    <x v="0"/>
    <s v="Visitor"/>
    <s v="UPI"/>
    <x v="0"/>
    <n v="0.1"/>
    <b v="1"/>
    <n v="807.87599999999998"/>
    <x v="1"/>
    <s v="HighDisc"/>
    <n v="396.67599999999993"/>
    <n v="0.49101099673712295"/>
    <b v="1"/>
    <b v="0"/>
    <b v="1"/>
    <n v="411.20000000000005"/>
  </r>
  <r>
    <s v="O00014"/>
    <d v="2025-07-16T06:42:09"/>
    <x v="2"/>
    <s v="Staff"/>
    <s v="Cash"/>
    <x v="0"/>
    <n v="0.1"/>
    <b v="1"/>
    <n v="181.47599999999997"/>
    <x v="0"/>
    <s v="OK"/>
    <n v="83.125999999999976"/>
    <n v="0.45805505962220894"/>
    <b v="0"/>
    <b v="0"/>
    <b v="1"/>
    <n v="98.35"/>
  </r>
  <r>
    <s v="O00015"/>
    <d v="2025-08-26T11:35:16"/>
    <x v="0"/>
    <s v="Visitor"/>
    <s v="Cash"/>
    <x v="2"/>
    <n v="0.03"/>
    <b v="1"/>
    <n v="410.18389999999999"/>
    <x v="1"/>
    <s v="OK"/>
    <n v="224.13390000000001"/>
    <n v="0.54642295809269947"/>
    <b v="1"/>
    <b v="0"/>
    <b v="1"/>
    <n v="186.04999999999998"/>
  </r>
  <r>
    <s v="O00016"/>
    <d v="2025-07-06T19:12:17"/>
    <x v="2"/>
    <s v="Visitor"/>
    <s v="Card"/>
    <x v="1"/>
    <n v="0.05"/>
    <b v="0"/>
    <n v="486.94150000000002"/>
    <x v="0"/>
    <s v="OK"/>
    <n v="248.3715"/>
    <n v="0.51006435064581679"/>
    <b v="1"/>
    <b v="1"/>
    <b v="1"/>
    <n v="238.57000000000002"/>
  </r>
  <r>
    <s v="O00017"/>
    <d v="2025-08-21T19:36:48"/>
    <x v="2"/>
    <s v="Worker"/>
    <s v="UPI"/>
    <x v="1"/>
    <n v="7.0000000000000007E-2"/>
    <b v="1"/>
    <n v="30.671399999999995"/>
    <x v="0"/>
    <s v="OK"/>
    <n v="18.831399999999995"/>
    <n v="0.61397262596425328"/>
    <b v="0"/>
    <b v="0"/>
    <b v="0"/>
    <n v="11.84"/>
  </r>
  <r>
    <s v="O00018"/>
    <d v="2025-07-19T07:00:12"/>
    <x v="2"/>
    <s v="Visitor"/>
    <s v="Cash"/>
    <x v="0"/>
    <n v="0.1"/>
    <b v="1"/>
    <n v="164.48400000000001"/>
    <x v="0"/>
    <s v="OK"/>
    <n v="91.834000000000003"/>
    <n v="0.55831570243914297"/>
    <b v="0"/>
    <b v="0"/>
    <b v="1"/>
    <n v="72.650000000000006"/>
  </r>
  <r>
    <s v="O00019"/>
    <d v="2025-08-09T10:51:54"/>
    <x v="2"/>
    <s v="Visitor"/>
    <s v="Cash"/>
    <x v="0"/>
    <n v="0.04"/>
    <b v="0"/>
    <n v="701.52960000000007"/>
    <x v="0"/>
    <s v="OK"/>
    <n v="342.31960000000009"/>
    <n v="0.48796173390260378"/>
    <b v="1"/>
    <b v="1"/>
    <b v="0"/>
    <n v="359.21"/>
  </r>
  <r>
    <s v="O00020"/>
    <d v="2025-07-09T05:02:06"/>
    <x v="1"/>
    <s v="Visitor"/>
    <s v="UPI"/>
    <x v="0"/>
    <n v="0.05"/>
    <b v="1"/>
    <n v="474.75300000000004"/>
    <x v="1"/>
    <s v="OK"/>
    <n v="262.61300000000006"/>
    <n v="0.55315711538421042"/>
    <b v="1"/>
    <b v="0"/>
    <b v="1"/>
    <n v="212.14"/>
  </r>
  <r>
    <s v="O00021"/>
    <d v="2025-07-31T23:11:42"/>
    <x v="1"/>
    <s v="Worker"/>
    <s v="UPI"/>
    <x v="1"/>
    <n v="0.02"/>
    <b v="0"/>
    <n v="291.72640000000001"/>
    <x v="0"/>
    <s v="OK"/>
    <n v="153.59640000000002"/>
    <n v="0.52650839965118001"/>
    <b v="0"/>
    <b v="1"/>
    <b v="0"/>
    <n v="138.13"/>
  </r>
  <r>
    <s v="O00022"/>
    <d v="2025-07-24T10:10:42"/>
    <x v="1"/>
    <s v="Staff"/>
    <s v="Cash"/>
    <x v="0"/>
    <n v="0.01"/>
    <b v="1"/>
    <n v="364.2903"/>
    <x v="1"/>
    <s v="OK"/>
    <n v="193.3203"/>
    <n v="0.53067649618998913"/>
    <b v="1"/>
    <b v="0"/>
    <b v="1"/>
    <n v="170.97"/>
  </r>
  <r>
    <s v="O00023"/>
    <d v="2025-08-14T15:24:37"/>
    <x v="1"/>
    <s v="Worker"/>
    <s v="Cash"/>
    <x v="2"/>
    <n v="0.09"/>
    <b v="1"/>
    <n v="242.24200000000002"/>
    <x v="1"/>
    <s v="OK"/>
    <n v="122.16200000000002"/>
    <n v="0.50429735553702504"/>
    <b v="1"/>
    <b v="0"/>
    <b v="0"/>
    <n v="120.08"/>
  </r>
  <r>
    <s v="O00024"/>
    <d v="2025-08-24T21:52:12"/>
    <x v="2"/>
    <s v="Worker"/>
    <s v="UPI"/>
    <x v="1"/>
    <n v="0.11"/>
    <b v="0"/>
    <n v="390.88800000000003"/>
    <x v="0"/>
    <s v="HighDisc"/>
    <n v="148.12800000000004"/>
    <n v="0.37895253883465346"/>
    <b v="1"/>
    <b v="0"/>
    <b v="0"/>
    <n v="242.76"/>
  </r>
  <r>
    <s v="O00025"/>
    <d v="2025-08-19T08:47:48"/>
    <x v="1"/>
    <s v="Worker"/>
    <s v="Card"/>
    <x v="0"/>
    <n v="0.06"/>
    <b v="0"/>
    <n v="47.178599999999996"/>
    <x v="0"/>
    <s v="OK"/>
    <n v="24.568599999999996"/>
    <n v="0.52075729250126113"/>
    <b v="0"/>
    <b v="1"/>
    <b v="0"/>
    <n v="22.61"/>
  </r>
  <r>
    <s v="O00026"/>
    <d v="2025-07-24T23:13:26"/>
    <x v="1"/>
    <s v="Staff"/>
    <s v="Cash"/>
    <x v="1"/>
    <n v="0.1"/>
    <b v="0"/>
    <n v="81.459000000000003"/>
    <x v="0"/>
    <s v="OK"/>
    <n v="36.109000000000002"/>
    <n v="0.44327821357983771"/>
    <b v="0"/>
    <b v="1"/>
    <b v="0"/>
    <n v="45.35"/>
  </r>
  <r>
    <s v="O00027"/>
    <d v="2025-08-22T23:47:22"/>
    <x v="0"/>
    <s v="Staff"/>
    <s v="UPI"/>
    <x v="1"/>
    <n v="7.0000000000000007E-2"/>
    <b v="1"/>
    <n v="839.84580000000005"/>
    <x v="1"/>
    <s v="HighDisc"/>
    <n v="433.09580000000011"/>
    <n v="0.51568490310959469"/>
    <b v="1"/>
    <b v="0"/>
    <b v="1"/>
    <n v="406.74999999999994"/>
  </r>
  <r>
    <s v="O00028"/>
    <d v="2025-07-02T00:13:44"/>
    <x v="0"/>
    <s v="Visitor"/>
    <s v="Card"/>
    <x v="0"/>
    <n v="0.03"/>
    <b v="1"/>
    <n v="382.71350000000001"/>
    <x v="0"/>
    <s v="OK"/>
    <n v="210.3535"/>
    <n v="0.54963700000130644"/>
    <b v="0"/>
    <b v="1"/>
    <b v="1"/>
    <n v="172.36"/>
  </r>
  <r>
    <s v="O00029"/>
    <d v="2025-07-14T06:55:15"/>
    <x v="1"/>
    <s v="Worker"/>
    <s v="Cash"/>
    <x v="0"/>
    <n v="7.0000000000000007E-2"/>
    <b v="0"/>
    <n v="140.03009999999998"/>
    <x v="0"/>
    <s v="OK"/>
    <n v="72.200099999999978"/>
    <n v="0.51560414510880148"/>
    <b v="0"/>
    <b v="1"/>
    <b v="0"/>
    <n v="67.83"/>
  </r>
  <r>
    <s v="O00030"/>
    <d v="2025-07-16T08:13:11"/>
    <x v="1"/>
    <s v="Staff"/>
    <s v="UPI"/>
    <x v="0"/>
    <n v="0.12"/>
    <b v="1"/>
    <n v="365.72800000000001"/>
    <x v="1"/>
    <s v="HighDisc"/>
    <n v="168.13800000000001"/>
    <n v="0.45973510368361187"/>
    <b v="1"/>
    <b v="1"/>
    <b v="0"/>
    <n v="197.59"/>
  </r>
  <r>
    <s v="O00031"/>
    <d v="2025-08-03T12:58:08"/>
    <x v="2"/>
    <s v="Visitor"/>
    <s v="UPI"/>
    <x v="2"/>
    <n v="0.06"/>
    <b v="0"/>
    <n v="435.97199999999992"/>
    <x v="0"/>
    <s v="OK"/>
    <n v="203.21199999999993"/>
    <n v="0.46611250263778403"/>
    <b v="1"/>
    <b v="0"/>
    <b v="1"/>
    <n v="232.76"/>
  </r>
  <r>
    <s v="O00032"/>
    <d v="2025-08-19T07:41:18"/>
    <x v="1"/>
    <s v="Staff"/>
    <s v="Cash"/>
    <x v="0"/>
    <n v="0.12"/>
    <b v="1"/>
    <n v="466.18879999999996"/>
    <x v="1"/>
    <s v="HighDisc"/>
    <n v="209.74879999999996"/>
    <n v="0.44992243485900985"/>
    <b v="1"/>
    <b v="0"/>
    <b v="1"/>
    <n v="256.44"/>
  </r>
  <r>
    <s v="O00033"/>
    <d v="2025-08-11T09:00:11"/>
    <x v="1"/>
    <s v="Worker"/>
    <s v="Cash"/>
    <x v="0"/>
    <n v="0"/>
    <b v="0"/>
    <n v="390.34999999999997"/>
    <x v="0"/>
    <s v="OK"/>
    <n v="227.92999999999998"/>
    <n v="0.58391187395926736"/>
    <b v="0"/>
    <b v="1"/>
    <b v="1"/>
    <n v="162.41999999999999"/>
  </r>
  <r>
    <s v="O00034"/>
    <d v="2025-07-13T22:49:54"/>
    <x v="0"/>
    <s v="Staff"/>
    <s v="Cash"/>
    <x v="1"/>
    <n v="0.09"/>
    <b v="1"/>
    <n v="86.568299999999994"/>
    <x v="0"/>
    <s v="OK"/>
    <n v="49.83829999999999"/>
    <n v="0.57571073938150563"/>
    <b v="0"/>
    <b v="1"/>
    <b v="0"/>
    <n v="36.730000000000004"/>
  </r>
  <r>
    <s v="O00035"/>
    <d v="2025-08-23T19:30:30"/>
    <x v="0"/>
    <s v="Staff"/>
    <s v="UPI"/>
    <x v="1"/>
    <n v="0.06"/>
    <b v="1"/>
    <n v="636.38"/>
    <x v="1"/>
    <s v="HighDisc"/>
    <n v="342.85"/>
    <n v="0.53875043213174523"/>
    <b v="1"/>
    <b v="0"/>
    <b v="1"/>
    <n v="293.52999999999997"/>
  </r>
  <r>
    <s v="O00036"/>
    <d v="2025-07-12T02:41:06"/>
    <x v="2"/>
    <s v="Visitor"/>
    <s v="Cash"/>
    <x v="0"/>
    <n v="0.05"/>
    <b v="0"/>
    <n v="209.96899999999999"/>
    <x v="0"/>
    <s v="OK"/>
    <n v="113.289"/>
    <n v="0.53955107658749624"/>
    <b v="1"/>
    <b v="1"/>
    <b v="0"/>
    <n v="96.679999999999993"/>
  </r>
  <r>
    <s v="O00037"/>
    <d v="2025-07-04T17:57:05"/>
    <x v="1"/>
    <s v="Visitor"/>
    <s v="UPI"/>
    <x v="1"/>
    <n v="0.06"/>
    <b v="0"/>
    <n v="321.16039999999998"/>
    <x v="0"/>
    <s v="OK"/>
    <n v="173.0204"/>
    <n v="0.53873516162017487"/>
    <b v="1"/>
    <b v="0"/>
    <b v="0"/>
    <n v="148.13999999999999"/>
  </r>
  <r>
    <s v="O00038"/>
    <d v="2025-08-11T23:28:32"/>
    <x v="2"/>
    <s v="Worker"/>
    <s v="Card"/>
    <x v="1"/>
    <n v="0"/>
    <b v="1"/>
    <n v="88.16"/>
    <x v="0"/>
    <s v="OK"/>
    <n v="55.099999999999994"/>
    <n v="0.625"/>
    <b v="0"/>
    <b v="0"/>
    <b v="0"/>
    <n v="33.06"/>
  </r>
  <r>
    <s v="O00039"/>
    <d v="2025-07-05T02:57:42"/>
    <x v="1"/>
    <s v="Worker"/>
    <s v="UPI"/>
    <x v="0"/>
    <n v="0.05"/>
    <b v="0"/>
    <n v="486.8655"/>
    <x v="0"/>
    <s v="OK"/>
    <n v="264.65550000000002"/>
    <n v="0.54359058097154145"/>
    <b v="1"/>
    <b v="0"/>
    <b v="0"/>
    <n v="222.20999999999998"/>
  </r>
  <r>
    <s v="O00040"/>
    <d v="2025-07-11T05:31:35"/>
    <x v="1"/>
    <s v="Visitor"/>
    <s v="Card"/>
    <x v="0"/>
    <n v="7.0000000000000007E-2"/>
    <b v="1"/>
    <n v="624.52289999999994"/>
    <x v="1"/>
    <s v="HighDisc"/>
    <n v="318.45289999999994"/>
    <n v="0.5099138878654409"/>
    <b v="1"/>
    <b v="0"/>
    <b v="0"/>
    <n v="306.07"/>
  </r>
  <r>
    <s v="O00041"/>
    <d v="2025-07-24T05:38:16"/>
    <x v="2"/>
    <s v="Worker"/>
    <s v="Card"/>
    <x v="0"/>
    <n v="0.12"/>
    <b v="1"/>
    <n v="149.14240000000001"/>
    <x v="0"/>
    <s v="OK"/>
    <n v="77.812400000000011"/>
    <n v="0.52173225052030814"/>
    <b v="0"/>
    <b v="1"/>
    <b v="0"/>
    <n v="71.33"/>
  </r>
  <r>
    <s v="O00042"/>
    <d v="2025-07-18T15:56:26"/>
    <x v="0"/>
    <s v="Staff"/>
    <s v="Card"/>
    <x v="2"/>
    <n v="0.04"/>
    <b v="1"/>
    <n v="346.63679999999999"/>
    <x v="1"/>
    <s v="OK"/>
    <n v="189.9468"/>
    <n v="0.54797067131937516"/>
    <b v="1"/>
    <b v="0"/>
    <b v="1"/>
    <n v="156.69"/>
  </r>
  <r>
    <s v="O00043"/>
    <d v="2025-07-27T03:42:08"/>
    <x v="2"/>
    <s v="Visitor"/>
    <s v="Cash"/>
    <x v="0"/>
    <n v="0.03"/>
    <b v="1"/>
    <n v="21.533999999999999"/>
    <x v="0"/>
    <s v="OK"/>
    <n v="12.153999999999998"/>
    <n v="0.56440977059533759"/>
    <b v="0"/>
    <b v="0"/>
    <b v="0"/>
    <n v="9.3800000000000008"/>
  </r>
  <r>
    <s v="O00044"/>
    <d v="2025-07-05T00:14:05"/>
    <x v="1"/>
    <s v="Worker"/>
    <s v="Cash"/>
    <x v="0"/>
    <n v="0.04"/>
    <b v="1"/>
    <n v="139.38240000000002"/>
    <x v="0"/>
    <s v="OK"/>
    <n v="68.392400000000009"/>
    <n v="0.49068175035011596"/>
    <b v="0"/>
    <b v="1"/>
    <b v="0"/>
    <n v="70.990000000000009"/>
  </r>
  <r>
    <s v="O00045"/>
    <d v="2025-08-04T04:45:47"/>
    <x v="1"/>
    <s v="Worker"/>
    <s v="Cash"/>
    <x v="0"/>
    <n v="0.1"/>
    <b v="1"/>
    <n v="323.90100000000001"/>
    <x v="0"/>
    <s v="OK"/>
    <n v="178.28100000000001"/>
    <n v="0.55041818333379644"/>
    <b v="0"/>
    <b v="0"/>
    <b v="1"/>
    <n v="145.62"/>
  </r>
  <r>
    <s v="O00046"/>
    <d v="2025-07-20T00:01:30"/>
    <x v="1"/>
    <s v="Staff"/>
    <s v="Card"/>
    <x v="0"/>
    <n v="7.0000000000000007E-2"/>
    <b v="0"/>
    <n v="37.153500000000001"/>
    <x v="0"/>
    <s v="OK"/>
    <n v="21.643500000000003"/>
    <n v="0.58254269449715379"/>
    <b v="0"/>
    <b v="1"/>
    <b v="0"/>
    <n v="15.509999999999998"/>
  </r>
  <r>
    <s v="O00047"/>
    <d v="2025-07-28T08:24:30"/>
    <x v="1"/>
    <s v="Visitor"/>
    <s v="UPI"/>
    <x v="0"/>
    <n v="0.04"/>
    <b v="0"/>
    <n v="595.65120000000002"/>
    <x v="0"/>
    <s v="OK"/>
    <n v="305.42120000000006"/>
    <n v="0.51275175807586726"/>
    <b v="1"/>
    <b v="1"/>
    <b v="1"/>
    <n v="290.22999999999996"/>
  </r>
  <r>
    <s v="O00048"/>
    <d v="2025-08-22T07:28:23"/>
    <x v="1"/>
    <s v="Worker"/>
    <s v="Cash"/>
    <x v="0"/>
    <n v="0.08"/>
    <b v="1"/>
    <n v="179.67599999999999"/>
    <x v="0"/>
    <s v="OK"/>
    <n v="87.125999999999991"/>
    <n v="0.48490616442930606"/>
    <b v="0"/>
    <b v="1"/>
    <b v="0"/>
    <n v="92.55"/>
  </r>
  <r>
    <s v="O00049"/>
    <d v="2025-07-18T14:05:35"/>
    <x v="0"/>
    <s v="Staff"/>
    <s v="Cash"/>
    <x v="2"/>
    <n v="0.06"/>
    <b v="1"/>
    <n v="275.95579999999995"/>
    <x v="1"/>
    <s v="OK"/>
    <n v="156.05579999999995"/>
    <n v="0.56551012879598828"/>
    <b v="1"/>
    <b v="0"/>
    <b v="0"/>
    <n v="119.9"/>
  </r>
  <r>
    <s v="O00050"/>
    <d v="2025-08-28T04:06:42"/>
    <x v="1"/>
    <s v="Staff"/>
    <s v="UPI"/>
    <x v="0"/>
    <n v="0.1"/>
    <b v="1"/>
    <n v="98.576999999999998"/>
    <x v="0"/>
    <s v="OK"/>
    <n v="48.507000000000005"/>
    <n v="0.49207218722420043"/>
    <b v="0"/>
    <b v="0"/>
    <b v="1"/>
    <n v="50.069999999999993"/>
  </r>
  <r>
    <s v="O00051"/>
    <d v="2025-08-12T14:52:17"/>
    <x v="0"/>
    <s v="Visitor"/>
    <s v="Cash"/>
    <x v="2"/>
    <n v="0.03"/>
    <b v="0"/>
    <n v="574.76379999999995"/>
    <x v="0"/>
    <s v="OK"/>
    <n v="299.02379999999994"/>
    <n v="0.52025510305276701"/>
    <b v="1"/>
    <b v="0"/>
    <b v="1"/>
    <n v="275.74"/>
  </r>
  <r>
    <s v="O00052"/>
    <d v="2025-08-26T05:32:51"/>
    <x v="2"/>
    <s v="Staff"/>
    <s v="Cash"/>
    <x v="0"/>
    <n v="0.05"/>
    <b v="0"/>
    <n v="183.8535"/>
    <x v="0"/>
    <s v="OK"/>
    <n v="86.433499999999995"/>
    <n v="0.47012159137574205"/>
    <b v="0"/>
    <b v="1"/>
    <b v="0"/>
    <n v="97.42"/>
  </r>
  <r>
    <s v="O00053"/>
    <d v="2025-07-01T09:56:27"/>
    <x v="0"/>
    <s v="Visitor"/>
    <s v="UPI"/>
    <x v="0"/>
    <n v="0.04"/>
    <b v="0"/>
    <n v="100.70400000000001"/>
    <x v="0"/>
    <s v="OK"/>
    <n v="49.104000000000006"/>
    <n v="0.48760724499523356"/>
    <b v="0"/>
    <b v="1"/>
    <b v="0"/>
    <n v="51.6"/>
  </r>
  <r>
    <s v="O00054"/>
    <d v="2025-08-05T14:41:51"/>
    <x v="1"/>
    <s v="Worker"/>
    <s v="UPI"/>
    <x v="2"/>
    <n v="0"/>
    <b v="0"/>
    <n v="271.65999999999997"/>
    <x v="0"/>
    <s v="OK"/>
    <n v="154.16999999999996"/>
    <n v="0.56751085916218791"/>
    <b v="0"/>
    <b v="1"/>
    <b v="1"/>
    <n v="117.49000000000001"/>
  </r>
  <r>
    <s v="O00055"/>
    <d v="2025-07-31T17:28:35"/>
    <x v="0"/>
    <s v="Worker"/>
    <s v="UPI"/>
    <x v="1"/>
    <n v="7.0000000000000007E-2"/>
    <b v="0"/>
    <n v="706.71630000000005"/>
    <x v="0"/>
    <s v="HighDisc"/>
    <n v="352.15630000000004"/>
    <n v="0.4982993883118304"/>
    <b v="1"/>
    <b v="0"/>
    <b v="0"/>
    <n v="354.56"/>
  </r>
  <r>
    <s v="O00056"/>
    <d v="2025-08-19T11:40:51"/>
    <x v="1"/>
    <s v="Visitor"/>
    <s v="Card"/>
    <x v="2"/>
    <n v="7.0000000000000007E-2"/>
    <b v="0"/>
    <n v="462.02399999999994"/>
    <x v="0"/>
    <s v="OK"/>
    <n v="234.19399999999996"/>
    <n v="0.50688708811663463"/>
    <b v="1"/>
    <b v="0"/>
    <b v="1"/>
    <n v="227.82999999999998"/>
  </r>
  <r>
    <s v="O00057"/>
    <d v="2025-08-09T07:39:39"/>
    <x v="0"/>
    <s v="Staff"/>
    <s v="UPI"/>
    <x v="0"/>
    <n v="0.06"/>
    <b v="1"/>
    <n v="240.47079999999997"/>
    <x v="0"/>
    <s v="OK"/>
    <n v="117.54079999999996"/>
    <n v="0.4887944814921395"/>
    <b v="0"/>
    <b v="1"/>
    <b v="1"/>
    <n v="122.93"/>
  </r>
  <r>
    <s v="O00058"/>
    <d v="2025-07-19T21:01:11"/>
    <x v="1"/>
    <s v="Visitor"/>
    <s v="Card"/>
    <x v="1"/>
    <n v="0.05"/>
    <b v="0"/>
    <n v="233.78549999999998"/>
    <x v="0"/>
    <s v="OK"/>
    <n v="121.70549999999999"/>
    <n v="0.52058617835580046"/>
    <b v="1"/>
    <b v="0"/>
    <b v="0"/>
    <n v="112.08"/>
  </r>
  <r>
    <s v="O00059"/>
    <d v="2025-08-25T12:06:40"/>
    <x v="1"/>
    <s v="Staff"/>
    <s v="UPI"/>
    <x v="2"/>
    <n v="0"/>
    <b v="0"/>
    <n v="662.52"/>
    <x v="0"/>
    <s v="OK"/>
    <n v="371.66999999999996"/>
    <n v="0.56099438507516752"/>
    <b v="1"/>
    <b v="0"/>
    <b v="1"/>
    <n v="290.85000000000002"/>
  </r>
  <r>
    <s v="O00060"/>
    <d v="2025-07-30T18:04:47"/>
    <x v="1"/>
    <s v="Worker"/>
    <s v="Card"/>
    <x v="1"/>
    <n v="0.04"/>
    <b v="0"/>
    <n v="710.06400000000008"/>
    <x v="0"/>
    <s v="OK"/>
    <n v="369.06400000000008"/>
    <n v="0.5197615989544605"/>
    <b v="1"/>
    <b v="1"/>
    <b v="0"/>
    <n v="341"/>
  </r>
  <r>
    <s v="O00061"/>
    <d v="2025-08-15T09:30:03"/>
    <x v="1"/>
    <s v="Staff"/>
    <s v="UPI"/>
    <x v="0"/>
    <n v="0.05"/>
    <b v="1"/>
    <n v="252.66200000000001"/>
    <x v="0"/>
    <s v="OK"/>
    <n v="140.13200000000001"/>
    <n v="0.5546223808883014"/>
    <b v="0"/>
    <b v="1"/>
    <b v="0"/>
    <n v="112.53"/>
  </r>
  <r>
    <s v="O00062"/>
    <d v="2025-08-19T21:07:18"/>
    <x v="1"/>
    <s v="Visitor"/>
    <s v="Cash"/>
    <x v="1"/>
    <n v="0.03"/>
    <b v="1"/>
    <n v="285.45159999999998"/>
    <x v="0"/>
    <s v="OK"/>
    <n v="159.15159999999997"/>
    <n v="0.55754320522288181"/>
    <b v="0"/>
    <b v="0"/>
    <b v="1"/>
    <n v="126.30000000000001"/>
  </r>
  <r>
    <s v="O00063"/>
    <d v="2025-07-28T19:16:12"/>
    <x v="0"/>
    <s v="Visitor"/>
    <s v="UPI"/>
    <x v="1"/>
    <n v="0.05"/>
    <b v="0"/>
    <n v="145.44499999999999"/>
    <x v="0"/>
    <s v="OK"/>
    <n v="68.984999999999999"/>
    <n v="0.47430300113444945"/>
    <b v="0"/>
    <b v="0"/>
    <b v="1"/>
    <n v="76.459999999999994"/>
  </r>
  <r>
    <s v="O00064"/>
    <d v="2025-07-10T07:36:28"/>
    <x v="2"/>
    <s v="Visitor"/>
    <s v="Card"/>
    <x v="0"/>
    <n v="0.08"/>
    <b v="1"/>
    <n v="18.501200000000001"/>
    <x v="0"/>
    <s v="OK"/>
    <n v="10.501200000000001"/>
    <n v="0.5675956154195404"/>
    <b v="0"/>
    <b v="0"/>
    <b v="0"/>
    <n v="8"/>
  </r>
  <r>
    <s v="O00065"/>
    <d v="2025-07-20T14:00:22"/>
    <x v="2"/>
    <s v="Worker"/>
    <s v="Cash"/>
    <x v="2"/>
    <n v="0.14000000000000001"/>
    <b v="1"/>
    <n v="587.66380000000004"/>
    <x v="1"/>
    <s v="HighDisc"/>
    <n v="259.67380000000003"/>
    <n v="0.44187475900336215"/>
    <b v="1"/>
    <b v="1"/>
    <b v="0"/>
    <n v="327.99"/>
  </r>
  <r>
    <s v="O00066"/>
    <d v="2025-08-16T09:08:52"/>
    <x v="0"/>
    <s v="Worker"/>
    <s v="Card"/>
    <x v="0"/>
    <n v="7.0000000000000007E-2"/>
    <b v="0"/>
    <n v="1009.5894"/>
    <x v="0"/>
    <s v="HighDisc"/>
    <n v="478.37939999999992"/>
    <n v="0.47383560088883653"/>
    <b v="1"/>
    <b v="1"/>
    <b v="1"/>
    <n v="531.21"/>
  </r>
  <r>
    <s v="O00067"/>
    <d v="2025-08-26T03:24:37"/>
    <x v="2"/>
    <s v="Visitor"/>
    <s v="UPI"/>
    <x v="0"/>
    <n v="7.0000000000000007E-2"/>
    <b v="1"/>
    <n v="337.50630000000001"/>
    <x v="0"/>
    <s v="OK"/>
    <n v="175.68630000000002"/>
    <n v="0.52054228321071339"/>
    <b v="0"/>
    <b v="1"/>
    <b v="1"/>
    <n v="161.82"/>
  </r>
  <r>
    <s v="O00068"/>
    <d v="2025-08-18T05:58:56"/>
    <x v="1"/>
    <s v="Worker"/>
    <s v="Cash"/>
    <x v="0"/>
    <n v="0.06"/>
    <b v="1"/>
    <n v="373.89439999999996"/>
    <x v="1"/>
    <s v="OK"/>
    <n v="182.11439999999999"/>
    <n v="0.48707442529227507"/>
    <b v="1"/>
    <b v="1"/>
    <b v="0"/>
    <n v="191.77999999999997"/>
  </r>
  <r>
    <s v="O00069"/>
    <d v="2025-07-11T14:21:59"/>
    <x v="1"/>
    <s v="Worker"/>
    <s v="Cash"/>
    <x v="2"/>
    <n v="0"/>
    <b v="0"/>
    <n v="1539.5700000000002"/>
    <x v="0"/>
    <s v="OK"/>
    <n v="808.31000000000017"/>
    <n v="0.52502322076943564"/>
    <b v="1"/>
    <b v="1"/>
    <b v="0"/>
    <n v="731.26"/>
  </r>
  <r>
    <s v="O00070"/>
    <d v="2025-08-15T08:28:46"/>
    <x v="2"/>
    <s v="Visitor"/>
    <s v="Cash"/>
    <x v="0"/>
    <n v="0.06"/>
    <b v="1"/>
    <n v="56.710199999999993"/>
    <x v="0"/>
    <s v="OK"/>
    <n v="32.710199999999993"/>
    <n v="0.57679570870848629"/>
    <b v="0"/>
    <b v="0"/>
    <b v="0"/>
    <n v="24"/>
  </r>
  <r>
    <s v="O00071"/>
    <d v="2025-08-14T13:37:59"/>
    <x v="2"/>
    <s v="Staff"/>
    <s v="UPI"/>
    <x v="2"/>
    <n v="0.06"/>
    <b v="0"/>
    <n v="304.49419999999998"/>
    <x v="0"/>
    <s v="OK"/>
    <n v="153.96420000000001"/>
    <n v="0.50563918787287254"/>
    <b v="1"/>
    <b v="0"/>
    <b v="1"/>
    <n v="150.52999999999997"/>
  </r>
  <r>
    <s v="O00072"/>
    <d v="2025-08-24T12:23:25"/>
    <x v="0"/>
    <s v="Staff"/>
    <s v="Card"/>
    <x v="2"/>
    <n v="0.16"/>
    <b v="1"/>
    <n v="336.36119999999994"/>
    <x v="1"/>
    <s v="HighDisc"/>
    <n v="160.15119999999996"/>
    <n v="0.47612863790472859"/>
    <b v="1"/>
    <b v="0"/>
    <b v="0"/>
    <n v="176.20999999999998"/>
  </r>
  <r>
    <s v="O00073"/>
    <d v="2025-08-11T16:22:40"/>
    <x v="0"/>
    <s v="Staff"/>
    <s v="Cash"/>
    <x v="1"/>
    <n v="0.05"/>
    <b v="0"/>
    <n v="95.36099999999999"/>
    <x v="0"/>
    <s v="OK"/>
    <n v="50.140999999999991"/>
    <n v="0.52580195258019524"/>
    <b v="0"/>
    <b v="1"/>
    <b v="0"/>
    <n v="45.22"/>
  </r>
  <r>
    <s v="O00074"/>
    <d v="2025-08-13T22:44:18"/>
    <x v="1"/>
    <s v="Worker"/>
    <s v="UPI"/>
    <x v="1"/>
    <n v="7.0000000000000007E-2"/>
    <b v="1"/>
    <n v="835.66079999999988"/>
    <x v="1"/>
    <s v="HighDisc"/>
    <n v="440.2007999999999"/>
    <n v="0.52676971326164868"/>
    <b v="1"/>
    <b v="1"/>
    <b v="0"/>
    <n v="395.46"/>
  </r>
  <r>
    <s v="O00075"/>
    <d v="2025-08-20T20:42:59"/>
    <x v="1"/>
    <s v="Visitor"/>
    <s v="Cash"/>
    <x v="1"/>
    <n v="0.06"/>
    <b v="1"/>
    <n v="512.8922"/>
    <x v="1"/>
    <s v="OK"/>
    <n v="237.6422"/>
    <n v="0.46333752004807249"/>
    <b v="1"/>
    <b v="1"/>
    <b v="0"/>
    <n v="275.25"/>
  </r>
  <r>
    <s v="O00076"/>
    <d v="2025-08-12T22:58:38"/>
    <x v="2"/>
    <s v="Visitor"/>
    <s v="Card"/>
    <x v="1"/>
    <n v="0.01"/>
    <b v="0"/>
    <n v="393.21810000000005"/>
    <x v="0"/>
    <s v="OK"/>
    <n v="186.81810000000004"/>
    <n v="0.47510045951597857"/>
    <b v="1"/>
    <b v="1"/>
    <b v="1"/>
    <n v="206.4"/>
  </r>
  <r>
    <s v="O00077"/>
    <d v="2025-07-27T15:08:31"/>
    <x v="1"/>
    <s v="Staff"/>
    <s v="UPI"/>
    <x v="2"/>
    <n v="0.11"/>
    <b v="1"/>
    <n v="92.132800000000003"/>
    <x v="0"/>
    <s v="OK"/>
    <n v="44.482799999999997"/>
    <n v="0.48281176736189496"/>
    <b v="0"/>
    <b v="1"/>
    <b v="0"/>
    <n v="47.650000000000006"/>
  </r>
  <r>
    <s v="O00078"/>
    <d v="2025-07-14T16:26:05"/>
    <x v="2"/>
    <s v="Worker"/>
    <s v="Card"/>
    <x v="1"/>
    <n v="0.09"/>
    <b v="1"/>
    <n v="135.70830000000001"/>
    <x v="0"/>
    <s v="OK"/>
    <n v="77.578300000000013"/>
    <n v="0.5716547919324021"/>
    <b v="0"/>
    <b v="1"/>
    <b v="0"/>
    <n v="58.129999999999995"/>
  </r>
  <r>
    <s v="O00079"/>
    <d v="2025-07-22T00:32:46"/>
    <x v="2"/>
    <s v="Staff"/>
    <s v="Card"/>
    <x v="0"/>
    <n v="0.09"/>
    <b v="1"/>
    <n v="86.377200000000016"/>
    <x v="0"/>
    <s v="OK"/>
    <n v="39.047200000000018"/>
    <n v="0.45205447733892751"/>
    <b v="0"/>
    <b v="1"/>
    <b v="0"/>
    <n v="47.33"/>
  </r>
  <r>
    <s v="O00080"/>
    <d v="2025-08-22T22:22:32"/>
    <x v="1"/>
    <s v="Staff"/>
    <s v="Cash"/>
    <x v="1"/>
    <n v="0.02"/>
    <b v="1"/>
    <n v="419.39100000000002"/>
    <x v="1"/>
    <s v="OK"/>
    <n v="227.351"/>
    <n v="0.54209794678474266"/>
    <b v="1"/>
    <b v="0"/>
    <b v="0"/>
    <n v="192.04000000000002"/>
  </r>
  <r>
    <s v="O00081"/>
    <d v="2025-08-11T01:00:19"/>
    <x v="1"/>
    <s v="Visitor"/>
    <s v="UPI"/>
    <x v="0"/>
    <n v="0.12"/>
    <b v="0"/>
    <n v="44.167200000000001"/>
    <x v="0"/>
    <s v="OK"/>
    <n v="21.557200000000002"/>
    <n v="0.48808165335361992"/>
    <b v="0"/>
    <b v="1"/>
    <b v="0"/>
    <n v="22.61"/>
  </r>
  <r>
    <s v="O00082"/>
    <d v="2025-08-26T03:27:20"/>
    <x v="1"/>
    <s v="Staff"/>
    <s v="Cash"/>
    <x v="0"/>
    <n v="0"/>
    <b v="0"/>
    <n v="119.85000000000001"/>
    <x v="0"/>
    <s v="OK"/>
    <n v="73.320000000000007"/>
    <n v="0.61176470588235299"/>
    <b v="0"/>
    <b v="1"/>
    <b v="0"/>
    <n v="46.53"/>
  </r>
  <r>
    <s v="O00083"/>
    <d v="2025-07-30T05:49:04"/>
    <x v="1"/>
    <s v="Staff"/>
    <s v="UPI"/>
    <x v="0"/>
    <n v="0.08"/>
    <b v="1"/>
    <n v="297.28880000000004"/>
    <x v="1"/>
    <s v="OK"/>
    <n v="121.26880000000003"/>
    <n v="0.40791580442990122"/>
    <b v="1"/>
    <b v="0"/>
    <b v="0"/>
    <n v="176.02"/>
  </r>
  <r>
    <s v="O00084"/>
    <d v="2025-08-28T19:40:49"/>
    <x v="2"/>
    <s v="Staff"/>
    <s v="Cash"/>
    <x v="1"/>
    <n v="0.15"/>
    <b v="1"/>
    <n v="200.50649999999999"/>
    <x v="0"/>
    <s v="OK"/>
    <n v="84.066500000000005"/>
    <n v="0.41927069695994895"/>
    <b v="0"/>
    <b v="1"/>
    <b v="1"/>
    <n v="116.43999999999998"/>
  </r>
  <r>
    <s v="O00085"/>
    <d v="2025-08-12T13:34:17"/>
    <x v="1"/>
    <s v="Worker"/>
    <s v="Card"/>
    <x v="2"/>
    <n v="0.02"/>
    <b v="0"/>
    <n v="151.48840000000001"/>
    <x v="0"/>
    <s v="OK"/>
    <n v="84.318400000000011"/>
    <n v="0.55659971324537061"/>
    <b v="0"/>
    <b v="1"/>
    <b v="1"/>
    <n v="67.17"/>
  </r>
  <r>
    <s v="O00086"/>
    <d v="2025-08-09T12:07:34"/>
    <x v="0"/>
    <s v="Worker"/>
    <s v="Card"/>
    <x v="2"/>
    <n v="0.04"/>
    <b v="1"/>
    <n v="178.63679999999999"/>
    <x v="0"/>
    <s v="OK"/>
    <n v="90.336799999999997"/>
    <n v="0.50570095299512752"/>
    <b v="0"/>
    <b v="0"/>
    <b v="1"/>
    <n v="88.3"/>
  </r>
  <r>
    <s v="O00087"/>
    <d v="2025-08-22T02:35:53"/>
    <x v="2"/>
    <s v="Staff"/>
    <s v="UPI"/>
    <x v="0"/>
    <n v="0.06"/>
    <b v="1"/>
    <n v="252.08920000000001"/>
    <x v="0"/>
    <s v="OK"/>
    <n v="119.48919999999998"/>
    <n v="0.47399571262870438"/>
    <b v="0"/>
    <b v="1"/>
    <b v="0"/>
    <n v="132.60000000000002"/>
  </r>
  <r>
    <s v="O00088"/>
    <d v="2025-07-09T09:36:42"/>
    <x v="0"/>
    <s v="Staff"/>
    <s v="Cash"/>
    <x v="0"/>
    <n v="0.04"/>
    <b v="0"/>
    <n v="291.99360000000001"/>
    <x v="0"/>
    <s v="OK"/>
    <n v="157.54360000000003"/>
    <n v="0.53954470234964058"/>
    <b v="1"/>
    <b v="0"/>
    <b v="1"/>
    <n v="134.44999999999999"/>
  </r>
  <r>
    <s v="O00089"/>
    <d v="2025-07-18T21:27:33"/>
    <x v="2"/>
    <s v="Staff"/>
    <s v="Card"/>
    <x v="1"/>
    <n v="0"/>
    <b v="0"/>
    <n v="658.67000000000007"/>
    <x v="0"/>
    <s v="OK"/>
    <n v="349.08000000000004"/>
    <n v="0.52997707501480251"/>
    <b v="1"/>
    <b v="1"/>
    <b v="0"/>
    <n v="309.59000000000003"/>
  </r>
  <r>
    <s v="O00090"/>
    <d v="2025-07-21T19:12:15"/>
    <x v="1"/>
    <s v="Staff"/>
    <s v="Card"/>
    <x v="1"/>
    <n v="0.06"/>
    <b v="1"/>
    <n v="714.59739999999999"/>
    <x v="1"/>
    <s v="HighDisc"/>
    <n v="395.33740000000006"/>
    <n v="0.55323095214172358"/>
    <b v="1"/>
    <b v="0"/>
    <b v="0"/>
    <n v="319.25999999999993"/>
  </r>
  <r>
    <s v="O00091"/>
    <d v="2025-07-28T06:23:05"/>
    <x v="1"/>
    <s v="Staff"/>
    <s v="Cash"/>
    <x v="0"/>
    <n v="0.02"/>
    <b v="0"/>
    <n v="286.94400000000002"/>
    <x v="0"/>
    <s v="OK"/>
    <n v="125.10400000000001"/>
    <n v="0.4359875097580016"/>
    <b v="1"/>
    <b v="0"/>
    <b v="0"/>
    <n v="161.84"/>
  </r>
  <r>
    <s v="O00092"/>
    <d v="2025-07-03T03:09:58"/>
    <x v="0"/>
    <s v="Visitor"/>
    <s v="Cash"/>
    <x v="0"/>
    <n v="0.08"/>
    <b v="1"/>
    <n v="686.02560000000005"/>
    <x v="1"/>
    <s v="HighDisc"/>
    <n v="367.86560000000009"/>
    <n v="0.53622721950900964"/>
    <b v="1"/>
    <b v="0"/>
    <b v="1"/>
    <n v="318.15999999999997"/>
  </r>
  <r>
    <s v="O00093"/>
    <d v="2025-07-23T00:28:31"/>
    <x v="0"/>
    <s v="Worker"/>
    <s v="UPI"/>
    <x v="0"/>
    <n v="0.02"/>
    <b v="0"/>
    <n v="398.80119999999999"/>
    <x v="0"/>
    <s v="OK"/>
    <n v="178.68119999999999"/>
    <n v="0.44804579324234728"/>
    <b v="1"/>
    <b v="0"/>
    <b v="1"/>
    <n v="220.12"/>
  </r>
  <r>
    <s v="O00094"/>
    <d v="2025-07-04T06:18:18"/>
    <x v="2"/>
    <s v="Worker"/>
    <s v="Cash"/>
    <x v="0"/>
    <n v="0.12"/>
    <b v="1"/>
    <n v="171.96960000000001"/>
    <x v="0"/>
    <s v="OK"/>
    <n v="86.499600000000015"/>
    <n v="0.50299355234878729"/>
    <b v="0"/>
    <b v="1"/>
    <b v="1"/>
    <n v="85.47"/>
  </r>
  <r>
    <s v="O00095"/>
    <d v="2025-07-24T09:51:00"/>
    <x v="2"/>
    <s v="Staff"/>
    <s v="UPI"/>
    <x v="0"/>
    <n v="0.03"/>
    <b v="0"/>
    <n v="739.84810000000004"/>
    <x v="0"/>
    <s v="OK"/>
    <n v="420.16810000000009"/>
    <n v="0.56791130503680431"/>
    <b v="1"/>
    <b v="1"/>
    <b v="0"/>
    <n v="319.67999999999995"/>
  </r>
  <r>
    <s v="O00096"/>
    <d v="2025-08-25T00:08:39"/>
    <x v="2"/>
    <s v="Staff"/>
    <s v="UPI"/>
    <x v="0"/>
    <n v="0.05"/>
    <b v="0"/>
    <n v="825.56899999999996"/>
    <x v="0"/>
    <s v="HighDisc"/>
    <n v="429.14899999999994"/>
    <n v="0.51982208634287375"/>
    <b v="1"/>
    <b v="0"/>
    <b v="1"/>
    <n v="396.42"/>
  </r>
  <r>
    <s v="O00097"/>
    <d v="2025-08-06T01:35:17"/>
    <x v="2"/>
    <s v="Visitor"/>
    <s v="UPI"/>
    <x v="0"/>
    <n v="0.09"/>
    <b v="1"/>
    <n v="51.742600000000003"/>
    <x v="0"/>
    <s v="OK"/>
    <n v="23.962600000000002"/>
    <n v="0.46311163335433475"/>
    <b v="0"/>
    <b v="0"/>
    <b v="0"/>
    <n v="27.78"/>
  </r>
  <r>
    <s v="O00098"/>
    <d v="2025-07-17T03:36:07"/>
    <x v="1"/>
    <s v="Worker"/>
    <s v="UPI"/>
    <x v="0"/>
    <n v="0.01"/>
    <b v="1"/>
    <n v="182.3877"/>
    <x v="0"/>
    <s v="OK"/>
    <n v="105.1977"/>
    <n v="0.57678067106498954"/>
    <b v="0"/>
    <b v="0"/>
    <b v="0"/>
    <n v="77.19"/>
  </r>
  <r>
    <s v="O00099"/>
    <d v="2025-07-31T12:54:47"/>
    <x v="0"/>
    <s v="Visitor"/>
    <s v="Card"/>
    <x v="2"/>
    <n v="7.0000000000000007E-2"/>
    <b v="0"/>
    <n v="242.30219999999997"/>
    <x v="0"/>
    <s v="OK"/>
    <n v="103.10219999999998"/>
    <n v="0.42551078776833223"/>
    <b v="1"/>
    <b v="0"/>
    <b v="1"/>
    <n v="139.19999999999999"/>
  </r>
  <r>
    <s v="O00100"/>
    <d v="2025-07-20T12:08:30"/>
    <x v="2"/>
    <s v="Visitor"/>
    <s v="UPI"/>
    <x v="2"/>
    <n v="0.11"/>
    <b v="0"/>
    <n v="317.98810000000003"/>
    <x v="0"/>
    <s v="OK"/>
    <n v="151.52810000000005"/>
    <n v="0.47652129120555153"/>
    <b v="1"/>
    <b v="1"/>
    <b v="0"/>
    <n v="166.45999999999998"/>
  </r>
  <r>
    <s v="O00101"/>
    <d v="2025-07-11T03:26:50"/>
    <x v="0"/>
    <s v="Staff"/>
    <s v="UPI"/>
    <x v="0"/>
    <n v="0"/>
    <b v="1"/>
    <n v="140.83000000000001"/>
    <x v="0"/>
    <s v="OK"/>
    <n v="75.330000000000013"/>
    <n v="0.53490023432507283"/>
    <b v="0"/>
    <b v="1"/>
    <b v="0"/>
    <n v="65.5"/>
  </r>
  <r>
    <s v="O00102"/>
    <d v="2025-08-25T04:43:06"/>
    <x v="2"/>
    <s v="Staff"/>
    <s v="UPI"/>
    <x v="0"/>
    <n v="7.0000000000000007E-2"/>
    <b v="0"/>
    <n v="70.791600000000003"/>
    <x v="0"/>
    <s v="OK"/>
    <n v="31.691600000000001"/>
    <n v="0.44767458286011336"/>
    <b v="0"/>
    <b v="1"/>
    <b v="0"/>
    <n v="39.1"/>
  </r>
  <r>
    <s v="O00103"/>
    <d v="2025-08-06T05:29:33"/>
    <x v="2"/>
    <s v="Visitor"/>
    <s v="UPI"/>
    <x v="0"/>
    <n v="7.0000000000000007E-2"/>
    <b v="0"/>
    <n v="131.20439999999999"/>
    <x v="0"/>
    <s v="OK"/>
    <n v="59.584399999999988"/>
    <n v="0.45413416013487345"/>
    <b v="0"/>
    <b v="1"/>
    <b v="0"/>
    <n v="71.62"/>
  </r>
  <r>
    <s v="O00104"/>
    <d v="2025-07-02T11:28:53"/>
    <x v="1"/>
    <s v="Staff"/>
    <s v="Cash"/>
    <x v="2"/>
    <n v="0.09"/>
    <b v="0"/>
    <n v="49.322000000000003"/>
    <x v="0"/>
    <s v="OK"/>
    <n v="27.372000000000003"/>
    <n v="0.55496532987307901"/>
    <b v="0"/>
    <b v="0"/>
    <b v="1"/>
    <n v="21.95"/>
  </r>
  <r>
    <s v="O00105"/>
    <d v="2025-08-05T09:57:33"/>
    <x v="0"/>
    <s v="Staff"/>
    <s v="UPI"/>
    <x v="0"/>
    <n v="0.01"/>
    <b v="1"/>
    <n v="30.0366"/>
    <x v="0"/>
    <s v="OK"/>
    <n v="15.8566"/>
    <n v="0.527909284006845"/>
    <b v="0"/>
    <b v="0"/>
    <b v="0"/>
    <n v="14.18"/>
  </r>
  <r>
    <s v="O00106"/>
    <d v="2025-08-12T12:45:30"/>
    <x v="2"/>
    <s v="Visitor"/>
    <s v="UPI"/>
    <x v="2"/>
    <n v="0.01"/>
    <b v="1"/>
    <n v="423.67050000000006"/>
    <x v="1"/>
    <s v="OK"/>
    <n v="216.00050000000005"/>
    <n v="0.50983134298942223"/>
    <b v="1"/>
    <b v="1"/>
    <b v="0"/>
    <n v="207.67000000000002"/>
  </r>
  <r>
    <s v="O00107"/>
    <d v="2025-08-22T12:02:01"/>
    <x v="1"/>
    <s v="Staff"/>
    <s v="Card"/>
    <x v="2"/>
    <n v="0.08"/>
    <b v="1"/>
    <n v="57.426400000000001"/>
    <x v="0"/>
    <s v="OK"/>
    <n v="32.046399999999998"/>
    <n v="0.55804299068024454"/>
    <b v="0"/>
    <b v="0"/>
    <b v="0"/>
    <n v="25.380000000000003"/>
  </r>
  <r>
    <s v="O00108"/>
    <d v="2025-08-01T13:01:26"/>
    <x v="2"/>
    <s v="Worker"/>
    <s v="Card"/>
    <x v="2"/>
    <n v="7.0000000000000007E-2"/>
    <b v="1"/>
    <n v="200.38709999999998"/>
    <x v="0"/>
    <s v="OK"/>
    <n v="96.947099999999963"/>
    <n v="0.48379910682873284"/>
    <b v="0"/>
    <b v="1"/>
    <b v="1"/>
    <n v="103.44000000000001"/>
  </r>
  <r>
    <s v="O00109"/>
    <d v="2025-07-24T22:14:34"/>
    <x v="1"/>
    <s v="Visitor"/>
    <s v="UPI"/>
    <x v="1"/>
    <n v="7.0000000000000007E-2"/>
    <b v="1"/>
    <n v="56.432399999999994"/>
    <x v="0"/>
    <s v="OK"/>
    <n v="28.072399999999995"/>
    <n v="0.49745181845889946"/>
    <b v="0"/>
    <b v="0"/>
    <b v="0"/>
    <n v="28.36"/>
  </r>
  <r>
    <s v="O00110"/>
    <d v="2025-08-02T21:51:39"/>
    <x v="2"/>
    <s v="Staff"/>
    <s v="Card"/>
    <x v="1"/>
    <n v="7.0000000000000007E-2"/>
    <b v="1"/>
    <n v="761.72579999999994"/>
    <x v="1"/>
    <s v="HighDisc"/>
    <n v="399.70579999999995"/>
    <n v="0.52473711668949641"/>
    <b v="1"/>
    <b v="0"/>
    <b v="1"/>
    <n v="362.02"/>
  </r>
  <r>
    <s v="O00111"/>
    <d v="2025-08-17T14:04:25"/>
    <x v="2"/>
    <s v="Staff"/>
    <s v="Card"/>
    <x v="2"/>
    <n v="0.03"/>
    <b v="1"/>
    <n v="335.51330000000002"/>
    <x v="1"/>
    <s v="OK"/>
    <n v="153.83330000000001"/>
    <n v="0.45850134704048989"/>
    <b v="1"/>
    <b v="0"/>
    <b v="0"/>
    <n v="181.68"/>
  </r>
  <r>
    <s v="O00112"/>
    <d v="2025-07-28T09:39:05"/>
    <x v="0"/>
    <s v="Visitor"/>
    <s v="Card"/>
    <x v="0"/>
    <n v="7.0000000000000007E-2"/>
    <b v="1"/>
    <n v="409.14420000000001"/>
    <x v="1"/>
    <s v="OK"/>
    <n v="184.1542"/>
    <n v="0.45009607859527279"/>
    <b v="1"/>
    <b v="0"/>
    <b v="1"/>
    <n v="224.99"/>
  </r>
  <r>
    <s v="O00113"/>
    <d v="2025-07-02T05:39:13"/>
    <x v="0"/>
    <s v="Worker"/>
    <s v="Cash"/>
    <x v="0"/>
    <n v="7.0000000000000007E-2"/>
    <b v="0"/>
    <n v="509.79810000000003"/>
    <x v="0"/>
    <s v="OK"/>
    <n v="247.55810000000002"/>
    <n v="0.48560027979704123"/>
    <b v="1"/>
    <b v="0"/>
    <b v="1"/>
    <n v="262.24"/>
  </r>
  <r>
    <s v="O00114"/>
    <d v="2025-08-09T17:02:46"/>
    <x v="1"/>
    <s v="Visitor"/>
    <s v="Cash"/>
    <x v="1"/>
    <n v="0.03"/>
    <b v="0"/>
    <n v="251.20089999999999"/>
    <x v="0"/>
    <s v="OK"/>
    <n v="139.4709"/>
    <n v="0.55521656172410216"/>
    <b v="0"/>
    <b v="1"/>
    <b v="1"/>
    <n v="111.72999999999999"/>
  </r>
  <r>
    <s v="O00115"/>
    <d v="2025-08-17T21:41:47"/>
    <x v="1"/>
    <s v="Worker"/>
    <s v="Cash"/>
    <x v="1"/>
    <n v="0.13"/>
    <b v="1"/>
    <n v="750.9926999999999"/>
    <x v="1"/>
    <s v="HighDisc"/>
    <n v="356.40269999999992"/>
    <n v="0.47457545193182299"/>
    <b v="1"/>
    <b v="0"/>
    <b v="1"/>
    <n v="394.59"/>
  </r>
  <r>
    <s v="O00116"/>
    <d v="2025-07-22T18:21:25"/>
    <x v="1"/>
    <s v="Visitor"/>
    <s v="Cash"/>
    <x v="1"/>
    <n v="0.08"/>
    <b v="1"/>
    <n v="376.96080000000006"/>
    <x v="1"/>
    <s v="OK"/>
    <n v="197.35080000000008"/>
    <n v="0.52353135922886418"/>
    <b v="1"/>
    <b v="1"/>
    <b v="0"/>
    <n v="179.60999999999999"/>
  </r>
  <r>
    <s v="O00117"/>
    <d v="2025-08-26T17:07:21"/>
    <x v="1"/>
    <s v="Staff"/>
    <s v="UPI"/>
    <x v="1"/>
    <n v="0.01"/>
    <b v="1"/>
    <n v="667.4085"/>
    <x v="0"/>
    <s v="OK"/>
    <n v="362.94850000000002"/>
    <n v="0.54381761694674258"/>
    <b v="0"/>
    <b v="1"/>
    <b v="1"/>
    <n v="304.45999999999998"/>
  </r>
  <r>
    <s v="O00118"/>
    <d v="2025-08-03T15:00:46"/>
    <x v="1"/>
    <s v="Visitor"/>
    <s v="UPI"/>
    <x v="2"/>
    <n v="0.09"/>
    <b v="0"/>
    <n v="47.729500000000002"/>
    <x v="0"/>
    <s v="OK"/>
    <n v="21.929500000000001"/>
    <n v="0.45945379691804861"/>
    <b v="0"/>
    <b v="1"/>
    <b v="0"/>
    <n v="25.8"/>
  </r>
  <r>
    <s v="O00119"/>
    <d v="2025-08-04T09:46:40"/>
    <x v="0"/>
    <s v="Staff"/>
    <s v="Card"/>
    <x v="0"/>
    <n v="0.02"/>
    <b v="0"/>
    <n v="69.129200000000012"/>
    <x v="0"/>
    <s v="OK"/>
    <n v="33.319200000000009"/>
    <n v="0.48198445808717594"/>
    <b v="0"/>
    <b v="1"/>
    <b v="0"/>
    <n v="35.81"/>
  </r>
  <r>
    <s v="O00120"/>
    <d v="2025-07-25T15:48:46"/>
    <x v="2"/>
    <s v="Worker"/>
    <s v="UPI"/>
    <x v="2"/>
    <n v="0.09"/>
    <b v="1"/>
    <n v="82.491500000000002"/>
    <x v="0"/>
    <s v="OK"/>
    <n v="38.6815"/>
    <n v="0.46891497911906072"/>
    <b v="0"/>
    <b v="1"/>
    <b v="0"/>
    <n v="43.81"/>
  </r>
  <r>
    <s v="O00121"/>
    <d v="2025-07-31T21:16:48"/>
    <x v="2"/>
    <s v="Visitor"/>
    <s v="UPI"/>
    <x v="1"/>
    <n v="0.11"/>
    <b v="0"/>
    <n v="541.0933"/>
    <x v="0"/>
    <s v="HighDisc"/>
    <n v="265.25330000000002"/>
    <n v="0.49021730633145899"/>
    <b v="0"/>
    <b v="1"/>
    <b v="1"/>
    <n v="275.83999999999997"/>
  </r>
  <r>
    <s v="O00122"/>
    <d v="2025-07-19T20:19:22"/>
    <x v="2"/>
    <s v="Visitor"/>
    <s v="Card"/>
    <x v="1"/>
    <n v="0.03"/>
    <b v="1"/>
    <n v="615.94029999999998"/>
    <x v="1"/>
    <s v="OK"/>
    <n v="324.30029999999999"/>
    <n v="0.52651255324582591"/>
    <b v="1"/>
    <b v="0"/>
    <b v="1"/>
    <n v="291.64"/>
  </r>
  <r>
    <s v="O00123"/>
    <d v="2025-08-27T11:50:13"/>
    <x v="0"/>
    <s v="Visitor"/>
    <s v="Card"/>
    <x v="2"/>
    <n v="0.1"/>
    <b v="0"/>
    <n v="986.59799999999996"/>
    <x v="0"/>
    <s v="HighDisc"/>
    <n v="470.08799999999985"/>
    <n v="0.47647370053456412"/>
    <b v="1"/>
    <b v="1"/>
    <b v="1"/>
    <n v="516.5100000000001"/>
  </r>
  <r>
    <s v="O00124"/>
    <d v="2025-07-20T02:19:36"/>
    <x v="1"/>
    <s v="Worker"/>
    <s v="Card"/>
    <x v="0"/>
    <n v="0.08"/>
    <b v="1"/>
    <n v="858.01959999999997"/>
    <x v="1"/>
    <s v="HighDisc"/>
    <n v="445.96959999999996"/>
    <n v="0.51976621513074994"/>
    <b v="1"/>
    <b v="0"/>
    <b v="1"/>
    <n v="412.05"/>
  </r>
  <r>
    <s v="O00125"/>
    <d v="2025-07-30T14:20:04"/>
    <x v="2"/>
    <s v="Visitor"/>
    <s v="UPI"/>
    <x v="2"/>
    <n v="0.09"/>
    <b v="0"/>
    <n v="155.61000000000001"/>
    <x v="0"/>
    <s v="OK"/>
    <n v="84.690000000000012"/>
    <n v="0.54424522845575485"/>
    <b v="0"/>
    <b v="0"/>
    <b v="1"/>
    <n v="70.92"/>
  </r>
  <r>
    <s v="O00126"/>
    <d v="2025-07-27T21:11:30"/>
    <x v="2"/>
    <s v="Worker"/>
    <s v="UPI"/>
    <x v="1"/>
    <n v="0.14000000000000001"/>
    <b v="0"/>
    <n v="318.2516"/>
    <x v="0"/>
    <s v="HighDisc"/>
    <n v="124.11160000000001"/>
    <n v="0.38997950049583413"/>
    <b v="1"/>
    <b v="1"/>
    <b v="1"/>
    <n v="194.14"/>
  </r>
  <r>
    <s v="O00127"/>
    <d v="2025-07-13T12:15:09"/>
    <x v="0"/>
    <s v="Staff"/>
    <s v="Cash"/>
    <x v="2"/>
    <n v="0.05"/>
    <b v="1"/>
    <n v="191.672"/>
    <x v="0"/>
    <s v="OK"/>
    <n v="91.691999999999993"/>
    <n v="0.47837973204223877"/>
    <b v="0"/>
    <b v="1"/>
    <b v="0"/>
    <n v="99.98"/>
  </r>
  <r>
    <s v="O00128"/>
    <d v="2025-08-25T23:39:59"/>
    <x v="1"/>
    <s v="Staff"/>
    <s v="Card"/>
    <x v="1"/>
    <n v="0.03"/>
    <b v="1"/>
    <n v="699.23419999999999"/>
    <x v="1"/>
    <s v="OK"/>
    <n v="361.45419999999996"/>
    <n v="0.51692866281426164"/>
    <b v="1"/>
    <b v="1"/>
    <b v="0"/>
    <n v="337.78000000000003"/>
  </r>
  <r>
    <s v="O00129"/>
    <d v="2025-08-03T07:54:08"/>
    <x v="2"/>
    <s v="Worker"/>
    <s v="Card"/>
    <x v="0"/>
    <n v="0.02"/>
    <b v="0"/>
    <n v="735.34300000000007"/>
    <x v="0"/>
    <s v="OK"/>
    <n v="409.27300000000008"/>
    <n v="0.55657427894193601"/>
    <b v="1"/>
    <b v="0"/>
    <b v="1"/>
    <n v="326.07"/>
  </r>
  <r>
    <s v="O00130"/>
    <d v="2025-07-12T07:50:32"/>
    <x v="2"/>
    <s v="Staff"/>
    <s v="Card"/>
    <x v="0"/>
    <n v="0.03"/>
    <b v="0"/>
    <n v="404.48029999999994"/>
    <x v="0"/>
    <s v="OK"/>
    <n v="205.01029999999994"/>
    <n v="0.50684866481754487"/>
    <b v="0"/>
    <b v="1"/>
    <b v="1"/>
    <n v="199.47"/>
  </r>
  <r>
    <s v="O00131"/>
    <d v="2025-08-26T06:33:24"/>
    <x v="0"/>
    <s v="Visitor"/>
    <s v="Cash"/>
    <x v="0"/>
    <n v="0.06"/>
    <b v="1"/>
    <n v="593.14"/>
    <x v="1"/>
    <s v="OK"/>
    <n v="289.13"/>
    <n v="0.48745658697777927"/>
    <b v="1"/>
    <b v="0"/>
    <b v="0"/>
    <n v="304.01"/>
  </r>
  <r>
    <s v="O00132"/>
    <d v="2025-07-15T17:39:20"/>
    <x v="0"/>
    <s v="Staff"/>
    <s v="Cash"/>
    <x v="1"/>
    <n v="7.0000000000000007E-2"/>
    <b v="0"/>
    <n v="456.17430000000002"/>
    <x v="0"/>
    <s v="OK"/>
    <n v="236.99430000000001"/>
    <n v="0.51952576021928465"/>
    <b v="1"/>
    <b v="0"/>
    <b v="1"/>
    <n v="219.18"/>
  </r>
  <r>
    <s v="O00133"/>
    <d v="2025-07-12T18:00:43"/>
    <x v="0"/>
    <s v="Staff"/>
    <s v="UPI"/>
    <x v="1"/>
    <n v="7.0000000000000007E-2"/>
    <b v="1"/>
    <n v="349.8381"/>
    <x v="0"/>
    <s v="OK"/>
    <n v="179.72809999999998"/>
    <n v="0.51374650159602397"/>
    <b v="0"/>
    <b v="0"/>
    <b v="1"/>
    <n v="170.11"/>
  </r>
  <r>
    <s v="O00134"/>
    <d v="2025-08-20T23:40:56"/>
    <x v="1"/>
    <s v="Staff"/>
    <s v="Card"/>
    <x v="1"/>
    <n v="0.09"/>
    <b v="1"/>
    <n v="90.035399999999996"/>
    <x v="0"/>
    <s v="OK"/>
    <n v="54.5154"/>
    <n v="0.60548850785357766"/>
    <b v="0"/>
    <b v="0"/>
    <b v="0"/>
    <n v="35.519999999999996"/>
  </r>
  <r>
    <s v="O00135"/>
    <d v="2025-08-27T09:21:46"/>
    <x v="1"/>
    <s v="Staff"/>
    <s v="UPI"/>
    <x v="0"/>
    <n v="0.06"/>
    <b v="1"/>
    <n v="188.19739999999999"/>
    <x v="0"/>
    <s v="OK"/>
    <n v="98.23739999999998"/>
    <n v="0.52199127086771646"/>
    <b v="0"/>
    <b v="0"/>
    <b v="1"/>
    <n v="89.960000000000008"/>
  </r>
  <r>
    <s v="O00136"/>
    <d v="2025-08-29T10:32:34"/>
    <x v="0"/>
    <s v="Worker"/>
    <s v="Cash"/>
    <x v="0"/>
    <n v="0.12"/>
    <b v="0"/>
    <n v="492.90560000000005"/>
    <x v="0"/>
    <s v="HighDisc"/>
    <n v="248.86560000000006"/>
    <n v="0.50489505495575626"/>
    <b v="1"/>
    <b v="1"/>
    <b v="0"/>
    <n v="244.04"/>
  </r>
  <r>
    <s v="O00137"/>
    <d v="2025-07-26T22:40:12"/>
    <x v="0"/>
    <s v="Worker"/>
    <s v="Cash"/>
    <x v="1"/>
    <n v="0.05"/>
    <b v="1"/>
    <n v="299.93399999999997"/>
    <x v="1"/>
    <s v="OK"/>
    <n v="139.51399999999995"/>
    <n v="0.46514899944654481"/>
    <b v="1"/>
    <b v="0"/>
    <b v="1"/>
    <n v="160.42000000000002"/>
  </r>
  <r>
    <s v="O00138"/>
    <d v="2025-07-18T03:00:53"/>
    <x v="0"/>
    <s v="Worker"/>
    <s v="Cash"/>
    <x v="0"/>
    <n v="0.17"/>
    <b v="0"/>
    <n v="83.315399999999997"/>
    <x v="0"/>
    <s v="OK"/>
    <n v="38.095399999999998"/>
    <n v="0.45724319873636804"/>
    <b v="0"/>
    <b v="1"/>
    <b v="0"/>
    <n v="45.22"/>
  </r>
  <r>
    <s v="O00139"/>
    <d v="2025-08-09T21:54:53"/>
    <x v="1"/>
    <s v="Visitor"/>
    <s v="UPI"/>
    <x v="1"/>
    <n v="0.09"/>
    <b v="0"/>
    <n v="661.30610000000001"/>
    <x v="0"/>
    <s v="HighDisc"/>
    <n v="333.18610000000001"/>
    <n v="0.50383037446652923"/>
    <b v="1"/>
    <b v="1"/>
    <b v="1"/>
    <n v="328.12"/>
  </r>
  <r>
    <s v="O00140"/>
    <d v="2025-07-29T12:41:00"/>
    <x v="2"/>
    <s v="Worker"/>
    <s v="Card"/>
    <x v="2"/>
    <n v="0.03"/>
    <b v="1"/>
    <n v="310.73950000000002"/>
    <x v="0"/>
    <s v="OK"/>
    <n v="163.60950000000003"/>
    <n v="0.52651658382664579"/>
    <b v="0"/>
    <b v="1"/>
    <b v="0"/>
    <n v="147.13"/>
  </r>
  <r>
    <s v="O00141"/>
    <d v="2025-08-14T07:58:10"/>
    <x v="2"/>
    <s v="Visitor"/>
    <s v="Cash"/>
    <x v="0"/>
    <n v="0.02"/>
    <b v="1"/>
    <n v="79.2624"/>
    <x v="0"/>
    <s v="OK"/>
    <n v="39.572400000000002"/>
    <n v="0.49925816023738873"/>
    <b v="0"/>
    <b v="1"/>
    <b v="0"/>
    <n v="39.69"/>
  </r>
  <r>
    <s v="O00142"/>
    <d v="2025-08-27T12:18:33"/>
    <x v="0"/>
    <s v="Worker"/>
    <s v="Card"/>
    <x v="2"/>
    <n v="0.08"/>
    <b v="1"/>
    <n v="164.67999999999998"/>
    <x v="0"/>
    <s v="OK"/>
    <n v="82.95999999999998"/>
    <n v="0.50376487733786735"/>
    <b v="0"/>
    <b v="1"/>
    <b v="0"/>
    <n v="81.72"/>
  </r>
  <r>
    <s v="O00143"/>
    <d v="2025-08-23T02:55:20"/>
    <x v="2"/>
    <s v="Visitor"/>
    <s v="Cash"/>
    <x v="0"/>
    <n v="0.05"/>
    <b v="1"/>
    <n v="38.208999999999996"/>
    <x v="0"/>
    <s v="OK"/>
    <n v="22.208999999999996"/>
    <n v="0.58125049072208113"/>
    <b v="0"/>
    <b v="0"/>
    <b v="0"/>
    <n v="16"/>
  </r>
  <r>
    <s v="O00144"/>
    <d v="2025-07-15T01:26:04"/>
    <x v="2"/>
    <s v="Worker"/>
    <s v="Cash"/>
    <x v="0"/>
    <n v="0.09"/>
    <b v="0"/>
    <n v="47.729500000000002"/>
    <x v="0"/>
    <s v="OK"/>
    <n v="21.929500000000001"/>
    <n v="0.45945379691804861"/>
    <b v="0"/>
    <b v="1"/>
    <b v="0"/>
    <n v="25.8"/>
  </r>
  <r>
    <s v="O00145"/>
    <d v="2025-08-28T00:33:11"/>
    <x v="0"/>
    <s v="Visitor"/>
    <s v="Card"/>
    <x v="0"/>
    <n v="0.08"/>
    <b v="1"/>
    <n v="328.09960000000001"/>
    <x v="0"/>
    <s v="OK"/>
    <n v="177.33960000000002"/>
    <n v="0.54050538312146679"/>
    <b v="0"/>
    <b v="0"/>
    <b v="1"/>
    <n v="150.76"/>
  </r>
  <r>
    <s v="O00146"/>
    <d v="2025-07-13T07:45:54"/>
    <x v="1"/>
    <s v="Visitor"/>
    <s v="Card"/>
    <x v="0"/>
    <n v="0.06"/>
    <b v="1"/>
    <n v="1569.9879999999998"/>
    <x v="1"/>
    <s v="HighDisc"/>
    <n v="802.29799999999989"/>
    <n v="0.5110217402935564"/>
    <b v="1"/>
    <b v="0"/>
    <b v="1"/>
    <n v="767.68999999999994"/>
  </r>
  <r>
    <s v="O00147"/>
    <d v="2025-07-27T16:22:46"/>
    <x v="0"/>
    <s v="Visitor"/>
    <s v="Card"/>
    <x v="1"/>
    <n v="0.03"/>
    <b v="1"/>
    <n v="357.67779999999999"/>
    <x v="1"/>
    <s v="OK"/>
    <n v="198.38780000000003"/>
    <n v="0.55465505547171234"/>
    <b v="1"/>
    <b v="1"/>
    <b v="0"/>
    <n v="159.28999999999996"/>
  </r>
  <r>
    <s v="O00148"/>
    <d v="2025-07-09T01:26:35"/>
    <x v="0"/>
    <s v="Worker"/>
    <s v="Card"/>
    <x v="0"/>
    <n v="0"/>
    <b v="1"/>
    <n v="70.290000000000006"/>
    <x v="0"/>
    <s v="OK"/>
    <n v="40.600000000000009"/>
    <n v="0.57760705648029598"/>
    <b v="0"/>
    <b v="1"/>
    <b v="0"/>
    <n v="29.689999999999998"/>
  </r>
  <r>
    <s v="O00149"/>
    <d v="2025-08-28T20:45:17"/>
    <x v="1"/>
    <s v="Worker"/>
    <s v="Cash"/>
    <x v="1"/>
    <n v="0.04"/>
    <b v="0"/>
    <n v="286.22400000000005"/>
    <x v="0"/>
    <s v="OK"/>
    <n v="154.19400000000005"/>
    <n v="0.5387179272178434"/>
    <b v="1"/>
    <b v="1"/>
    <b v="0"/>
    <n v="132.03"/>
  </r>
  <r>
    <s v="O00150"/>
    <d v="2025-08-26T02:18:39"/>
    <x v="0"/>
    <s v="Worker"/>
    <s v="UPI"/>
    <x v="0"/>
    <n v="0.09"/>
    <b v="0"/>
    <n v="741.97760000000017"/>
    <x v="0"/>
    <s v="HighDisc"/>
    <n v="385.53760000000023"/>
    <n v="0.51960813911363379"/>
    <b v="1"/>
    <b v="0"/>
    <b v="0"/>
    <n v="356.43999999999994"/>
  </r>
  <r>
    <s v="O00151"/>
    <d v="2025-08-26T04:45:10"/>
    <x v="2"/>
    <s v="Worker"/>
    <s v="Card"/>
    <x v="0"/>
    <n v="7.0000000000000007E-2"/>
    <b v="0"/>
    <n v="1518.4016999999999"/>
    <x v="0"/>
    <s v="HighDisc"/>
    <n v="746.96169999999984"/>
    <n v="0.49193945185914895"/>
    <b v="1"/>
    <b v="0"/>
    <b v="0"/>
    <n v="771.44"/>
  </r>
  <r>
    <s v="O00152"/>
    <d v="2025-08-13T04:28:09"/>
    <x v="1"/>
    <s v="Worker"/>
    <s v="UPI"/>
    <x v="0"/>
    <n v="0.01"/>
    <b v="1"/>
    <n v="235.04579999999999"/>
    <x v="1"/>
    <s v="OK"/>
    <n v="111.58579999999998"/>
    <n v="0.47474066756351307"/>
    <b v="1"/>
    <b v="0"/>
    <b v="0"/>
    <n v="123.46000000000001"/>
  </r>
  <r>
    <s v="O00153"/>
    <d v="2025-08-17T23:48:14"/>
    <x v="2"/>
    <s v="Staff"/>
    <s v="Card"/>
    <x v="1"/>
    <n v="7.0000000000000007E-2"/>
    <b v="1"/>
    <n v="71.582099999999997"/>
    <x v="0"/>
    <s v="OK"/>
    <n v="35.802099999999996"/>
    <n v="0.5001543682009888"/>
    <b v="0"/>
    <b v="0"/>
    <b v="0"/>
    <n v="35.78"/>
  </r>
  <r>
    <s v="O00154"/>
    <d v="2025-08-02T14:39:53"/>
    <x v="1"/>
    <s v="Visitor"/>
    <s v="Cash"/>
    <x v="2"/>
    <n v="0.08"/>
    <b v="1"/>
    <n v="343.7396"/>
    <x v="0"/>
    <s v="OK"/>
    <n v="183.56960000000001"/>
    <n v="0.53403681158644511"/>
    <b v="0"/>
    <b v="1"/>
    <b v="1"/>
    <n v="160.16999999999999"/>
  </r>
  <r>
    <s v="O00155"/>
    <d v="2025-08-02T06:29:53"/>
    <x v="1"/>
    <s v="Visitor"/>
    <s v="Card"/>
    <x v="0"/>
    <n v="0.02"/>
    <b v="0"/>
    <n v="791.97720000000004"/>
    <x v="0"/>
    <s v="OK"/>
    <n v="411.93720000000008"/>
    <n v="0.52013770093381484"/>
    <b v="1"/>
    <b v="1"/>
    <b v="1"/>
    <n v="380.03999999999996"/>
  </r>
  <r>
    <s v="O00156"/>
    <d v="2025-08-09T03:07:16"/>
    <x v="0"/>
    <s v="Worker"/>
    <s v="Card"/>
    <x v="0"/>
    <n v="7.0000000000000007E-2"/>
    <b v="1"/>
    <n v="939.76499999999999"/>
    <x v="1"/>
    <s v="HighDisc"/>
    <n v="513.06500000000005"/>
    <n v="0.54595031736657573"/>
    <b v="1"/>
    <b v="1"/>
    <b v="1"/>
    <n v="426.69999999999993"/>
  </r>
  <r>
    <s v="O00157"/>
    <d v="2025-07-31T18:52:41"/>
    <x v="1"/>
    <s v="Staff"/>
    <s v="Cash"/>
    <x v="1"/>
    <n v="0.06"/>
    <b v="0"/>
    <n v="860.27859999999998"/>
    <x v="0"/>
    <s v="HighDisc"/>
    <n v="448.36860000000001"/>
    <n v="0.52118999589202852"/>
    <b v="1"/>
    <b v="1"/>
    <b v="1"/>
    <n v="411.90999999999997"/>
  </r>
  <r>
    <s v="O00158"/>
    <d v="2025-08-20T05:05:46"/>
    <x v="2"/>
    <s v="Visitor"/>
    <s v="UPI"/>
    <x v="0"/>
    <n v="0.01"/>
    <b v="1"/>
    <n v="334.40219999999999"/>
    <x v="0"/>
    <s v="OK"/>
    <n v="175.53219999999999"/>
    <n v="0.52491341265099334"/>
    <b v="0"/>
    <b v="1"/>
    <b v="1"/>
    <n v="158.87"/>
  </r>
  <r>
    <s v="O00159"/>
    <d v="2025-08-10T08:56:11"/>
    <x v="2"/>
    <s v="Worker"/>
    <s v="UPI"/>
    <x v="0"/>
    <n v="7.0000000000000007E-2"/>
    <b v="0"/>
    <n v="228.86369999999999"/>
    <x v="0"/>
    <s v="OK"/>
    <n v="116.7837"/>
    <n v="0.5102762036967855"/>
    <b v="1"/>
    <b v="0"/>
    <b v="0"/>
    <n v="112.08"/>
  </r>
  <r>
    <s v="O00160"/>
    <d v="2025-08-18T15:34:23"/>
    <x v="0"/>
    <s v="Staff"/>
    <s v="Cash"/>
    <x v="2"/>
    <n v="0.08"/>
    <b v="0"/>
    <n v="314.32720000000006"/>
    <x v="0"/>
    <s v="OK"/>
    <n v="166.18720000000008"/>
    <n v="0.52870766513365708"/>
    <b v="1"/>
    <b v="0"/>
    <b v="0"/>
    <n v="148.13999999999999"/>
  </r>
  <r>
    <s v="O00161"/>
    <d v="2025-07-27T04:17:10"/>
    <x v="0"/>
    <s v="Worker"/>
    <s v="Card"/>
    <x v="0"/>
    <n v="0.1"/>
    <b v="1"/>
    <n v="636.94800000000009"/>
    <x v="1"/>
    <s v="HighDisc"/>
    <n v="307.53800000000012"/>
    <n v="0.48283062353598738"/>
    <b v="1"/>
    <b v="0"/>
    <b v="1"/>
    <n v="329.40999999999997"/>
  </r>
  <r>
    <s v="O00162"/>
    <d v="2025-08-17T07:27:37"/>
    <x v="2"/>
    <s v="Worker"/>
    <s v="UPI"/>
    <x v="0"/>
    <n v="0.1"/>
    <b v="0"/>
    <n v="406.53899999999999"/>
    <x v="0"/>
    <s v="HighDisc"/>
    <n v="185.22899999999998"/>
    <n v="0.45562418365765645"/>
    <b v="1"/>
    <b v="1"/>
    <b v="1"/>
    <n v="221.31"/>
  </r>
  <r>
    <s v="O00163"/>
    <d v="2025-07-16T15:02:52"/>
    <x v="1"/>
    <s v="Visitor"/>
    <s v="Cash"/>
    <x v="2"/>
    <n v="0"/>
    <b v="0"/>
    <n v="633.67000000000007"/>
    <x v="0"/>
    <s v="OK"/>
    <n v="344.66000000000008"/>
    <n v="0.54391086843309611"/>
    <b v="1"/>
    <b v="1"/>
    <b v="0"/>
    <n v="289.01"/>
  </r>
  <r>
    <s v="O00164"/>
    <d v="2025-08-09T20:41:13"/>
    <x v="2"/>
    <s v="Worker"/>
    <s v="Cash"/>
    <x v="1"/>
    <n v="0.02"/>
    <b v="0"/>
    <n v="194.18700000000001"/>
    <x v="0"/>
    <s v="OK"/>
    <n v="93.427000000000007"/>
    <n v="0.48111871546498991"/>
    <b v="0"/>
    <b v="1"/>
    <b v="1"/>
    <n v="100.76"/>
  </r>
  <r>
    <s v="O00165"/>
    <d v="2025-07-12T15:42:57"/>
    <x v="0"/>
    <s v="Worker"/>
    <s v="Card"/>
    <x v="2"/>
    <n v="0.08"/>
    <b v="1"/>
    <n v="146.00400000000002"/>
    <x v="0"/>
    <s v="OK"/>
    <n v="77.134000000000015"/>
    <n v="0.52830059450426015"/>
    <b v="0"/>
    <b v="1"/>
    <b v="0"/>
    <n v="68.87"/>
  </r>
  <r>
    <s v="O00166"/>
    <d v="2025-08-19T15:45:27"/>
    <x v="0"/>
    <s v="Staff"/>
    <s v="Card"/>
    <x v="2"/>
    <n v="0.08"/>
    <b v="1"/>
    <n v="91.024799999999999"/>
    <x v="0"/>
    <s v="OK"/>
    <n v="55.504800000000003"/>
    <n v="0.60977667624647358"/>
    <b v="0"/>
    <b v="0"/>
    <b v="0"/>
    <n v="35.519999999999996"/>
  </r>
  <r>
    <s v="O00167"/>
    <d v="2025-08-16T02:21:06"/>
    <x v="2"/>
    <s v="Staff"/>
    <s v="UPI"/>
    <x v="0"/>
    <n v="0.08"/>
    <b v="1"/>
    <n v="37.002400000000002"/>
    <x v="0"/>
    <s v="OK"/>
    <n v="21.002400000000002"/>
    <n v="0.5675956154195404"/>
    <b v="0"/>
    <b v="0"/>
    <b v="0"/>
    <n v="16"/>
  </r>
  <r>
    <s v="O00168"/>
    <d v="2025-08-07T11:49:12"/>
    <x v="2"/>
    <s v="Visitor"/>
    <s v="UPI"/>
    <x v="2"/>
    <n v="0.21"/>
    <b v="0"/>
    <n v="331.4366"/>
    <x v="0"/>
    <s v="HighDisc"/>
    <n v="108.75660000000002"/>
    <n v="0.3281369649580041"/>
    <b v="1"/>
    <b v="1"/>
    <b v="1"/>
    <n v="222.67999999999998"/>
  </r>
  <r>
    <s v="O00169"/>
    <d v="2025-07-08T00:40:09"/>
    <x v="1"/>
    <s v="Staff"/>
    <s v="Card"/>
    <x v="0"/>
    <n v="0.08"/>
    <b v="1"/>
    <n v="318.40280000000001"/>
    <x v="1"/>
    <s v="OK"/>
    <n v="167.31280000000004"/>
    <n v="0.52547527848373199"/>
    <b v="1"/>
    <b v="0"/>
    <b v="1"/>
    <n v="151.08999999999997"/>
  </r>
  <r>
    <s v="O00170"/>
    <d v="2025-07-27T04:33:26"/>
    <x v="2"/>
    <s v="Staff"/>
    <s v="UPI"/>
    <x v="0"/>
    <n v="0.11"/>
    <b v="1"/>
    <n v="153.614"/>
    <x v="0"/>
    <s v="OK"/>
    <n v="77.183999999999997"/>
    <n v="0.50245420339291991"/>
    <b v="0"/>
    <b v="1"/>
    <b v="0"/>
    <n v="76.430000000000007"/>
  </r>
  <r>
    <s v="O00171"/>
    <d v="2025-08-27T05:39:50"/>
    <x v="0"/>
    <s v="Visitor"/>
    <s v="Card"/>
    <x v="0"/>
    <n v="0.1"/>
    <b v="0"/>
    <n v="502.74000000000007"/>
    <x v="0"/>
    <s v="HighDisc"/>
    <n v="237.87000000000006"/>
    <n v="0.47314715359828147"/>
    <b v="1"/>
    <b v="1"/>
    <b v="0"/>
    <n v="264.87"/>
  </r>
  <r>
    <s v="O00172"/>
    <d v="2025-08-13T14:31:51"/>
    <x v="0"/>
    <s v="Staff"/>
    <s v="Card"/>
    <x v="2"/>
    <n v="0.09"/>
    <b v="0"/>
    <n v="414.25020000000006"/>
    <x v="0"/>
    <s v="HighDisc"/>
    <n v="221.81020000000007"/>
    <n v="0.53544983200973717"/>
    <b v="1"/>
    <b v="0"/>
    <b v="0"/>
    <n v="192.44"/>
  </r>
  <r>
    <s v="O00173"/>
    <d v="2025-08-23T20:03:38"/>
    <x v="0"/>
    <s v="Staff"/>
    <s v="Card"/>
    <x v="1"/>
    <n v="0.05"/>
    <b v="0"/>
    <n v="488.12900000000002"/>
    <x v="0"/>
    <s v="OK"/>
    <n v="245.64900000000003"/>
    <n v="0.50324606815001771"/>
    <b v="1"/>
    <b v="0"/>
    <b v="0"/>
    <n v="242.48"/>
  </r>
  <r>
    <s v="O00174"/>
    <d v="2025-07-19T13:35:30"/>
    <x v="0"/>
    <s v="Worker"/>
    <s v="UPI"/>
    <x v="2"/>
    <n v="0.09"/>
    <b v="1"/>
    <n v="243.8982"/>
    <x v="0"/>
    <s v="OK"/>
    <n v="124.3182"/>
    <n v="0.50971347882026186"/>
    <b v="0"/>
    <b v="0"/>
    <b v="1"/>
    <n v="119.58"/>
  </r>
  <r>
    <s v="O00175"/>
    <d v="2025-07-23T22:14:23"/>
    <x v="1"/>
    <s v="Worker"/>
    <s v="Card"/>
    <x v="1"/>
    <n v="0.03"/>
    <b v="0"/>
    <n v="318.15030000000002"/>
    <x v="0"/>
    <s v="OK"/>
    <n v="176.71030000000002"/>
    <n v="0.55543024790484252"/>
    <b v="1"/>
    <b v="1"/>
    <b v="0"/>
    <n v="141.44"/>
  </r>
  <r>
    <s v="O00176"/>
    <d v="2025-08-07T06:19:58"/>
    <x v="1"/>
    <s v="Visitor"/>
    <s v="UPI"/>
    <x v="0"/>
    <n v="0.05"/>
    <b v="1"/>
    <n v="479.39850000000001"/>
    <x v="1"/>
    <s v="OK"/>
    <n v="253.9385"/>
    <n v="0.52970232489254765"/>
    <b v="1"/>
    <b v="0"/>
    <b v="0"/>
    <n v="225.46"/>
  </r>
  <r>
    <s v="O00177"/>
    <d v="2025-08-18T08:11:57"/>
    <x v="2"/>
    <s v="Worker"/>
    <s v="UPI"/>
    <x v="0"/>
    <n v="0.04"/>
    <b v="1"/>
    <n v="145.91039999999998"/>
    <x v="0"/>
    <s v="OK"/>
    <n v="69.440399999999983"/>
    <n v="0.4759112441608"/>
    <b v="0"/>
    <b v="1"/>
    <b v="1"/>
    <n v="76.47"/>
  </r>
  <r>
    <s v="O00178"/>
    <d v="2025-07-10T23:51:59"/>
    <x v="1"/>
    <s v="Worker"/>
    <s v="UPI"/>
    <x v="1"/>
    <n v="0.06"/>
    <b v="0"/>
    <n v="976.71639999999991"/>
    <x v="0"/>
    <s v="HighDisc"/>
    <n v="497.87639999999999"/>
    <n v="0.5097451010344457"/>
    <b v="1"/>
    <b v="0"/>
    <b v="1"/>
    <n v="478.83999999999992"/>
  </r>
  <r>
    <s v="O00179"/>
    <d v="2025-07-02T17:45:44"/>
    <x v="0"/>
    <s v="Worker"/>
    <s v="Card"/>
    <x v="1"/>
    <n v="0.15"/>
    <b v="0"/>
    <n v="339.08199999999999"/>
    <x v="0"/>
    <s v="HighDisc"/>
    <n v="155.98199999999997"/>
    <n v="0.46001262231554602"/>
    <b v="1"/>
    <b v="1"/>
    <b v="0"/>
    <n v="183.10000000000002"/>
  </r>
  <r>
    <s v="O00180"/>
    <d v="2025-07-08T12:21:44"/>
    <x v="1"/>
    <s v="Staff"/>
    <s v="Card"/>
    <x v="2"/>
    <n v="0"/>
    <b v="1"/>
    <n v="28.43"/>
    <x v="0"/>
    <s v="OK"/>
    <n v="14.54"/>
    <n v="0.51143158635244457"/>
    <b v="0"/>
    <b v="0"/>
    <b v="0"/>
    <n v="13.89"/>
  </r>
  <r>
    <s v="O00181"/>
    <d v="2025-07-09T01:08:53"/>
    <x v="1"/>
    <s v="Visitor"/>
    <s v="UPI"/>
    <x v="0"/>
    <n v="0.09"/>
    <b v="0"/>
    <n v="1182.9727000000003"/>
    <x v="0"/>
    <s v="HighDisc"/>
    <n v="602.71270000000038"/>
    <n v="0.50948994850007967"/>
    <b v="1"/>
    <b v="0"/>
    <b v="1"/>
    <n v="580.25999999999988"/>
  </r>
  <r>
    <s v="O00182"/>
    <d v="2025-07-31T23:52:26"/>
    <x v="0"/>
    <s v="Visitor"/>
    <s v="Card"/>
    <x v="1"/>
    <n v="0"/>
    <b v="0"/>
    <n v="52.45"/>
    <x v="0"/>
    <s v="OK"/>
    <n v="26.650000000000002"/>
    <n v="0.50810295519542426"/>
    <b v="0"/>
    <b v="1"/>
    <b v="0"/>
    <n v="25.8"/>
  </r>
  <r>
    <s v="O00183"/>
    <d v="2025-07-04T17:39:03"/>
    <x v="0"/>
    <s v="Worker"/>
    <s v="Cash"/>
    <x v="1"/>
    <n v="0.04"/>
    <b v="1"/>
    <n v="150.70079999999999"/>
    <x v="0"/>
    <s v="OK"/>
    <n v="84.480799999999988"/>
    <n v="0.56058627425999064"/>
    <b v="0"/>
    <b v="0"/>
    <b v="0"/>
    <n v="66.22"/>
  </r>
  <r>
    <s v="O00184"/>
    <d v="2025-07-23T08:04:53"/>
    <x v="0"/>
    <s v="Worker"/>
    <s v="Card"/>
    <x v="0"/>
    <n v="0.1"/>
    <b v="0"/>
    <n v="130.78800000000001"/>
    <x v="0"/>
    <s v="OK"/>
    <n v="59.488000000000014"/>
    <n v="0.45484295195277863"/>
    <b v="0"/>
    <b v="1"/>
    <b v="1"/>
    <n v="71.3"/>
  </r>
  <r>
    <s v="O00185"/>
    <d v="2025-07-11T00:11:55"/>
    <x v="1"/>
    <s v="Worker"/>
    <s v="UPI"/>
    <x v="0"/>
    <n v="0.06"/>
    <b v="1"/>
    <n v="138.85679999999999"/>
    <x v="0"/>
    <s v="OK"/>
    <n v="65.90679999999999"/>
    <n v="0.47463862050688188"/>
    <b v="0"/>
    <b v="1"/>
    <b v="1"/>
    <n v="72.95"/>
  </r>
  <r>
    <s v="O00186"/>
    <d v="2025-07-04T01:27:07"/>
    <x v="2"/>
    <s v="Staff"/>
    <s v="Cash"/>
    <x v="0"/>
    <n v="0.02"/>
    <b v="1"/>
    <n v="59.4664"/>
    <x v="0"/>
    <s v="OK"/>
    <n v="31.106400000000001"/>
    <n v="0.52309203180283326"/>
    <b v="0"/>
    <b v="0"/>
    <b v="0"/>
    <n v="28.36"/>
  </r>
  <r>
    <s v="O00187"/>
    <d v="2025-08-05T01:16:48"/>
    <x v="1"/>
    <s v="Staff"/>
    <s v="Cash"/>
    <x v="0"/>
    <n v="0.03"/>
    <b v="1"/>
    <n v="403.25810000000001"/>
    <x v="1"/>
    <s v="OK"/>
    <n v="225.79810000000003"/>
    <n v="0.55993444397025138"/>
    <b v="1"/>
    <b v="1"/>
    <b v="1"/>
    <n v="177.45999999999998"/>
  </r>
  <r>
    <s v="O00188"/>
    <d v="2025-08-21T19:42:26"/>
    <x v="1"/>
    <s v="Visitor"/>
    <s v="UPI"/>
    <x v="1"/>
    <n v="0.09"/>
    <b v="1"/>
    <n v="186.86850000000001"/>
    <x v="0"/>
    <s v="OK"/>
    <n v="93.688500000000005"/>
    <n v="0.50136058244166348"/>
    <b v="0"/>
    <b v="1"/>
    <b v="0"/>
    <n v="93.18"/>
  </r>
  <r>
    <s v="O00189"/>
    <d v="2025-07-17T18:05:26"/>
    <x v="2"/>
    <s v="Worker"/>
    <s v="UPI"/>
    <x v="1"/>
    <n v="0.03"/>
    <b v="1"/>
    <n v="584.85180000000003"/>
    <x v="1"/>
    <s v="OK"/>
    <n v="308.8818"/>
    <n v="0.5281368715972149"/>
    <b v="1"/>
    <b v="1"/>
    <b v="0"/>
    <n v="275.97000000000003"/>
  </r>
  <r>
    <s v="O00190"/>
    <d v="2025-07-24T15:10:26"/>
    <x v="1"/>
    <s v="Visitor"/>
    <s v="Cash"/>
    <x v="2"/>
    <n v="7.0000000000000007E-2"/>
    <b v="0"/>
    <n v="136.15199999999999"/>
    <x v="0"/>
    <s v="OK"/>
    <n v="55.231999999999985"/>
    <n v="0.40566425759445318"/>
    <b v="1"/>
    <b v="0"/>
    <b v="0"/>
    <n v="80.92"/>
  </r>
  <r>
    <s v="O00191"/>
    <d v="2025-08-15T00:33:25"/>
    <x v="0"/>
    <s v="Staff"/>
    <s v="Card"/>
    <x v="0"/>
    <n v="0.06"/>
    <b v="0"/>
    <n v="255.2946"/>
    <x v="0"/>
    <s v="OK"/>
    <n v="122.65460000000002"/>
    <n v="0.48044337796412462"/>
    <b v="0"/>
    <b v="1"/>
    <b v="1"/>
    <n v="132.63999999999999"/>
  </r>
  <r>
    <s v="O00192"/>
    <d v="2025-07-02T03:53:51"/>
    <x v="1"/>
    <s v="Staff"/>
    <s v="UPI"/>
    <x v="0"/>
    <n v="0.03"/>
    <b v="0"/>
    <n v="498.40540000000004"/>
    <x v="0"/>
    <s v="OK"/>
    <n v="255.92540000000005"/>
    <n v="0.51348841726032668"/>
    <b v="1"/>
    <b v="0"/>
    <b v="0"/>
    <n v="242.48"/>
  </r>
  <r>
    <s v="O00193"/>
    <d v="2025-07-16T14:06:35"/>
    <x v="2"/>
    <s v="Staff"/>
    <s v="Card"/>
    <x v="2"/>
    <n v="0.15"/>
    <b v="1"/>
    <n v="209.661"/>
    <x v="0"/>
    <s v="OK"/>
    <n v="101.191"/>
    <n v="0.482641025274133"/>
    <b v="0"/>
    <b v="1"/>
    <b v="1"/>
    <n v="108.47"/>
  </r>
  <r>
    <s v="O00194"/>
    <d v="2025-08-11T10:42:41"/>
    <x v="0"/>
    <s v="Staff"/>
    <s v="Card"/>
    <x v="0"/>
    <n v="0.09"/>
    <b v="1"/>
    <n v="227.2088"/>
    <x v="0"/>
    <s v="OK"/>
    <n v="111.62879999999998"/>
    <n v="0.49130491424627915"/>
    <b v="0"/>
    <b v="1"/>
    <b v="0"/>
    <n v="115.58000000000001"/>
  </r>
  <r>
    <s v="O00195"/>
    <d v="2025-07-20T14:12:33"/>
    <x v="1"/>
    <s v="Staff"/>
    <s v="Cash"/>
    <x v="2"/>
    <n v="0"/>
    <b v="0"/>
    <n v="731"/>
    <x v="0"/>
    <s v="OK"/>
    <n v="394.33000000000004"/>
    <n v="0.53943912448700415"/>
    <b v="1"/>
    <b v="1"/>
    <b v="1"/>
    <n v="336.66999999999996"/>
  </r>
  <r>
    <s v="O00196"/>
    <d v="2025-08-07T06:38:35"/>
    <x v="0"/>
    <s v="Staff"/>
    <s v="UPI"/>
    <x v="0"/>
    <n v="7.0000000000000007E-2"/>
    <b v="0"/>
    <n v="318.80399999999997"/>
    <x v="0"/>
    <s v="OK"/>
    <n v="153.12399999999997"/>
    <n v="0.48030764984128171"/>
    <b v="1"/>
    <b v="1"/>
    <b v="1"/>
    <n v="165.68"/>
  </r>
  <r>
    <s v="O00197"/>
    <d v="2025-07-29T21:56:15"/>
    <x v="2"/>
    <s v="Visitor"/>
    <s v="Card"/>
    <x v="1"/>
    <n v="0.03"/>
    <b v="1"/>
    <n v="308.06230000000005"/>
    <x v="1"/>
    <s v="OK"/>
    <n v="158.46230000000006"/>
    <n v="0.51438394117034125"/>
    <b v="1"/>
    <b v="0"/>
    <b v="0"/>
    <n v="149.6"/>
  </r>
  <r>
    <s v="O00198"/>
    <d v="2025-07-02T00:52:10"/>
    <x v="0"/>
    <s v="Visitor"/>
    <s v="UPI"/>
    <x v="0"/>
    <n v="0.09"/>
    <b v="1"/>
    <n v="107.1525"/>
    <x v="0"/>
    <s v="OK"/>
    <n v="49.652500000000003"/>
    <n v="0.46338162898672453"/>
    <b v="0"/>
    <b v="0"/>
    <b v="1"/>
    <n v="57.5"/>
  </r>
  <r>
    <s v="O00199"/>
    <d v="2025-08-29T03:01:46"/>
    <x v="0"/>
    <s v="Staff"/>
    <s v="Card"/>
    <x v="0"/>
    <n v="0.03"/>
    <b v="1"/>
    <n v="851.31080000000009"/>
    <x v="1"/>
    <s v="OK"/>
    <n v="458.01080000000013"/>
    <n v="0.5380065658746489"/>
    <b v="1"/>
    <b v="0"/>
    <b v="0"/>
    <n v="393.29999999999995"/>
  </r>
  <r>
    <s v="O00200"/>
    <d v="2025-08-29T04:33:50"/>
    <x v="1"/>
    <s v="Worker"/>
    <s v="UPI"/>
    <x v="0"/>
    <n v="0.06"/>
    <b v="0"/>
    <n v="37.552999999999997"/>
    <x v="0"/>
    <s v="OK"/>
    <n v="22.042999999999999"/>
    <n v="0.58698372966207757"/>
    <b v="0"/>
    <b v="1"/>
    <b v="0"/>
    <n v="15.509999999999998"/>
  </r>
  <r>
    <s v="O00201"/>
    <d v="2025-07-25T14:00:09"/>
    <x v="0"/>
    <s v="Visitor"/>
    <s v="UPI"/>
    <x v="2"/>
    <n v="0.08"/>
    <b v="0"/>
    <n v="35.0152"/>
    <x v="0"/>
    <s v="OK"/>
    <n v="15.465199999999999"/>
    <n v="0.44167104571728849"/>
    <b v="0"/>
    <b v="1"/>
    <b v="0"/>
    <n v="19.55"/>
  </r>
  <r>
    <s v="O00202"/>
    <d v="2025-07-10T16:24:30"/>
    <x v="0"/>
    <s v="Visitor"/>
    <s v="Cash"/>
    <x v="1"/>
    <n v="0.09"/>
    <b v="0"/>
    <n v="155.45530000000002"/>
    <x v="0"/>
    <s v="OK"/>
    <n v="81.385300000000029"/>
    <n v="0.52352862848677417"/>
    <b v="1"/>
    <b v="0"/>
    <b v="0"/>
    <n v="74.069999999999993"/>
  </r>
  <r>
    <s v="O00203"/>
    <d v="2025-08-13T01:11:32"/>
    <x v="2"/>
    <s v="Visitor"/>
    <s v="Card"/>
    <x v="0"/>
    <n v="0.01"/>
    <b v="0"/>
    <n v="252.25200000000001"/>
    <x v="0"/>
    <s v="OK"/>
    <n v="127.43200000000002"/>
    <n v="0.50517736232021948"/>
    <b v="1"/>
    <b v="0"/>
    <b v="1"/>
    <n v="124.82"/>
  </r>
  <r>
    <s v="O00204"/>
    <d v="2025-07-10T00:01:33"/>
    <x v="1"/>
    <s v="Staff"/>
    <s v="UPI"/>
    <x v="0"/>
    <n v="0.05"/>
    <b v="1"/>
    <n v="903.56399999999996"/>
    <x v="1"/>
    <s v="HighDisc"/>
    <n v="493.44400000000002"/>
    <n v="0.54610852136649979"/>
    <b v="1"/>
    <b v="0"/>
    <b v="0"/>
    <n v="410.11999999999995"/>
  </r>
  <r>
    <s v="O00205"/>
    <d v="2025-07-18T07:16:15"/>
    <x v="2"/>
    <s v="Worker"/>
    <s v="UPI"/>
    <x v="0"/>
    <n v="0.04"/>
    <b v="1"/>
    <n v="296.72640000000001"/>
    <x v="1"/>
    <s v="OK"/>
    <n v="144.8064"/>
    <n v="0.48801320003882359"/>
    <b v="1"/>
    <b v="1"/>
    <b v="0"/>
    <n v="151.92000000000002"/>
  </r>
  <r>
    <s v="O00206"/>
    <d v="2025-08-21T18:58:32"/>
    <x v="0"/>
    <s v="Staff"/>
    <s v="Cash"/>
    <x v="1"/>
    <n v="0.03"/>
    <b v="1"/>
    <n v="213.06049999999999"/>
    <x v="0"/>
    <s v="OK"/>
    <n v="113.98049999999998"/>
    <n v="0.53496776737123952"/>
    <b v="0"/>
    <b v="1"/>
    <b v="0"/>
    <n v="99.080000000000013"/>
  </r>
  <r>
    <s v="O00207"/>
    <d v="2025-08-17T00:47:12"/>
    <x v="1"/>
    <s v="Visitor"/>
    <s v="Card"/>
    <x v="0"/>
    <n v="0.13"/>
    <b v="0"/>
    <n v="363.05099999999999"/>
    <x v="0"/>
    <s v="HighDisc"/>
    <n v="163.55099999999999"/>
    <n v="0.45049042696480657"/>
    <b v="1"/>
    <b v="0"/>
    <b v="1"/>
    <n v="199.5"/>
  </r>
  <r>
    <s v="O00208"/>
    <d v="2025-08-15T17:17:28"/>
    <x v="2"/>
    <s v="Worker"/>
    <s v="Cash"/>
    <x v="1"/>
    <n v="0.08"/>
    <b v="1"/>
    <n v="131.30240000000001"/>
    <x v="0"/>
    <s v="OK"/>
    <n v="64.062399999999997"/>
    <n v="0.48789968804835243"/>
    <b v="0"/>
    <b v="1"/>
    <b v="0"/>
    <n v="67.240000000000009"/>
  </r>
  <r>
    <s v="O00209"/>
    <d v="2025-08-24T08:37:57"/>
    <x v="1"/>
    <s v="Worker"/>
    <s v="Card"/>
    <x v="0"/>
    <n v="0.01"/>
    <b v="1"/>
    <n v="225.26459999999997"/>
    <x v="0"/>
    <s v="OK"/>
    <n v="121.65459999999997"/>
    <n v="0.54005200994741287"/>
    <b v="0"/>
    <b v="1"/>
    <b v="0"/>
    <n v="103.61"/>
  </r>
  <r>
    <s v="O00210"/>
    <d v="2025-07-26T22:13:59"/>
    <x v="0"/>
    <s v="Worker"/>
    <s v="Card"/>
    <x v="1"/>
    <n v="0.1"/>
    <b v="1"/>
    <n v="481.041"/>
    <x v="1"/>
    <s v="HighDisc"/>
    <n v="239.501"/>
    <n v="0.49788063803293275"/>
    <b v="1"/>
    <b v="0"/>
    <b v="0"/>
    <n v="241.54"/>
  </r>
  <r>
    <s v="O00211"/>
    <d v="2025-07-26T16:52:49"/>
    <x v="0"/>
    <s v="Staff"/>
    <s v="UPI"/>
    <x v="1"/>
    <n v="0.14000000000000001"/>
    <b v="0"/>
    <n v="844.82100000000003"/>
    <x v="0"/>
    <s v="HighDisc"/>
    <n v="373.67100000000005"/>
    <n v="0.44230789717585151"/>
    <b v="1"/>
    <b v="1"/>
    <b v="0"/>
    <n v="471.15"/>
  </r>
  <r>
    <s v="O00212"/>
    <d v="2025-07-11T18:27:52"/>
    <x v="0"/>
    <s v="Worker"/>
    <s v="Card"/>
    <x v="1"/>
    <n v="0.1"/>
    <b v="1"/>
    <n v="317.75400000000002"/>
    <x v="1"/>
    <s v="OK"/>
    <n v="162.99400000000003"/>
    <n v="0.51295656388275213"/>
    <b v="1"/>
    <b v="1"/>
    <b v="1"/>
    <n v="154.76"/>
  </r>
  <r>
    <s v="O00213"/>
    <d v="2025-08-24T18:10:26"/>
    <x v="1"/>
    <s v="Visitor"/>
    <s v="Cash"/>
    <x v="1"/>
    <n v="0"/>
    <b v="0"/>
    <n v="442.17"/>
    <x v="0"/>
    <s v="OK"/>
    <n v="242.08"/>
    <n v="0.54748173779315645"/>
    <b v="1"/>
    <b v="1"/>
    <b v="0"/>
    <n v="200.09"/>
  </r>
  <r>
    <s v="O00214"/>
    <d v="2025-08-15T07:49:18"/>
    <x v="0"/>
    <s v="Staff"/>
    <s v="UPI"/>
    <x v="0"/>
    <n v="0.04"/>
    <b v="1"/>
    <n v="731.61599999999999"/>
    <x v="1"/>
    <s v="OK"/>
    <n v="404.43600000000004"/>
    <n v="0.55279818921401391"/>
    <b v="1"/>
    <b v="0"/>
    <b v="1"/>
    <n v="327.17999999999995"/>
  </r>
  <r>
    <s v="O00215"/>
    <d v="2025-07-12T13:52:28"/>
    <x v="2"/>
    <s v="Worker"/>
    <s v="Cash"/>
    <x v="2"/>
    <n v="0.11"/>
    <b v="1"/>
    <n v="329.12199999999996"/>
    <x v="1"/>
    <s v="HighDisc"/>
    <n v="141.13199999999995"/>
    <n v="0.42881363141935197"/>
    <b v="1"/>
    <b v="1"/>
    <b v="1"/>
    <n v="187.99"/>
  </r>
  <r>
    <s v="O00216"/>
    <d v="2025-08-18T01:53:54"/>
    <x v="2"/>
    <s v="Worker"/>
    <s v="Cash"/>
    <x v="0"/>
    <n v="0.03"/>
    <b v="1"/>
    <n v="166.29679999999999"/>
    <x v="0"/>
    <s v="OK"/>
    <n v="86.126799999999989"/>
    <n v="0.51791014619643905"/>
    <b v="0"/>
    <b v="1"/>
    <b v="0"/>
    <n v="80.17"/>
  </r>
  <r>
    <s v="O00217"/>
    <d v="2025-07-14T10:07:12"/>
    <x v="1"/>
    <s v="Staff"/>
    <s v="Card"/>
    <x v="0"/>
    <n v="0.08"/>
    <b v="0"/>
    <n v="611.7908000000001"/>
    <x v="0"/>
    <s v="HighDisc"/>
    <n v="308.06080000000009"/>
    <n v="0.50353944518289595"/>
    <b v="1"/>
    <b v="1"/>
    <b v="0"/>
    <n v="303.73"/>
  </r>
  <r>
    <s v="O00218"/>
    <d v="2025-08-10T22:38:10"/>
    <x v="0"/>
    <s v="Visitor"/>
    <s v="UPI"/>
    <x v="1"/>
    <n v="0.09"/>
    <b v="1"/>
    <n v="25.871300000000002"/>
    <x v="0"/>
    <s v="OK"/>
    <n v="11.981300000000001"/>
    <n v="0.46311163335433475"/>
    <b v="0"/>
    <b v="0"/>
    <b v="0"/>
    <n v="13.89"/>
  </r>
  <r>
    <s v="O00219"/>
    <d v="2025-08-10T12:45:03"/>
    <x v="0"/>
    <s v="Worker"/>
    <s v="Card"/>
    <x v="2"/>
    <n v="0.02"/>
    <b v="0"/>
    <n v="669.74180000000001"/>
    <x v="0"/>
    <s v="OK"/>
    <n v="367.10180000000003"/>
    <n v="0.54812436673356812"/>
    <b v="1"/>
    <b v="0"/>
    <b v="1"/>
    <n v="302.64"/>
  </r>
  <r>
    <s v="O00220"/>
    <d v="2025-07-28T09:50:30"/>
    <x v="2"/>
    <s v="Visitor"/>
    <s v="Card"/>
    <x v="0"/>
    <n v="0.06"/>
    <b v="0"/>
    <n v="582.66840000000002"/>
    <x v="0"/>
    <s v="OK"/>
    <n v="305.90840000000003"/>
    <n v="0.5250128546528352"/>
    <b v="1"/>
    <b v="0"/>
    <b v="1"/>
    <n v="276.76"/>
  </r>
  <r>
    <s v="O00221"/>
    <d v="2025-08-13T07:09:26"/>
    <x v="1"/>
    <s v="Worker"/>
    <s v="Card"/>
    <x v="0"/>
    <n v="0"/>
    <b v="0"/>
    <n v="57.07"/>
    <x v="0"/>
    <s v="OK"/>
    <n v="27.93"/>
    <n v="0.48939898370422286"/>
    <b v="0"/>
    <b v="0"/>
    <b v="1"/>
    <n v="29.14"/>
  </r>
  <r>
    <s v="O00222"/>
    <d v="2025-08-05T21:57:08"/>
    <x v="0"/>
    <s v="Visitor"/>
    <s v="Card"/>
    <x v="1"/>
    <n v="0.02"/>
    <b v="1"/>
    <n v="297.38099999999997"/>
    <x v="0"/>
    <s v="OK"/>
    <n v="171.66099999999997"/>
    <n v="0.57724266177059058"/>
    <b v="0"/>
    <b v="1"/>
    <b v="1"/>
    <n v="125.72"/>
  </r>
  <r>
    <s v="O00223"/>
    <d v="2025-08-08T21:43:57"/>
    <x v="1"/>
    <s v="Worker"/>
    <s v="Cash"/>
    <x v="1"/>
    <n v="0.05"/>
    <b v="1"/>
    <n v="178.08699999999999"/>
    <x v="0"/>
    <s v="OK"/>
    <n v="97.026999999999987"/>
    <n v="0.54482921268818041"/>
    <b v="0"/>
    <b v="0"/>
    <b v="1"/>
    <n v="81.06"/>
  </r>
  <r>
    <s v="O00224"/>
    <d v="2025-07-10T03:36:52"/>
    <x v="0"/>
    <s v="Worker"/>
    <s v="UPI"/>
    <x v="0"/>
    <n v="0.01"/>
    <b v="0"/>
    <n v="155.77650000000003"/>
    <x v="0"/>
    <s v="OK"/>
    <n v="78.376500000000021"/>
    <n v="0.50313429817719624"/>
    <b v="0"/>
    <b v="1"/>
    <b v="0"/>
    <n v="77.400000000000006"/>
  </r>
  <r>
    <s v="O00225"/>
    <d v="2025-07-06T03:51:23"/>
    <x v="1"/>
    <s v="Worker"/>
    <s v="Cash"/>
    <x v="0"/>
    <n v="0.13"/>
    <b v="1"/>
    <n v="834.16470000000004"/>
    <x v="1"/>
    <s v="HighDisc"/>
    <n v="378.49470000000008"/>
    <n v="0.45374096985883011"/>
    <b v="1"/>
    <b v="1"/>
    <b v="0"/>
    <n v="455.66999999999996"/>
  </r>
  <r>
    <s v="O00226"/>
    <d v="2025-07-07T21:52:23"/>
    <x v="0"/>
    <s v="Worker"/>
    <s v="UPI"/>
    <x v="1"/>
    <n v="0"/>
    <b v="1"/>
    <n v="329.84000000000003"/>
    <x v="1"/>
    <s v="OK"/>
    <n v="158.28000000000003"/>
    <n v="0.47986902740722781"/>
    <b v="1"/>
    <b v="0"/>
    <b v="1"/>
    <n v="171.56"/>
  </r>
  <r>
    <s v="O00227"/>
    <d v="2025-07-23T20:55:34"/>
    <x v="1"/>
    <s v="Worker"/>
    <s v="UPI"/>
    <x v="1"/>
    <n v="0.04"/>
    <b v="0"/>
    <n v="380.0256"/>
    <x v="0"/>
    <s v="OK"/>
    <n v="209.93560000000002"/>
    <n v="0.55242488927061761"/>
    <b v="1"/>
    <b v="0"/>
    <b v="1"/>
    <n v="170.08999999999997"/>
  </r>
  <r>
    <s v="O00228"/>
    <d v="2025-07-28T04:05:49"/>
    <x v="2"/>
    <s v="Worker"/>
    <s v="UPI"/>
    <x v="0"/>
    <n v="7.0000000000000007E-2"/>
    <b v="0"/>
    <n v="100.812"/>
    <x v="0"/>
    <s v="OK"/>
    <n v="56.911999999999999"/>
    <n v="0.56453596794032457"/>
    <b v="0"/>
    <b v="0"/>
    <b v="1"/>
    <n v="43.9"/>
  </r>
  <r>
    <s v="O00229"/>
    <d v="2025-07-18T04:36:27"/>
    <x v="2"/>
    <s v="Visitor"/>
    <s v="Cash"/>
    <x v="0"/>
    <n v="0.12"/>
    <b v="0"/>
    <n v="455.21519999999998"/>
    <x v="0"/>
    <s v="HighDisc"/>
    <n v="221.92519999999996"/>
    <n v="0.48751711278533749"/>
    <b v="1"/>
    <b v="1"/>
    <b v="1"/>
    <n v="233.29000000000002"/>
  </r>
  <r>
    <s v="O00230"/>
    <d v="2025-07-02T16:37:37"/>
    <x v="1"/>
    <s v="Worker"/>
    <s v="UPI"/>
    <x v="1"/>
    <n v="0"/>
    <b v="1"/>
    <n v="199.26000000000002"/>
    <x v="1"/>
    <s v="OK"/>
    <n v="111.30000000000003"/>
    <n v="0.55856669677807902"/>
    <b v="1"/>
    <b v="0"/>
    <b v="0"/>
    <n v="87.96"/>
  </r>
  <r>
    <s v="O00231"/>
    <d v="2025-07-02T18:46:21"/>
    <x v="2"/>
    <s v="Staff"/>
    <s v="Cash"/>
    <x v="1"/>
    <n v="0.11"/>
    <b v="1"/>
    <n v="460.40589999999997"/>
    <x v="0"/>
    <s v="HighDisc"/>
    <n v="221.46589999999998"/>
    <n v="0.48102315804380436"/>
    <b v="0"/>
    <b v="1"/>
    <b v="1"/>
    <n v="238.94"/>
  </r>
  <r>
    <s v="O00232"/>
    <d v="2025-08-11T02:54:33"/>
    <x v="0"/>
    <s v="Worker"/>
    <s v="UPI"/>
    <x v="0"/>
    <n v="0.06"/>
    <b v="1"/>
    <n v="483.5172"/>
    <x v="1"/>
    <s v="OK"/>
    <n v="249.97720000000001"/>
    <n v="0.51699753390365433"/>
    <b v="1"/>
    <b v="0"/>
    <b v="0"/>
    <n v="233.54"/>
  </r>
  <r>
    <s v="O00233"/>
    <d v="2025-08-16T11:44:00"/>
    <x v="1"/>
    <s v="Staff"/>
    <s v="UPI"/>
    <x v="2"/>
    <n v="0.02"/>
    <b v="1"/>
    <n v="128.10560000000001"/>
    <x v="0"/>
    <s v="OK"/>
    <n v="68.705600000000004"/>
    <n v="0.53632003597032452"/>
    <b v="0"/>
    <b v="1"/>
    <b v="0"/>
    <n v="59.400000000000006"/>
  </r>
  <r>
    <s v="O00234"/>
    <d v="2025-08-14T03:14:56"/>
    <x v="0"/>
    <s v="Worker"/>
    <s v="UPI"/>
    <x v="0"/>
    <n v="0.08"/>
    <b v="0"/>
    <n v="36.754000000000005"/>
    <x v="0"/>
    <s v="OK"/>
    <n v="21.244000000000007"/>
    <n v="0.57800511508951413"/>
    <b v="0"/>
    <b v="1"/>
    <b v="0"/>
    <n v="15.509999999999998"/>
  </r>
  <r>
    <s v="O00235"/>
    <d v="2025-08-20T21:04:09"/>
    <x v="1"/>
    <s v="Staff"/>
    <s v="UPI"/>
    <x v="1"/>
    <n v="7.0000000000000007E-2"/>
    <b v="0"/>
    <n v="136.15199999999999"/>
    <x v="0"/>
    <s v="OK"/>
    <n v="55.231999999999985"/>
    <n v="0.40566425759445318"/>
    <b v="1"/>
    <b v="0"/>
    <b v="0"/>
    <n v="80.92"/>
  </r>
  <r>
    <s v="O00236"/>
    <d v="2025-07-07T03:44:00"/>
    <x v="1"/>
    <s v="Staff"/>
    <s v="Card"/>
    <x v="0"/>
    <n v="0.04"/>
    <b v="0"/>
    <n v="190.22399999999999"/>
    <x v="0"/>
    <s v="OK"/>
    <n v="89.463999999999984"/>
    <n v="0.47030868870384385"/>
    <b v="0"/>
    <b v="1"/>
    <b v="1"/>
    <n v="100.76"/>
  </r>
  <r>
    <s v="O00237"/>
    <d v="2025-08-17T20:24:33"/>
    <x v="0"/>
    <s v="Staff"/>
    <s v="Cash"/>
    <x v="1"/>
    <n v="0.06"/>
    <b v="0"/>
    <n v="75.105999999999995"/>
    <x v="0"/>
    <s v="OK"/>
    <n v="44.085999999999999"/>
    <n v="0.58698372966207757"/>
    <b v="0"/>
    <b v="1"/>
    <b v="0"/>
    <n v="31.019999999999996"/>
  </r>
  <r>
    <s v="O00238"/>
    <d v="2025-08-01T12:34:29"/>
    <x v="0"/>
    <s v="Worker"/>
    <s v="Cash"/>
    <x v="2"/>
    <n v="0.04"/>
    <b v="1"/>
    <n v="358.31040000000002"/>
    <x v="0"/>
    <s v="OK"/>
    <n v="173.07040000000003"/>
    <n v="0.48301807594755841"/>
    <b v="0"/>
    <b v="1"/>
    <b v="1"/>
    <n v="185.23999999999998"/>
  </r>
  <r>
    <s v="O00239"/>
    <d v="2025-07-27T22:50:01"/>
    <x v="0"/>
    <s v="Visitor"/>
    <s v="UPI"/>
    <x v="1"/>
    <n v="0.06"/>
    <b v="1"/>
    <n v="403.89919999999995"/>
    <x v="1"/>
    <s v="OK"/>
    <n v="179.82919999999996"/>
    <n v="0.44523286998340172"/>
    <b v="1"/>
    <b v="0"/>
    <b v="1"/>
    <n v="224.07"/>
  </r>
  <r>
    <s v="O00240"/>
    <d v="2025-08-01T19:44:13"/>
    <x v="1"/>
    <s v="Visitor"/>
    <s v="UPI"/>
    <x v="1"/>
    <n v="0.09"/>
    <b v="0"/>
    <n v="1180.0425"/>
    <x v="0"/>
    <s v="HighDisc"/>
    <n v="567.30250000000001"/>
    <n v="0.48074751544965544"/>
    <b v="1"/>
    <b v="1"/>
    <b v="1"/>
    <n v="612.74"/>
  </r>
  <r>
    <s v="O00241"/>
    <d v="2025-08-14T07:14:00"/>
    <x v="0"/>
    <s v="Visitor"/>
    <s v="Card"/>
    <x v="0"/>
    <n v="0.12"/>
    <b v="1"/>
    <n v="129.48319999999998"/>
    <x v="0"/>
    <s v="OK"/>
    <n v="66.333199999999977"/>
    <n v="0.51229194212067652"/>
    <b v="0"/>
    <b v="0"/>
    <b v="1"/>
    <n v="63.150000000000006"/>
  </r>
  <r>
    <s v="O00242"/>
    <d v="2025-07-12T08:36:14"/>
    <x v="0"/>
    <s v="Visitor"/>
    <s v="UPI"/>
    <x v="0"/>
    <n v="0.01"/>
    <b v="0"/>
    <n v="1112.7204000000002"/>
    <x v="0"/>
    <s v="OK"/>
    <n v="595.51040000000023"/>
    <n v="0.53518422058227755"/>
    <b v="1"/>
    <b v="1"/>
    <b v="0"/>
    <n v="517.20999999999992"/>
  </r>
  <r>
    <s v="O00243"/>
    <d v="2025-08-12T00:08:08"/>
    <x v="1"/>
    <s v="Worker"/>
    <s v="Card"/>
    <x v="0"/>
    <n v="0.15"/>
    <b v="0"/>
    <n v="196.29899999999998"/>
    <x v="0"/>
    <s v="OK"/>
    <n v="89.048999999999978"/>
    <n v="0.45363960081304533"/>
    <b v="0"/>
    <b v="0"/>
    <b v="1"/>
    <n v="107.25"/>
  </r>
  <r>
    <s v="O00244"/>
    <d v="2025-08-14T06:43:44"/>
    <x v="1"/>
    <s v="Staff"/>
    <s v="UPI"/>
    <x v="0"/>
    <n v="0"/>
    <b v="1"/>
    <n v="420.02000000000004"/>
    <x v="1"/>
    <s v="OK"/>
    <n v="243.47000000000003"/>
    <n v="0.57966287319651444"/>
    <b v="1"/>
    <b v="1"/>
    <b v="0"/>
    <n v="176.55"/>
  </r>
  <r>
    <s v="O00245"/>
    <d v="2025-07-31T14:17:25"/>
    <x v="1"/>
    <s v="Staff"/>
    <s v="UPI"/>
    <x v="2"/>
    <n v="0.05"/>
    <b v="0"/>
    <n v="591.89749999999992"/>
    <x v="0"/>
    <s v="OK"/>
    <n v="285.4274999999999"/>
    <n v="0.48222454056656755"/>
    <b v="1"/>
    <b v="1"/>
    <b v="0"/>
    <n v="306.47000000000003"/>
  </r>
  <r>
    <s v="O00246"/>
    <d v="2025-08-06T14:11:04"/>
    <x v="2"/>
    <s v="Visitor"/>
    <s v="Card"/>
    <x v="2"/>
    <n v="0.08"/>
    <b v="0"/>
    <n v="194.69040000000001"/>
    <x v="0"/>
    <s v="OK"/>
    <n v="87.260400000000004"/>
    <n v="0.44820083578851344"/>
    <b v="0"/>
    <b v="1"/>
    <b v="0"/>
    <n v="107.43"/>
  </r>
  <r>
    <s v="O00247"/>
    <d v="2025-07-10T02:34:08"/>
    <x v="2"/>
    <s v="Worker"/>
    <s v="Card"/>
    <x v="0"/>
    <n v="7.0000000000000007E-2"/>
    <b v="0"/>
    <n v="775.47119999999995"/>
    <x v="0"/>
    <s v="HighDisc"/>
    <n v="403.1712"/>
    <n v="0.51990480110673354"/>
    <b v="1"/>
    <b v="0"/>
    <b v="0"/>
    <n v="372.29999999999995"/>
  </r>
  <r>
    <s v="O00248"/>
    <d v="2025-08-06T10:19:48"/>
    <x v="2"/>
    <s v="Visitor"/>
    <s v="Cash"/>
    <x v="0"/>
    <n v="0.04"/>
    <b v="0"/>
    <n v="274.59839999999997"/>
    <x v="0"/>
    <s v="OK"/>
    <n v="147.00839999999997"/>
    <n v="0.53535781708851904"/>
    <b v="1"/>
    <b v="1"/>
    <b v="0"/>
    <n v="127.59"/>
  </r>
  <r>
    <s v="O00249"/>
    <d v="2025-08-24T18:49:01"/>
    <x v="1"/>
    <s v="Visitor"/>
    <s v="Cash"/>
    <x v="1"/>
    <n v="0.05"/>
    <b v="0"/>
    <n v="612.57899999999995"/>
    <x v="0"/>
    <s v="OK"/>
    <n v="323.21899999999999"/>
    <n v="0.5276364354638341"/>
    <b v="1"/>
    <b v="0"/>
    <b v="1"/>
    <n v="289.35999999999996"/>
  </r>
  <r>
    <s v="O00250"/>
    <d v="2025-08-04T13:56:35"/>
    <x v="0"/>
    <s v="Staff"/>
    <s v="UPI"/>
    <x v="2"/>
    <n v="0.04"/>
    <b v="1"/>
    <n v="1076.9951999999998"/>
    <x v="1"/>
    <s v="HighDisc"/>
    <n v="578.11519999999985"/>
    <n v="0.53678530786395329"/>
    <b v="1"/>
    <b v="0"/>
    <b v="1"/>
    <n v="498.88"/>
  </r>
  <r>
    <s v="O00251"/>
    <d v="2025-07-29T04:13:30"/>
    <x v="0"/>
    <s v="Staff"/>
    <s v="Card"/>
    <x v="0"/>
    <n v="0.04"/>
    <b v="0"/>
    <n v="1478.0544"/>
    <x v="0"/>
    <s v="HighDisc"/>
    <n v="762.46439999999996"/>
    <n v="0.51585679119794237"/>
    <b v="1"/>
    <b v="1"/>
    <b v="0"/>
    <n v="715.59"/>
  </r>
  <r>
    <s v="O00252"/>
    <d v="2025-08-26T08:38:51"/>
    <x v="0"/>
    <s v="Worker"/>
    <s v="Cash"/>
    <x v="0"/>
    <n v="0.09"/>
    <b v="0"/>
    <n v="924.43260000000009"/>
    <x v="0"/>
    <s v="HighDisc"/>
    <n v="475.43260000000009"/>
    <n v="0.51429666154136067"/>
    <b v="1"/>
    <b v="1"/>
    <b v="0"/>
    <n v="449"/>
  </r>
  <r>
    <s v="O00253"/>
    <d v="2025-07-23T00:31:42"/>
    <x v="2"/>
    <s v="Staff"/>
    <s v="UPI"/>
    <x v="0"/>
    <n v="7.0000000000000007E-2"/>
    <b v="0"/>
    <n v="260.45580000000001"/>
    <x v="0"/>
    <s v="OK"/>
    <n v="138.43580000000003"/>
    <n v="0.53151360038824258"/>
    <b v="1"/>
    <b v="1"/>
    <b v="0"/>
    <n v="122.01999999999998"/>
  </r>
  <r>
    <s v="O00254"/>
    <d v="2025-07-12T09:42:07"/>
    <x v="1"/>
    <s v="Visitor"/>
    <s v="Cash"/>
    <x v="0"/>
    <n v="0.03"/>
    <b v="1"/>
    <n v="474.53370000000001"/>
    <x v="1"/>
    <s v="OK"/>
    <n v="248.83370000000002"/>
    <n v="0.52437519189891046"/>
    <b v="1"/>
    <b v="1"/>
    <b v="0"/>
    <n v="225.7"/>
  </r>
  <r>
    <s v="O00255"/>
    <d v="2025-08-24T17:08:41"/>
    <x v="0"/>
    <s v="Visitor"/>
    <s v="UPI"/>
    <x v="1"/>
    <n v="0.1"/>
    <b v="0"/>
    <n v="507.97800000000007"/>
    <x v="0"/>
    <s v="HighDisc"/>
    <n v="259.49800000000005"/>
    <n v="0.5108449578525055"/>
    <b v="1"/>
    <b v="1"/>
    <b v="0"/>
    <n v="248.48000000000002"/>
  </r>
  <r>
    <s v="O00256"/>
    <d v="2025-07-03T19:10:33"/>
    <x v="0"/>
    <s v="Visitor"/>
    <s v="UPI"/>
    <x v="1"/>
    <n v="7.0000000000000007E-2"/>
    <b v="1"/>
    <n v="341.72849999999994"/>
    <x v="1"/>
    <s v="OK"/>
    <n v="144.70849999999993"/>
    <n v="0.423460437159909"/>
    <b v="1"/>
    <b v="1"/>
    <b v="0"/>
    <n v="197.02"/>
  </r>
  <r>
    <s v="O00257"/>
    <d v="2025-07-04T01:27:56"/>
    <x v="2"/>
    <s v="Staff"/>
    <s v="UPI"/>
    <x v="0"/>
    <n v="0.09"/>
    <b v="1"/>
    <n v="158.21260000000001"/>
    <x v="0"/>
    <s v="OK"/>
    <n v="78.322600000000008"/>
    <n v="0.49504653864483616"/>
    <b v="0"/>
    <b v="1"/>
    <b v="1"/>
    <n v="79.89"/>
  </r>
  <r>
    <s v="O00258"/>
    <d v="2025-08-03T05:50:55"/>
    <x v="1"/>
    <s v="Worker"/>
    <s v="Cash"/>
    <x v="0"/>
    <n v="0.09"/>
    <b v="1"/>
    <n v="544.91710000000012"/>
    <x v="1"/>
    <s v="HighDisc"/>
    <n v="238.07710000000009"/>
    <n v="0.43690517328232137"/>
    <b v="1"/>
    <b v="1"/>
    <b v="0"/>
    <n v="306.84000000000003"/>
  </r>
  <r>
    <s v="O00259"/>
    <d v="2025-08-25T05:37:25"/>
    <x v="0"/>
    <s v="Staff"/>
    <s v="Cash"/>
    <x v="0"/>
    <n v="0.03"/>
    <b v="0"/>
    <n v="375.55489999999998"/>
    <x v="0"/>
    <s v="OK"/>
    <n v="191.85489999999999"/>
    <n v="0.51085713433641788"/>
    <b v="1"/>
    <b v="1"/>
    <b v="0"/>
    <n v="183.7"/>
  </r>
  <r>
    <s v="O00260"/>
    <d v="2025-07-04T05:26:10"/>
    <x v="2"/>
    <s v="Visitor"/>
    <s v="UPI"/>
    <x v="0"/>
    <n v="0.04"/>
    <b v="0"/>
    <n v="499.59360000000004"/>
    <x v="0"/>
    <s v="OK"/>
    <n v="241.53360000000004"/>
    <n v="0.48346015641513423"/>
    <b v="1"/>
    <b v="0"/>
    <b v="0"/>
    <n v="258.06"/>
  </r>
  <r>
    <s v="O00261"/>
    <d v="2025-08-06T18:35:47"/>
    <x v="1"/>
    <s v="Staff"/>
    <s v="Card"/>
    <x v="1"/>
    <n v="0.09"/>
    <b v="1"/>
    <n v="232.69610000000003"/>
    <x v="1"/>
    <s v="OK"/>
    <n v="98.19610000000003"/>
    <n v="0.42199289115717892"/>
    <b v="1"/>
    <b v="1"/>
    <b v="0"/>
    <n v="134.5"/>
  </r>
  <r>
    <s v="O00262"/>
    <d v="2025-08-06T04:17:10"/>
    <x v="1"/>
    <s v="Visitor"/>
    <s v="Card"/>
    <x v="0"/>
    <n v="0.08"/>
    <b v="0"/>
    <n v="663.43040000000008"/>
    <x v="0"/>
    <s v="HighDisc"/>
    <n v="322.54040000000009"/>
    <n v="0.48617066688532823"/>
    <b v="1"/>
    <b v="0"/>
    <b v="1"/>
    <n v="340.89"/>
  </r>
  <r>
    <s v="O00263"/>
    <d v="2025-07-06T08:35:14"/>
    <x v="2"/>
    <s v="Worker"/>
    <s v="UPI"/>
    <x v="0"/>
    <n v="0.06"/>
    <b v="0"/>
    <n v="385.40940000000001"/>
    <x v="0"/>
    <s v="OK"/>
    <n v="187.70940000000002"/>
    <n v="0.48703897725379819"/>
    <b v="1"/>
    <b v="0"/>
    <b v="1"/>
    <n v="197.7"/>
  </r>
  <r>
    <s v="O00264"/>
    <d v="2025-07-09T04:05:55"/>
    <x v="1"/>
    <s v="Staff"/>
    <s v="UPI"/>
    <x v="0"/>
    <n v="0.06"/>
    <b v="1"/>
    <n v="500.01419999999996"/>
    <x v="0"/>
    <s v="OK"/>
    <n v="262.75419999999997"/>
    <n v="0.52549347598528195"/>
    <b v="0"/>
    <b v="0"/>
    <b v="1"/>
    <n v="237.26"/>
  </r>
  <r>
    <s v="O00265"/>
    <d v="2025-08-17T09:40:25"/>
    <x v="0"/>
    <s v="Staff"/>
    <s v="Card"/>
    <x v="0"/>
    <n v="0.11"/>
    <b v="1"/>
    <n v="527.84120000000007"/>
    <x v="1"/>
    <s v="HighDisc"/>
    <n v="259.32120000000009"/>
    <n v="0.49128639446863953"/>
    <b v="1"/>
    <b v="0"/>
    <b v="0"/>
    <n v="268.52"/>
  </r>
  <r>
    <s v="O00266"/>
    <d v="2025-07-22T04:18:43"/>
    <x v="0"/>
    <s v="Worker"/>
    <s v="Card"/>
    <x v="0"/>
    <n v="0.04"/>
    <b v="0"/>
    <n v="442.76160000000004"/>
    <x v="0"/>
    <s v="OK"/>
    <n v="248.60160000000005"/>
    <n v="0.56147958630558747"/>
    <b v="1"/>
    <b v="0"/>
    <b v="1"/>
    <n v="194.16"/>
  </r>
  <r>
    <s v="O00267"/>
    <d v="2025-07-12T00:23:30"/>
    <x v="1"/>
    <s v="Visitor"/>
    <s v="UPI"/>
    <x v="0"/>
    <n v="0.08"/>
    <b v="1"/>
    <n v="532.77200000000005"/>
    <x v="1"/>
    <s v="HighDisc"/>
    <n v="274.80200000000002"/>
    <n v="0.51579662594881115"/>
    <b v="1"/>
    <b v="0"/>
    <b v="0"/>
    <n v="257.97000000000003"/>
  </r>
  <r>
    <s v="O00268"/>
    <d v="2025-08-21T09:50:43"/>
    <x v="0"/>
    <s v="Staff"/>
    <s v="Cash"/>
    <x v="0"/>
    <n v="0.05"/>
    <b v="0"/>
    <n v="942.52350000000001"/>
    <x v="0"/>
    <s v="HighDisc"/>
    <n v="468.77350000000001"/>
    <n v="0.49736001277421732"/>
    <b v="1"/>
    <b v="1"/>
    <b v="1"/>
    <n v="473.75"/>
  </r>
  <r>
    <s v="O00269"/>
    <d v="2025-08-08T15:01:49"/>
    <x v="0"/>
    <s v="Worker"/>
    <s v="Cash"/>
    <x v="2"/>
    <n v="0.05"/>
    <b v="1"/>
    <n v="1109.4575"/>
    <x v="1"/>
    <s v="HighDisc"/>
    <n v="564.00750000000005"/>
    <n v="0.50836332171354026"/>
    <b v="1"/>
    <b v="1"/>
    <b v="0"/>
    <n v="545.44999999999993"/>
  </r>
  <r>
    <s v="O00270"/>
    <d v="2025-07-30T12:21:28"/>
    <x v="2"/>
    <s v="Worker"/>
    <s v="Card"/>
    <x v="2"/>
    <n v="0.1"/>
    <b v="0"/>
    <n v="1485.0719999999999"/>
    <x v="0"/>
    <s v="HighDisc"/>
    <n v="713.49199999999985"/>
    <n v="0.48044269907452292"/>
    <b v="1"/>
    <b v="1"/>
    <b v="0"/>
    <n v="771.58"/>
  </r>
  <r>
    <s v="O00271"/>
    <d v="2025-08-02T02:34:49"/>
    <x v="2"/>
    <s v="Worker"/>
    <s v="Card"/>
    <x v="0"/>
    <n v="0.09"/>
    <b v="1"/>
    <n v="139.18450000000001"/>
    <x v="0"/>
    <s v="OK"/>
    <n v="69.624500000000012"/>
    <n v="0.50023170683517204"/>
    <b v="0"/>
    <b v="0"/>
    <b v="1"/>
    <n v="69.56"/>
  </r>
  <r>
    <s v="O00272"/>
    <d v="2025-07-18T07:23:54"/>
    <x v="2"/>
    <s v="Staff"/>
    <s v="UPI"/>
    <x v="0"/>
    <n v="0.09"/>
    <b v="1"/>
    <n v="228.46460000000002"/>
    <x v="1"/>
    <s v="OK"/>
    <n v="99.854600000000005"/>
    <n v="0.43706814972647839"/>
    <b v="1"/>
    <b v="1"/>
    <b v="0"/>
    <n v="128.61000000000001"/>
  </r>
  <r>
    <s v="O00273"/>
    <d v="2025-08-18T19:41:44"/>
    <x v="0"/>
    <s v="Visitor"/>
    <s v="Card"/>
    <x v="1"/>
    <n v="0.11"/>
    <b v="0"/>
    <n v="311.85599999999999"/>
    <x v="0"/>
    <s v="OK"/>
    <n v="164.946"/>
    <n v="0.52891719255040792"/>
    <b v="0"/>
    <b v="0"/>
    <b v="1"/>
    <n v="146.91"/>
  </r>
  <r>
    <s v="O00274"/>
    <d v="2025-08-08T19:14:34"/>
    <x v="0"/>
    <s v="Worker"/>
    <s v="Card"/>
    <x v="1"/>
    <n v="0.06"/>
    <b v="1"/>
    <n v="633.99240000000009"/>
    <x v="1"/>
    <s v="HighDisc"/>
    <n v="317.36240000000009"/>
    <n v="0.50057760944768426"/>
    <b v="1"/>
    <b v="1"/>
    <b v="0"/>
    <n v="316.63"/>
  </r>
  <r>
    <s v="O00275"/>
    <d v="2025-08-14T21:18:18"/>
    <x v="2"/>
    <s v="Staff"/>
    <s v="UPI"/>
    <x v="1"/>
    <n v="0.09"/>
    <b v="1"/>
    <n v="822.01210000000003"/>
    <x v="1"/>
    <s v="HighDisc"/>
    <n v="430.77210000000008"/>
    <n v="0.52404593557686086"/>
    <b v="1"/>
    <b v="1"/>
    <b v="1"/>
    <n v="391.23999999999995"/>
  </r>
  <r>
    <s v="O00276"/>
    <d v="2025-08-25T22:07:05"/>
    <x v="1"/>
    <s v="Visitor"/>
    <s v="UPI"/>
    <x v="1"/>
    <n v="0.05"/>
    <b v="1"/>
    <n v="407.24599999999992"/>
    <x v="0"/>
    <s v="OK"/>
    <n v="224.78599999999994"/>
    <n v="0.55196613349179613"/>
    <b v="0"/>
    <b v="1"/>
    <b v="1"/>
    <n v="182.45999999999998"/>
  </r>
  <r>
    <s v="O00277"/>
    <d v="2025-07-29T08:37:09"/>
    <x v="2"/>
    <s v="Staff"/>
    <s v="Cash"/>
    <x v="0"/>
    <n v="7.0000000000000007E-2"/>
    <b v="0"/>
    <n v="72.549300000000002"/>
    <x v="0"/>
    <s v="OK"/>
    <n v="37.4893"/>
    <n v="0.51674240826582751"/>
    <b v="0"/>
    <b v="1"/>
    <b v="0"/>
    <n v="35.06"/>
  </r>
  <r>
    <s v="O00278"/>
    <d v="2025-07-17T22:29:36"/>
    <x v="0"/>
    <s v="Staff"/>
    <s v="UPI"/>
    <x v="1"/>
    <n v="0.05"/>
    <b v="1"/>
    <n v="413.03149999999999"/>
    <x v="1"/>
    <s v="OK"/>
    <n v="226.8415"/>
    <n v="0.54921113764930762"/>
    <b v="1"/>
    <b v="0"/>
    <b v="1"/>
    <n v="186.19"/>
  </r>
  <r>
    <s v="O00279"/>
    <d v="2025-07-09T19:21:27"/>
    <x v="1"/>
    <s v="Worker"/>
    <s v="Cash"/>
    <x v="1"/>
    <n v="0.06"/>
    <b v="1"/>
    <n v="28.519599999999997"/>
    <x v="0"/>
    <s v="OK"/>
    <n v="14.339599999999997"/>
    <n v="0.50279807570933666"/>
    <b v="0"/>
    <b v="0"/>
    <b v="0"/>
    <n v="14.18"/>
  </r>
  <r>
    <s v="O00280"/>
    <d v="2025-08-27T10:10:10"/>
    <x v="1"/>
    <s v="Visitor"/>
    <s v="Cash"/>
    <x v="0"/>
    <n v="0.08"/>
    <b v="1"/>
    <n v="267.05760000000004"/>
    <x v="1"/>
    <s v="OK"/>
    <n v="136.55760000000004"/>
    <n v="0.51134137354638109"/>
    <b v="1"/>
    <b v="0"/>
    <b v="0"/>
    <n v="130.5"/>
  </r>
  <r>
    <s v="O00281"/>
    <d v="2025-07-31T08:59:31"/>
    <x v="0"/>
    <s v="Staff"/>
    <s v="Cash"/>
    <x v="0"/>
    <n v="0.03"/>
    <b v="1"/>
    <n v="29.4298"/>
    <x v="0"/>
    <s v="OK"/>
    <n v="15.2498"/>
    <n v="0.51817545481110983"/>
    <b v="0"/>
    <b v="0"/>
    <b v="0"/>
    <n v="14.18"/>
  </r>
  <r>
    <s v="O00282"/>
    <d v="2025-07-17T13:46:39"/>
    <x v="2"/>
    <s v="Visitor"/>
    <s v="UPI"/>
    <x v="2"/>
    <n v="0.14000000000000001"/>
    <b v="1"/>
    <n v="276.7996"/>
    <x v="0"/>
    <s v="HighDisc"/>
    <n v="124.16959999999997"/>
    <n v="0.44859024362751959"/>
    <b v="0"/>
    <b v="1"/>
    <b v="0"/>
    <n v="152.63000000000002"/>
  </r>
  <r>
    <s v="O00283"/>
    <d v="2025-08-21T18:23:55"/>
    <x v="0"/>
    <s v="Worker"/>
    <s v="Card"/>
    <x v="1"/>
    <n v="0.02"/>
    <b v="1"/>
    <n v="1112.0354"/>
    <x v="1"/>
    <s v="OK"/>
    <n v="630.03539999999998"/>
    <n v="0.56656056093178331"/>
    <b v="1"/>
    <b v="1"/>
    <b v="0"/>
    <n v="482"/>
  </r>
  <r>
    <s v="O00284"/>
    <d v="2025-07-15T14:08:32"/>
    <x v="2"/>
    <s v="Worker"/>
    <s v="Cash"/>
    <x v="2"/>
    <n v="0.01"/>
    <b v="0"/>
    <n v="328.69979999999998"/>
    <x v="0"/>
    <s v="OK"/>
    <n v="171.03979999999999"/>
    <n v="0.52035261353977091"/>
    <b v="0"/>
    <b v="1"/>
    <b v="1"/>
    <n v="157.66"/>
  </r>
  <r>
    <s v="O00285"/>
    <d v="2025-07-20T09:40:35"/>
    <x v="2"/>
    <s v="Visitor"/>
    <s v="Cash"/>
    <x v="0"/>
    <n v="0.11"/>
    <b v="0"/>
    <n v="380.96449999999999"/>
    <x v="0"/>
    <s v="HighDisc"/>
    <n v="191.31450000000001"/>
    <n v="0.50218458675283395"/>
    <b v="1"/>
    <b v="1"/>
    <b v="1"/>
    <n v="189.64999999999998"/>
  </r>
  <r>
    <s v="O00286"/>
    <d v="2025-07-18T10:46:49"/>
    <x v="0"/>
    <s v="Staff"/>
    <s v="Card"/>
    <x v="0"/>
    <n v="0.09"/>
    <b v="0"/>
    <n v="294.77629999999999"/>
    <x v="0"/>
    <s v="OK"/>
    <n v="144.24630000000002"/>
    <n v="0.48934157868186834"/>
    <b v="1"/>
    <b v="0"/>
    <b v="1"/>
    <n v="150.52999999999997"/>
  </r>
  <r>
    <s v="O00287"/>
    <d v="2025-08-25T01:21:40"/>
    <x v="0"/>
    <s v="Visitor"/>
    <s v="UPI"/>
    <x v="0"/>
    <n v="0.08"/>
    <b v="0"/>
    <n v="371.04520000000002"/>
    <x v="0"/>
    <s v="OK"/>
    <n v="168.88520000000003"/>
    <n v="0.45516071896361959"/>
    <b v="1"/>
    <b v="0"/>
    <b v="0"/>
    <n v="202.16"/>
  </r>
  <r>
    <s v="O00288"/>
    <d v="2025-07-31T22:39:25"/>
    <x v="2"/>
    <s v="Staff"/>
    <s v="Cash"/>
    <x v="1"/>
    <n v="0.09"/>
    <b v="1"/>
    <n v="291.31830000000002"/>
    <x v="1"/>
    <s v="OK"/>
    <n v="146.88830000000004"/>
    <n v="0.50421926806520578"/>
    <b v="1"/>
    <b v="1"/>
    <b v="0"/>
    <n v="144.42999999999998"/>
  </r>
  <r>
    <s v="O00289"/>
    <d v="2025-08-13T04:25:10"/>
    <x v="0"/>
    <s v="Staff"/>
    <s v="Card"/>
    <x v="0"/>
    <n v="0.06"/>
    <b v="1"/>
    <n v="289.78319999999997"/>
    <x v="0"/>
    <s v="OK"/>
    <n v="136.12319999999997"/>
    <n v="0.46974151710658169"/>
    <b v="0"/>
    <b v="1"/>
    <b v="1"/>
    <n v="153.66"/>
  </r>
  <r>
    <s v="O00290"/>
    <d v="2025-08-04T10:05:05"/>
    <x v="0"/>
    <s v="Worker"/>
    <s v="Card"/>
    <x v="0"/>
    <n v="0.02"/>
    <b v="1"/>
    <n v="52.028199999999998"/>
    <x v="0"/>
    <s v="OK"/>
    <n v="32.188199999999995"/>
    <n v="0.61866833755540251"/>
    <b v="0"/>
    <b v="0"/>
    <b v="0"/>
    <n v="19.840000000000003"/>
  </r>
  <r>
    <s v="O00291"/>
    <d v="2025-08-14T03:02:08"/>
    <x v="2"/>
    <s v="Worker"/>
    <s v="Card"/>
    <x v="0"/>
    <n v="0.06"/>
    <b v="0"/>
    <n v="482.99080000000004"/>
    <x v="0"/>
    <s v="OK"/>
    <n v="240.51080000000005"/>
    <n v="0.49796145185374135"/>
    <b v="1"/>
    <b v="0"/>
    <b v="0"/>
    <n v="242.48"/>
  </r>
  <r>
    <s v="O00292"/>
    <d v="2025-07-08T16:47:46"/>
    <x v="0"/>
    <s v="Worker"/>
    <s v="UPI"/>
    <x v="1"/>
    <n v="0.03"/>
    <b v="1"/>
    <n v="78.366299999999995"/>
    <x v="0"/>
    <s v="OK"/>
    <n v="42.006299999999996"/>
    <n v="0.53602505158467351"/>
    <b v="0"/>
    <b v="0"/>
    <b v="0"/>
    <n v="36.36"/>
  </r>
  <r>
    <s v="O00293"/>
    <d v="2025-08-07T13:54:32"/>
    <x v="1"/>
    <s v="Visitor"/>
    <s v="UPI"/>
    <x v="2"/>
    <n v="0.1"/>
    <b v="1"/>
    <n v="464.31000000000006"/>
    <x v="1"/>
    <s v="HighDisc"/>
    <n v="243.51000000000005"/>
    <n v="0.52445564385862897"/>
    <b v="1"/>
    <b v="0"/>
    <b v="0"/>
    <n v="220.8"/>
  </r>
  <r>
    <s v="O00294"/>
    <d v="2025-08-13T21:57:19"/>
    <x v="0"/>
    <s v="Visitor"/>
    <s v="Cash"/>
    <x v="1"/>
    <n v="0.05"/>
    <b v="1"/>
    <n v="54.016999999999996"/>
    <x v="0"/>
    <s v="OK"/>
    <n v="26.236999999999995"/>
    <n v="0.48571745931836269"/>
    <b v="0"/>
    <b v="0"/>
    <b v="0"/>
    <n v="27.78"/>
  </r>
  <r>
    <s v="O00295"/>
    <d v="2025-08-28T23:45:56"/>
    <x v="1"/>
    <s v="Visitor"/>
    <s v="Cash"/>
    <x v="1"/>
    <n v="0.03"/>
    <b v="1"/>
    <n v="76.891899999999993"/>
    <x v="0"/>
    <s v="OK"/>
    <n v="38.371899999999989"/>
    <n v="0.49903695967975814"/>
    <b v="0"/>
    <b v="0"/>
    <b v="1"/>
    <n v="38.520000000000003"/>
  </r>
  <r>
    <s v="O00296"/>
    <d v="2025-08-13T23:47:41"/>
    <x v="2"/>
    <s v="Staff"/>
    <s v="UPI"/>
    <x v="1"/>
    <n v="0.05"/>
    <b v="0"/>
    <n v="161.53800000000001"/>
    <x v="0"/>
    <s v="OK"/>
    <n v="92.39800000000001"/>
    <n v="0.57198925330262851"/>
    <b v="0"/>
    <b v="1"/>
    <b v="0"/>
    <n v="69.14"/>
  </r>
  <r>
    <s v="O00297"/>
    <d v="2025-08-19T05:41:03"/>
    <x v="0"/>
    <s v="Worker"/>
    <s v="Cash"/>
    <x v="0"/>
    <n v="0.08"/>
    <b v="0"/>
    <n v="194.69040000000001"/>
    <x v="0"/>
    <s v="OK"/>
    <n v="87.260400000000004"/>
    <n v="0.44820083578851344"/>
    <b v="0"/>
    <b v="1"/>
    <b v="0"/>
    <n v="107.43"/>
  </r>
  <r>
    <s v="O00298"/>
    <d v="2025-08-12T18:03:02"/>
    <x v="1"/>
    <s v="Visitor"/>
    <s v="UPI"/>
    <x v="1"/>
    <n v="0.04"/>
    <b v="0"/>
    <n v="246.6336"/>
    <x v="0"/>
    <s v="OK"/>
    <n v="125.39360000000001"/>
    <n v="0.50842058827345504"/>
    <b v="1"/>
    <b v="0"/>
    <b v="0"/>
    <n v="121.24"/>
  </r>
  <r>
    <s v="O00299"/>
    <d v="2025-08-05T13:56:37"/>
    <x v="1"/>
    <s v="Staff"/>
    <s v="Card"/>
    <x v="2"/>
    <n v="0.03"/>
    <b v="1"/>
    <n v="453.73690000000005"/>
    <x v="1"/>
    <s v="OK"/>
    <n v="215.37690000000003"/>
    <n v="0.47467353878426022"/>
    <b v="1"/>
    <b v="1"/>
    <b v="1"/>
    <n v="238.36"/>
  </r>
  <r>
    <s v="O00300"/>
    <d v="2025-08-03T02:27:09"/>
    <x v="0"/>
    <s v="Visitor"/>
    <s v="Cash"/>
    <x v="0"/>
    <n v="7.0000000000000007E-2"/>
    <b v="0"/>
    <n v="376.82670000000002"/>
    <x v="0"/>
    <s v="OK"/>
    <n v="191.19670000000002"/>
    <n v="0.507386286587442"/>
    <b v="1"/>
    <b v="1"/>
    <b v="1"/>
    <n v="185.63"/>
  </r>
  <r>
    <s v="O00301"/>
    <d v="2025-07-07T15:35:08"/>
    <x v="1"/>
    <s v="Worker"/>
    <s v="UPI"/>
    <x v="2"/>
    <n v="7.0000000000000007E-2"/>
    <b v="0"/>
    <n v="349.06619999999998"/>
    <x v="0"/>
    <s v="OK"/>
    <n v="184.59619999999998"/>
    <n v="0.52882862906806782"/>
    <b v="0"/>
    <b v="1"/>
    <b v="1"/>
    <n v="164.47"/>
  </r>
  <r>
    <s v="O00302"/>
    <d v="2025-07-28T20:06:37"/>
    <x v="1"/>
    <s v="Visitor"/>
    <s v="UPI"/>
    <x v="1"/>
    <n v="0.04"/>
    <b v="1"/>
    <n v="63.935999999999993"/>
    <x v="0"/>
    <s v="OK"/>
    <n v="35.795999999999992"/>
    <n v="0.55987237237237231"/>
    <b v="0"/>
    <b v="0"/>
    <b v="0"/>
    <n v="28.14"/>
  </r>
  <r>
    <s v="O00303"/>
    <d v="2025-08-02T14:47:23"/>
    <x v="2"/>
    <s v="Visitor"/>
    <s v="UPI"/>
    <x v="2"/>
    <n v="0.04"/>
    <b v="0"/>
    <n v="149.7792"/>
    <x v="0"/>
    <s v="OK"/>
    <n v="79.659199999999998"/>
    <n v="0.53184420800752041"/>
    <b v="0"/>
    <b v="1"/>
    <b v="0"/>
    <n v="70.12"/>
  </r>
  <r>
    <s v="O00304"/>
    <d v="2025-08-04T05:08:29"/>
    <x v="1"/>
    <s v="Visitor"/>
    <s v="UPI"/>
    <x v="0"/>
    <n v="7.0000000000000007E-2"/>
    <b v="1"/>
    <n v="30.671399999999995"/>
    <x v="0"/>
    <s v="OK"/>
    <n v="18.831399999999995"/>
    <n v="0.61397262596425328"/>
    <b v="0"/>
    <b v="0"/>
    <b v="0"/>
    <n v="11.84"/>
  </r>
  <r>
    <s v="O00305"/>
    <d v="2025-07-13T18:28:44"/>
    <x v="0"/>
    <s v="Visitor"/>
    <s v="Cash"/>
    <x v="1"/>
    <n v="0"/>
    <b v="0"/>
    <n v="572.08000000000004"/>
    <x v="0"/>
    <s v="OK"/>
    <n v="316.90000000000003"/>
    <n v="0.5539435044049783"/>
    <b v="1"/>
    <b v="1"/>
    <b v="0"/>
    <n v="255.18"/>
  </r>
  <r>
    <s v="O00306"/>
    <d v="2025-08-24T12:22:58"/>
    <x v="1"/>
    <s v="Visitor"/>
    <s v="Card"/>
    <x v="2"/>
    <n v="0"/>
    <b v="1"/>
    <n v="680.33"/>
    <x v="1"/>
    <s v="OK"/>
    <n v="332.89000000000004"/>
    <n v="0.48930666000323375"/>
    <b v="1"/>
    <b v="1"/>
    <b v="0"/>
    <n v="347.44"/>
  </r>
  <r>
    <s v="O00307"/>
    <d v="2025-08-21T08:35:07"/>
    <x v="2"/>
    <s v="Visitor"/>
    <s v="UPI"/>
    <x v="0"/>
    <n v="0.03"/>
    <b v="1"/>
    <n v="414.88839999999999"/>
    <x v="1"/>
    <s v="OK"/>
    <n v="217.45839999999998"/>
    <n v="0.52413709325206481"/>
    <b v="1"/>
    <b v="0"/>
    <b v="1"/>
    <n v="197.43"/>
  </r>
  <r>
    <s v="O00308"/>
    <d v="2025-08-19T14:51:50"/>
    <x v="1"/>
    <s v="Worker"/>
    <s v="Card"/>
    <x v="2"/>
    <n v="0.05"/>
    <b v="0"/>
    <n v="977.06549999999993"/>
    <x v="0"/>
    <s v="HighDisc"/>
    <n v="516.8454999999999"/>
    <n v="0.52897733058837915"/>
    <b v="1"/>
    <b v="0"/>
    <b v="1"/>
    <n v="460.22"/>
  </r>
  <r>
    <s v="O00309"/>
    <d v="2025-07-18T18:02:34"/>
    <x v="2"/>
    <s v="Staff"/>
    <s v="Card"/>
    <x v="1"/>
    <n v="7.0000000000000007E-2"/>
    <b v="1"/>
    <n v="101.46299999999999"/>
    <x v="0"/>
    <s v="OK"/>
    <n v="50.522999999999996"/>
    <n v="0.49794506371780844"/>
    <b v="0"/>
    <b v="1"/>
    <b v="0"/>
    <n v="50.94"/>
  </r>
  <r>
    <s v="O00310"/>
    <d v="2025-07-23T05:53:00"/>
    <x v="2"/>
    <s v="Worker"/>
    <s v="Cash"/>
    <x v="0"/>
    <n v="0.12"/>
    <b v="1"/>
    <n v="162.30719999999999"/>
    <x v="0"/>
    <s v="OK"/>
    <n v="73.417199999999994"/>
    <n v="0.45233483172650379"/>
    <b v="0"/>
    <b v="1"/>
    <b v="1"/>
    <n v="88.89"/>
  </r>
  <r>
    <s v="O00311"/>
    <d v="2025-07-11T01:40:30"/>
    <x v="0"/>
    <s v="Visitor"/>
    <s v="UPI"/>
    <x v="0"/>
    <n v="0.09"/>
    <b v="0"/>
    <n v="314.87819999999999"/>
    <x v="0"/>
    <s v="OK"/>
    <n v="150.34819999999999"/>
    <n v="0.47748049880874571"/>
    <b v="0"/>
    <b v="1"/>
    <b v="1"/>
    <n v="164.53"/>
  </r>
  <r>
    <s v="O00312"/>
    <d v="2025-07-04T21:57:28"/>
    <x v="0"/>
    <s v="Staff"/>
    <s v="UPI"/>
    <x v="1"/>
    <n v="0.05"/>
    <b v="0"/>
    <n v="260.96500000000003"/>
    <x v="0"/>
    <s v="OK"/>
    <n v="121.97500000000002"/>
    <n v="0.46739984289080916"/>
    <b v="0"/>
    <b v="1"/>
    <b v="1"/>
    <n v="138.99"/>
  </r>
  <r>
    <s v="O00313"/>
    <d v="2025-08-28T05:41:06"/>
    <x v="1"/>
    <s v="Worker"/>
    <s v="Cash"/>
    <x v="0"/>
    <n v="0.06"/>
    <b v="0"/>
    <n v="50.948"/>
    <x v="0"/>
    <s v="OK"/>
    <n v="28.998000000000001"/>
    <n v="0.56916856402606586"/>
    <b v="0"/>
    <b v="0"/>
    <b v="1"/>
    <n v="21.95"/>
  </r>
  <r>
    <s v="O00314"/>
    <d v="2025-07-17T07:44:03"/>
    <x v="0"/>
    <s v="Staff"/>
    <s v="Cash"/>
    <x v="0"/>
    <n v="0.02"/>
    <b v="1"/>
    <n v="32.320399999999999"/>
    <x v="0"/>
    <s v="OK"/>
    <n v="20.480399999999999"/>
    <n v="0.63366790014975061"/>
    <b v="0"/>
    <b v="0"/>
    <b v="0"/>
    <n v="11.84"/>
  </r>
  <r>
    <s v="O00315"/>
    <d v="2025-08-05T14:52:44"/>
    <x v="0"/>
    <s v="Visitor"/>
    <s v="Cash"/>
    <x v="2"/>
    <n v="0.06"/>
    <b v="0"/>
    <n v="325.66299999999995"/>
    <x v="0"/>
    <s v="OK"/>
    <n v="162.00299999999996"/>
    <n v="0.49745595907425766"/>
    <b v="0"/>
    <b v="0"/>
    <b v="1"/>
    <n v="163.66"/>
  </r>
  <r>
    <s v="O00316"/>
    <d v="2025-08-29T12:47:25"/>
    <x v="1"/>
    <s v="Visitor"/>
    <s v="Card"/>
    <x v="2"/>
    <n v="0.05"/>
    <b v="1"/>
    <n v="63.269999999999989"/>
    <x v="0"/>
    <s v="OK"/>
    <n v="35.129999999999988"/>
    <n v="0.55523944997629204"/>
    <b v="0"/>
    <b v="0"/>
    <b v="0"/>
    <n v="28.14"/>
  </r>
  <r>
    <s v="O00317"/>
    <d v="2025-08-22T02:20:10"/>
    <x v="2"/>
    <s v="Staff"/>
    <s v="Card"/>
    <x v="0"/>
    <n v="7.0000000000000007E-2"/>
    <b v="0"/>
    <n v="233.709"/>
    <x v="0"/>
    <s v="OK"/>
    <n v="101.18899999999999"/>
    <n v="0.43297006105883812"/>
    <b v="1"/>
    <b v="1"/>
    <b v="0"/>
    <n v="132.52000000000001"/>
  </r>
  <r>
    <s v="O00318"/>
    <d v="2025-08-05T23:07:53"/>
    <x v="0"/>
    <s v="Visitor"/>
    <s v="Card"/>
    <x v="1"/>
    <n v="0.03"/>
    <b v="1"/>
    <n v="386.19579999999996"/>
    <x v="1"/>
    <s v="OK"/>
    <n v="207.09579999999997"/>
    <n v="0.53624560391386955"/>
    <b v="1"/>
    <b v="0"/>
    <b v="1"/>
    <n v="179.1"/>
  </r>
  <r>
    <s v="O00319"/>
    <d v="2025-07-28T14:34:32"/>
    <x v="1"/>
    <s v="Visitor"/>
    <s v="UPI"/>
    <x v="2"/>
    <n v="0.08"/>
    <b v="1"/>
    <n v="89.506799999999998"/>
    <x v="0"/>
    <s v="OK"/>
    <n v="44.366799999999998"/>
    <n v="0.4956807750919483"/>
    <b v="0"/>
    <b v="0"/>
    <b v="1"/>
    <n v="45.14"/>
  </r>
  <r>
    <s v="O00320"/>
    <d v="2025-07-16T23:37:22"/>
    <x v="2"/>
    <s v="Visitor"/>
    <s v="Cash"/>
    <x v="1"/>
    <n v="0.12"/>
    <b v="0"/>
    <n v="300.66080000000005"/>
    <x v="0"/>
    <s v="HighDisc"/>
    <n v="152.52080000000007"/>
    <n v="0.50728528627609604"/>
    <b v="1"/>
    <b v="0"/>
    <b v="0"/>
    <n v="148.13999999999999"/>
  </r>
  <r>
    <s v="O00321"/>
    <d v="2025-07-06T07:35:15"/>
    <x v="0"/>
    <s v="Staff"/>
    <s v="Card"/>
    <x v="0"/>
    <n v="0.06"/>
    <b v="1"/>
    <n v="592.32219999999995"/>
    <x v="1"/>
    <s v="OK"/>
    <n v="299.00219999999996"/>
    <n v="0.50479654485345982"/>
    <b v="1"/>
    <b v="1"/>
    <b v="1"/>
    <n v="293.32"/>
  </r>
  <r>
    <s v="O00322"/>
    <d v="2025-07-11T05:03:05"/>
    <x v="0"/>
    <s v="Visitor"/>
    <s v="Cash"/>
    <x v="0"/>
    <n v="0.08"/>
    <b v="1"/>
    <n v="668.0856"/>
    <x v="1"/>
    <s v="HighDisc"/>
    <n v="348.66560000000004"/>
    <n v="0.52188761440150788"/>
    <b v="1"/>
    <b v="0"/>
    <b v="1"/>
    <n v="319.41999999999996"/>
  </r>
  <r>
    <s v="O00323"/>
    <d v="2025-07-09T09:26:35"/>
    <x v="2"/>
    <s v="Staff"/>
    <s v="Card"/>
    <x v="0"/>
    <n v="0.09"/>
    <b v="1"/>
    <n v="158.03059999999999"/>
    <x v="0"/>
    <s v="OK"/>
    <n v="81.280599999999993"/>
    <n v="0.51433456558413371"/>
    <b v="0"/>
    <b v="0"/>
    <b v="1"/>
    <n v="76.75"/>
  </r>
  <r>
    <s v="O00324"/>
    <d v="2025-07-15T13:20:50"/>
    <x v="1"/>
    <s v="Worker"/>
    <s v="Cash"/>
    <x v="2"/>
    <n v="0.04"/>
    <b v="0"/>
    <n v="498.4896"/>
    <x v="0"/>
    <s v="OK"/>
    <n v="262.81959999999998"/>
    <n v="0.52723186200875605"/>
    <b v="1"/>
    <b v="1"/>
    <b v="0"/>
    <n v="235.67000000000002"/>
  </r>
  <r>
    <s v="O00325"/>
    <d v="2025-08-04T04:35:32"/>
    <x v="2"/>
    <s v="Staff"/>
    <s v="Cash"/>
    <x v="0"/>
    <n v="7.0000000000000007E-2"/>
    <b v="0"/>
    <n v="46.676699999999997"/>
    <x v="0"/>
    <s v="OK"/>
    <n v="24.066699999999997"/>
    <n v="0.51560414510880159"/>
    <b v="0"/>
    <b v="1"/>
    <b v="0"/>
    <n v="22.61"/>
  </r>
  <r>
    <s v="O00326"/>
    <d v="2025-08-18T23:45:40"/>
    <x v="1"/>
    <s v="Worker"/>
    <s v="Card"/>
    <x v="1"/>
    <n v="0.06"/>
    <b v="1"/>
    <n v="18.903399999999998"/>
    <x v="0"/>
    <s v="OK"/>
    <n v="10.903399999999998"/>
    <n v="0.57679570870848629"/>
    <b v="0"/>
    <b v="0"/>
    <b v="0"/>
    <n v="8"/>
  </r>
  <r>
    <s v="O00327"/>
    <d v="2025-08-06T15:36:35"/>
    <x v="2"/>
    <s v="Worker"/>
    <s v="Card"/>
    <x v="2"/>
    <n v="0.06"/>
    <b v="1"/>
    <n v="109.67920000000001"/>
    <x v="0"/>
    <s v="OK"/>
    <n v="53.629200000000012"/>
    <n v="0.48896417916979706"/>
    <b v="0"/>
    <b v="1"/>
    <b v="0"/>
    <n v="56.05"/>
  </r>
  <r>
    <s v="O00328"/>
    <d v="2025-08-02T19:16:59"/>
    <x v="2"/>
    <s v="Worker"/>
    <s v="Cash"/>
    <x v="1"/>
    <n v="0.03"/>
    <b v="0"/>
    <n v="284.01600000000002"/>
    <x v="0"/>
    <s v="OK"/>
    <n v="122.17600000000002"/>
    <n v="0.43017294800292943"/>
    <b v="1"/>
    <b v="0"/>
    <b v="0"/>
    <n v="161.84"/>
  </r>
  <r>
    <s v="O00329"/>
    <d v="2025-08-16T02:53:59"/>
    <x v="0"/>
    <s v="Worker"/>
    <s v="UPI"/>
    <x v="0"/>
    <n v="0.06"/>
    <b v="0"/>
    <n v="513.09899999999993"/>
    <x v="0"/>
    <s v="OK"/>
    <n v="222.58899999999994"/>
    <n v="0.43381296786779933"/>
    <b v="1"/>
    <b v="1"/>
    <b v="1"/>
    <n v="290.51"/>
  </r>
  <r>
    <s v="O00330"/>
    <d v="2025-08-13T19:19:01"/>
    <x v="0"/>
    <s v="Worker"/>
    <s v="Cash"/>
    <x v="1"/>
    <n v="0.08"/>
    <b v="1"/>
    <n v="666.88040000000012"/>
    <x v="1"/>
    <s v="HighDisc"/>
    <n v="334.33040000000017"/>
    <n v="0.50133487204002414"/>
    <b v="1"/>
    <b v="0"/>
    <b v="0"/>
    <n v="332.54999999999995"/>
  </r>
  <r>
    <s v="O00331"/>
    <d v="2025-07-26T02:20:45"/>
    <x v="2"/>
    <s v="Worker"/>
    <s v="UPI"/>
    <x v="0"/>
    <n v="0.12"/>
    <b v="0"/>
    <n v="404.07840000000004"/>
    <x v="0"/>
    <s v="HighDisc"/>
    <n v="192.73840000000001"/>
    <n v="0.47698268454834503"/>
    <b v="1"/>
    <b v="1"/>
    <b v="1"/>
    <n v="211.34000000000003"/>
  </r>
  <r>
    <s v="O00332"/>
    <d v="2025-08-11T08:15:18"/>
    <x v="2"/>
    <s v="Staff"/>
    <s v="Cash"/>
    <x v="0"/>
    <n v="0.1"/>
    <b v="1"/>
    <n v="197.39699999999999"/>
    <x v="0"/>
    <s v="OK"/>
    <n v="98.266999999999982"/>
    <n v="0.4978140498589137"/>
    <b v="0"/>
    <b v="1"/>
    <b v="1"/>
    <n v="99.13000000000001"/>
  </r>
  <r>
    <s v="O00333"/>
    <d v="2025-07-13T01:55:38"/>
    <x v="2"/>
    <s v="Worker"/>
    <s v="Card"/>
    <x v="0"/>
    <n v="0.15"/>
    <b v="1"/>
    <n v="147.2285"/>
    <x v="0"/>
    <s v="OK"/>
    <n v="62.768500000000003"/>
    <n v="0.42633389595085192"/>
    <b v="0"/>
    <b v="0"/>
    <b v="1"/>
    <n v="84.46"/>
  </r>
  <r>
    <s v="O00334"/>
    <d v="2025-07-07T08:21:04"/>
    <x v="2"/>
    <s v="Staff"/>
    <s v="UPI"/>
    <x v="0"/>
    <n v="0.03"/>
    <b v="1"/>
    <n v="655.48719999999992"/>
    <x v="1"/>
    <s v="OK"/>
    <n v="372.1971999999999"/>
    <n v="0.56781764769777343"/>
    <b v="1"/>
    <b v="1"/>
    <b v="1"/>
    <n v="283.29000000000002"/>
  </r>
  <r>
    <s v="O00335"/>
    <d v="2025-07-02T20:17:49"/>
    <x v="0"/>
    <s v="Visitor"/>
    <s v="UPI"/>
    <x v="1"/>
    <n v="0.09"/>
    <b v="0"/>
    <n v="656.71060000000011"/>
    <x v="0"/>
    <s v="HighDisc"/>
    <n v="329.71060000000011"/>
    <n v="0.50206377055585838"/>
    <b v="1"/>
    <b v="0"/>
    <b v="1"/>
    <n v="327"/>
  </r>
  <r>
    <s v="O00336"/>
    <d v="2025-07-15T04:33:29"/>
    <x v="1"/>
    <s v="Staff"/>
    <s v="Cash"/>
    <x v="0"/>
    <n v="7.0000000000000007E-2"/>
    <b v="0"/>
    <n v="199.50360000000001"/>
    <x v="0"/>
    <s v="OK"/>
    <n v="96.003600000000006"/>
    <n v="0.48121236910010645"/>
    <b v="0"/>
    <b v="1"/>
    <b v="1"/>
    <n v="103.5"/>
  </r>
  <r>
    <s v="O00337"/>
    <d v="2025-07-24T14:33:19"/>
    <x v="0"/>
    <s v="Staff"/>
    <s v="Cash"/>
    <x v="2"/>
    <n v="0.15"/>
    <b v="0"/>
    <n v="124.44"/>
    <x v="0"/>
    <s v="OK"/>
    <n v="43.519999999999996"/>
    <n v="0.34972677595628415"/>
    <b v="1"/>
    <b v="0"/>
    <b v="0"/>
    <n v="80.92"/>
  </r>
  <r>
    <s v="O00338"/>
    <d v="2025-08-21T01:48:26"/>
    <x v="1"/>
    <s v="Worker"/>
    <s v="UPI"/>
    <x v="0"/>
    <n v="0.03"/>
    <b v="1"/>
    <n v="152.9787"/>
    <x v="0"/>
    <s v="OK"/>
    <n v="89.3887"/>
    <n v="0.58432121596013042"/>
    <b v="0"/>
    <b v="0"/>
    <b v="0"/>
    <n v="63.59"/>
  </r>
  <r>
    <s v="O00339"/>
    <d v="2025-08-19T12:09:33"/>
    <x v="0"/>
    <s v="Visitor"/>
    <s v="Cash"/>
    <x v="2"/>
    <n v="0.03"/>
    <b v="0"/>
    <n v="392.66570000000002"/>
    <x v="0"/>
    <s v="OK"/>
    <n v="207.3057"/>
    <n v="0.5279445085221347"/>
    <b v="0"/>
    <b v="0"/>
    <b v="1"/>
    <n v="185.36"/>
  </r>
  <r>
    <s v="O00340"/>
    <d v="2025-08-15T21:29:38"/>
    <x v="2"/>
    <s v="Visitor"/>
    <s v="Card"/>
    <x v="1"/>
    <n v="0.04"/>
    <b v="1"/>
    <n v="263.87520000000001"/>
    <x v="0"/>
    <s v="OK"/>
    <n v="138.5052"/>
    <n v="0.52488903845454216"/>
    <b v="0"/>
    <b v="1"/>
    <b v="1"/>
    <n v="125.37"/>
  </r>
  <r>
    <s v="O00341"/>
    <d v="2025-07-25T21:02:52"/>
    <x v="0"/>
    <s v="Worker"/>
    <s v="Card"/>
    <x v="1"/>
    <n v="0"/>
    <b v="0"/>
    <n v="416"/>
    <x v="0"/>
    <s v="OK"/>
    <n v="204.88"/>
    <n v="0.49249999999999999"/>
    <b v="1"/>
    <b v="1"/>
    <b v="1"/>
    <n v="211.12"/>
  </r>
  <r>
    <s v="O00342"/>
    <d v="2025-08-03T17:26:52"/>
    <x v="2"/>
    <s v="Visitor"/>
    <s v="UPI"/>
    <x v="1"/>
    <n v="0.04"/>
    <b v="1"/>
    <n v="104.9376"/>
    <x v="0"/>
    <s v="OK"/>
    <n v="51.357600000000005"/>
    <n v="0.48941084987649808"/>
    <b v="0"/>
    <b v="1"/>
    <b v="0"/>
    <n v="53.58"/>
  </r>
  <r>
    <s v="O00343"/>
    <d v="2025-08-26T17:55:58"/>
    <x v="0"/>
    <s v="Staff"/>
    <s v="Cash"/>
    <x v="1"/>
    <n v="0.03"/>
    <b v="0"/>
    <n v="105.148"/>
    <x v="0"/>
    <s v="OK"/>
    <n v="61.247999999999998"/>
    <n v="0.58249324761288845"/>
    <b v="0"/>
    <b v="0"/>
    <b v="1"/>
    <n v="43.9"/>
  </r>
  <r>
    <s v="O00344"/>
    <d v="2025-08-04T10:54:58"/>
    <x v="0"/>
    <s v="Staff"/>
    <s v="UPI"/>
    <x v="0"/>
    <n v="7.0000000000000007E-2"/>
    <b v="0"/>
    <n v="214.55099999999999"/>
    <x v="0"/>
    <s v="OK"/>
    <n v="108.28099999999999"/>
    <n v="0.5046865314074509"/>
    <b v="0"/>
    <b v="1"/>
    <b v="1"/>
    <n v="106.27"/>
  </r>
  <r>
    <s v="O00345"/>
    <d v="2025-08-15T08:38:59"/>
    <x v="0"/>
    <s v="Staff"/>
    <s v="UPI"/>
    <x v="0"/>
    <n v="7.0000000000000007E-2"/>
    <b v="1"/>
    <n v="595.21860000000004"/>
    <x v="1"/>
    <s v="HighDisc"/>
    <n v="327.54860000000008"/>
    <n v="0.55029967141483827"/>
    <b v="1"/>
    <b v="0"/>
    <b v="1"/>
    <n v="267.66999999999996"/>
  </r>
  <r>
    <s v="O00346"/>
    <d v="2025-07-14T08:13:45"/>
    <x v="2"/>
    <s v="Visitor"/>
    <s v="Card"/>
    <x v="0"/>
    <n v="0.14000000000000001"/>
    <b v="1"/>
    <n v="66.194199999999995"/>
    <x v="0"/>
    <s v="OK"/>
    <n v="30.414199999999994"/>
    <n v="0.45946925863595295"/>
    <b v="0"/>
    <b v="0"/>
    <b v="0"/>
    <n v="35.78"/>
  </r>
  <r>
    <s v="O00347"/>
    <d v="2025-07-29T17:46:14"/>
    <x v="2"/>
    <s v="Worker"/>
    <s v="Cash"/>
    <x v="1"/>
    <n v="0.1"/>
    <b v="0"/>
    <n v="494.73900000000003"/>
    <x v="0"/>
    <s v="HighDisc"/>
    <n v="211.65900000000005"/>
    <n v="0.42781951695742609"/>
    <b v="1"/>
    <b v="0"/>
    <b v="0"/>
    <n v="283.08"/>
  </r>
  <r>
    <s v="O00348"/>
    <d v="2025-07-31T21:23:29"/>
    <x v="1"/>
    <s v="Visitor"/>
    <s v="Card"/>
    <x v="1"/>
    <n v="0.04"/>
    <b v="0"/>
    <n v="1245.1872000000001"/>
    <x v="0"/>
    <s v="HighDisc"/>
    <n v="639.23720000000014"/>
    <n v="0.5133663436309015"/>
    <b v="1"/>
    <b v="1"/>
    <b v="1"/>
    <n v="605.94999999999993"/>
  </r>
  <r>
    <s v="O00349"/>
    <d v="2025-08-16T05:06:05"/>
    <x v="1"/>
    <s v="Worker"/>
    <s v="UPI"/>
    <x v="0"/>
    <n v="0.02"/>
    <b v="0"/>
    <n v="915.51600000000008"/>
    <x v="0"/>
    <s v="OK"/>
    <n v="491.63600000000008"/>
    <n v="0.53700426863102346"/>
    <b v="1"/>
    <b v="0"/>
    <b v="1"/>
    <n v="423.88"/>
  </r>
  <r>
    <s v="O00350"/>
    <d v="2025-07-29T00:41:12"/>
    <x v="1"/>
    <s v="Worker"/>
    <s v="UPI"/>
    <x v="0"/>
    <n v="0.08"/>
    <b v="1"/>
    <n v="356.21480000000003"/>
    <x v="1"/>
    <s v="OK"/>
    <n v="156.8048"/>
    <n v="0.44019731914563909"/>
    <b v="1"/>
    <b v="0"/>
    <b v="0"/>
    <n v="199.41000000000003"/>
  </r>
  <r>
    <s v="O00351"/>
    <d v="2025-07-27T18:38:27"/>
    <x v="2"/>
    <s v="Staff"/>
    <s v="Card"/>
    <x v="1"/>
    <n v="0.01"/>
    <b v="1"/>
    <n v="60.0732"/>
    <x v="0"/>
    <s v="OK"/>
    <n v="31.713200000000001"/>
    <n v="0.527909284006845"/>
    <b v="0"/>
    <b v="0"/>
    <b v="0"/>
    <n v="28.36"/>
  </r>
  <r>
    <s v="O00352"/>
    <d v="2025-08-12T22:39:38"/>
    <x v="1"/>
    <s v="Staff"/>
    <s v="Cash"/>
    <x v="1"/>
    <n v="0.13"/>
    <b v="1"/>
    <n v="204.4239"/>
    <x v="0"/>
    <s v="OK"/>
    <n v="99.243899999999996"/>
    <n v="0.48548090511921549"/>
    <b v="0"/>
    <b v="1"/>
    <b v="1"/>
    <n v="105.18"/>
  </r>
  <r>
    <s v="O00353"/>
    <d v="2025-08-18T13:18:48"/>
    <x v="1"/>
    <s v="Visitor"/>
    <s v="Card"/>
    <x v="2"/>
    <n v="0.11"/>
    <b v="0"/>
    <n v="204.38849999999999"/>
    <x v="0"/>
    <s v="OK"/>
    <n v="89.698499999999996"/>
    <n v="0.43886275401991792"/>
    <b v="0"/>
    <b v="0"/>
    <b v="1"/>
    <n v="114.69"/>
  </r>
  <r>
    <s v="O00354"/>
    <d v="2025-08-11T11:09:21"/>
    <x v="2"/>
    <s v="Staff"/>
    <s v="UPI"/>
    <x v="2"/>
    <n v="0.04"/>
    <b v="0"/>
    <n v="183.5136"/>
    <x v="0"/>
    <s v="OK"/>
    <n v="87.503600000000006"/>
    <n v="0.47682351607728257"/>
    <b v="0"/>
    <b v="1"/>
    <b v="1"/>
    <n v="96.009999999999991"/>
  </r>
  <r>
    <s v="O00355"/>
    <d v="2025-08-23T05:02:50"/>
    <x v="1"/>
    <s v="Staff"/>
    <s v="Cash"/>
    <x v="0"/>
    <n v="0"/>
    <b v="1"/>
    <n v="87.41"/>
    <x v="0"/>
    <s v="OK"/>
    <n v="44.089999999999996"/>
    <n v="0.50440453037409905"/>
    <b v="0"/>
    <b v="0"/>
    <b v="1"/>
    <n v="43.32"/>
  </r>
  <r>
    <s v="O00356"/>
    <d v="2025-08-02T02:06:31"/>
    <x v="0"/>
    <s v="Staff"/>
    <s v="Card"/>
    <x v="0"/>
    <n v="0.11"/>
    <b v="1"/>
    <n v="700.52790000000005"/>
    <x v="1"/>
    <s v="HighDisc"/>
    <n v="360.43790000000001"/>
    <n v="0.51452326167166218"/>
    <b v="1"/>
    <b v="1"/>
    <b v="0"/>
    <n v="340.09000000000003"/>
  </r>
  <r>
    <s v="O00357"/>
    <d v="2025-08-28T18:12:36"/>
    <x v="0"/>
    <s v="Staff"/>
    <s v="Cash"/>
    <x v="1"/>
    <n v="0.06"/>
    <b v="1"/>
    <n v="93.417199999999994"/>
    <x v="0"/>
    <s v="OK"/>
    <n v="46.897199999999991"/>
    <n v="0.50201890015971351"/>
    <b v="0"/>
    <b v="0"/>
    <b v="1"/>
    <n v="46.52"/>
  </r>
  <r>
    <s v="O00358"/>
    <d v="2025-08-04T09:09:49"/>
    <x v="1"/>
    <s v="Worker"/>
    <s v="UPI"/>
    <x v="0"/>
    <n v="0.11"/>
    <b v="1"/>
    <n v="89.783200000000008"/>
    <x v="0"/>
    <s v="OK"/>
    <n v="39.793200000000006"/>
    <n v="0.44321432071924372"/>
    <b v="0"/>
    <b v="1"/>
    <b v="0"/>
    <n v="49.99"/>
  </r>
  <r>
    <s v="O00359"/>
    <d v="2025-08-12T11:29:05"/>
    <x v="1"/>
    <s v="Visitor"/>
    <s v="Cash"/>
    <x v="2"/>
    <n v="0"/>
    <b v="0"/>
    <n v="455.22"/>
    <x v="0"/>
    <s v="OK"/>
    <n v="262.78000000000003"/>
    <n v="0.57725934712886084"/>
    <b v="1"/>
    <b v="0"/>
    <b v="0"/>
    <n v="192.44"/>
  </r>
  <r>
    <s v="O00360"/>
    <d v="2025-08-09T16:32:18"/>
    <x v="1"/>
    <s v="Visitor"/>
    <s v="UPI"/>
    <x v="1"/>
    <n v="0.04"/>
    <b v="1"/>
    <n v="962.15039999999999"/>
    <x v="1"/>
    <s v="HighDisc"/>
    <n v="496.00040000000001"/>
    <n v="0.51551233570136235"/>
    <b v="1"/>
    <b v="0"/>
    <b v="0"/>
    <n v="466.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ED695C-9356-472A-9682-6C3173FB0318}"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Row Labels">
  <location ref="H26:I29" firstHeaderRow="1" firstDataRow="1" firstDataCol="1"/>
  <pivotFields count="17">
    <pivotField showAll="0"/>
    <pivotField numFmtId="164" showAll="0"/>
    <pivotField showAll="0">
      <items count="4">
        <item x="0"/>
        <item x="2"/>
        <item x="1"/>
        <item t="default"/>
      </items>
    </pivotField>
    <pivotField showAll="0"/>
    <pivotField showAll="0"/>
    <pivotField showAll="0">
      <items count="4">
        <item x="0"/>
        <item x="1"/>
        <item x="2"/>
        <item t="default"/>
      </items>
    </pivotField>
    <pivotField numFmtId="10" showAll="0"/>
    <pivotField showAll="0"/>
    <pivotField showAll="0"/>
    <pivotField axis="axisRow" showAll="0">
      <items count="3">
        <item x="1"/>
        <item x="0"/>
        <item t="default"/>
      </items>
    </pivotField>
    <pivotField showAll="0"/>
    <pivotField numFmtId="166" showAll="0"/>
    <pivotField dataField="1" numFmtId="10" showAll="0"/>
    <pivotField showAll="0"/>
    <pivotField showAll="0"/>
    <pivotField showAll="0"/>
    <pivotField numFmtId="166" showAll="0"/>
  </pivotFields>
  <rowFields count="1">
    <field x="9"/>
  </rowFields>
  <rowItems count="3">
    <i>
      <x/>
    </i>
    <i>
      <x v="1"/>
    </i>
    <i t="grand">
      <x/>
    </i>
  </rowItems>
  <colItems count="1">
    <i/>
  </colItems>
  <dataFields count="1">
    <dataField name="Avg GM%" fld="12" subtotal="average" baseField="9" baseItem="0" numFmtId="10"/>
  </dataFields>
  <chartFormats count="3">
    <chartFormat chart="4" format="8"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258CAB-B9C8-4CCF-8138-9B6079A53246}"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H20:K23" firstHeaderRow="0" firstDataRow="1" firstDataCol="1"/>
  <pivotFields count="17">
    <pivotField showAll="0"/>
    <pivotField numFmtId="164" showAll="0"/>
    <pivotField showAll="0">
      <items count="4">
        <item x="0"/>
        <item x="2"/>
        <item x="1"/>
        <item t="default"/>
      </items>
    </pivotField>
    <pivotField showAll="0"/>
    <pivotField showAll="0"/>
    <pivotField showAll="0">
      <items count="4">
        <item x="0"/>
        <item x="1"/>
        <item x="2"/>
        <item t="default"/>
      </items>
    </pivotField>
    <pivotField numFmtId="10" showAll="0"/>
    <pivotField showAll="0"/>
    <pivotField dataField="1" showAll="0"/>
    <pivotField axis="axisRow" showAll="0">
      <items count="3">
        <item x="1"/>
        <item x="0"/>
        <item t="default"/>
      </items>
    </pivotField>
    <pivotField showAll="0"/>
    <pivotField dataField="1" numFmtId="166" showAll="0"/>
    <pivotField numFmtId="10" showAll="0"/>
    <pivotField showAll="0"/>
    <pivotField showAll="0"/>
    <pivotField showAll="0"/>
    <pivotField dataField="1" numFmtId="166" showAll="0"/>
  </pivotFields>
  <rowFields count="1">
    <field x="9"/>
  </rowFields>
  <rowItems count="3">
    <i>
      <x/>
    </i>
    <i>
      <x v="1"/>
    </i>
    <i t="grand">
      <x/>
    </i>
  </rowItems>
  <colFields count="1">
    <field x="-2"/>
  </colFields>
  <colItems count="3">
    <i>
      <x/>
    </i>
    <i i="1">
      <x v="1"/>
    </i>
    <i i="2">
      <x v="2"/>
    </i>
  </colItems>
  <dataFields count="3">
    <dataField name="Avg Ticket" fld="8" subtotal="average" baseField="9" baseItem="0" numFmtId="166"/>
    <dataField name="Avg Cost" fld="16" subtotal="average" baseField="9" baseItem="0" numFmtId="166"/>
    <dataField name="Avg GP" fld="11" subtotal="average" baseField="9" baseItem="0" numFmtId="166"/>
  </dataFields>
  <chartFormats count="3">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486B3F-D0AB-4EF9-B844-C9BB8730F62A}"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rowPageCount="1" colPageCount="1"/>
  <pivotFields count="17">
    <pivotField dataField="1" showAll="0"/>
    <pivotField numFmtId="164" showAll="0"/>
    <pivotField showAll="0">
      <items count="4">
        <item x="0"/>
        <item x="2"/>
        <item x="1"/>
        <item t="default"/>
      </items>
    </pivotField>
    <pivotField showAll="0"/>
    <pivotField showAll="0"/>
    <pivotField showAll="0">
      <items count="4">
        <item x="0"/>
        <item x="1"/>
        <item x="2"/>
        <item t="default"/>
      </items>
    </pivotField>
    <pivotField numFmtId="10" showAll="0"/>
    <pivotField showAll="0"/>
    <pivotField dataField="1" showAll="0"/>
    <pivotField axis="axisPage" multipleItemSelectionAllowed="1" showAll="0">
      <items count="3">
        <item x="1"/>
        <item h="1" x="0"/>
        <item t="default"/>
      </items>
    </pivotField>
    <pivotField showAll="0"/>
    <pivotField dataField="1" numFmtId="166" showAll="0"/>
    <pivotField numFmtId="10" showAll="0"/>
    <pivotField showAll="0"/>
    <pivotField showAll="0"/>
    <pivotField showAll="0"/>
    <pivotField numFmtId="166" showAll="0"/>
  </pivotFields>
  <rowItems count="1">
    <i/>
  </rowItems>
  <colFields count="1">
    <field x="-2"/>
  </colFields>
  <colItems count="3">
    <i>
      <x/>
    </i>
    <i i="1">
      <x v="1"/>
    </i>
    <i i="2">
      <x v="2"/>
    </i>
  </colItems>
  <pageFields count="1">
    <pageField fld="9" hier="-1"/>
  </pageFields>
  <dataFields count="3">
    <dataField name="Count of OrderID" fld="0" subtotal="count" baseField="0" baseItem="0"/>
    <dataField name="Average of OrderTotal" fld="8" subtotal="average" baseField="0" baseItem="1" numFmtId="166"/>
    <dataField name="Avg GP" fld="11" subtotal="average" baseField="0" baseItem="1" numFmtId="166"/>
  </dataFields>
  <formats count="2">
    <format dxfId="82">
      <pivotArea outline="0" collapsedLevelsAreSubtotals="1" fieldPosition="0">
        <references count="1">
          <reference field="4294967294" count="1" selected="0">
            <x v="2"/>
          </reference>
        </references>
      </pivotArea>
    </format>
    <format dxfId="8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061652-8C76-4DD5-B4AA-4FB61480F60D}"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9:D32" firstHeaderRow="0" firstDataRow="1" firstDataCol="1"/>
  <pivotFields count="17">
    <pivotField showAll="0"/>
    <pivotField numFmtId="164" showAll="0"/>
    <pivotField showAll="0"/>
    <pivotField showAll="0"/>
    <pivotField showAll="0"/>
    <pivotField showAll="0">
      <items count="4">
        <item x="0"/>
        <item x="1"/>
        <item x="2"/>
        <item t="default"/>
      </items>
    </pivotField>
    <pivotField numFmtId="10" showAll="0"/>
    <pivotField showAll="0"/>
    <pivotField dataField="1" showAll="0"/>
    <pivotField axis="axisRow" showAll="0">
      <items count="3">
        <item x="1"/>
        <item x="0"/>
        <item t="default"/>
      </items>
    </pivotField>
    <pivotField showAll="0"/>
    <pivotField dataField="1" numFmtId="166" showAll="0"/>
    <pivotField dataField="1" numFmtId="10" showAll="0"/>
    <pivotField showAll="0"/>
    <pivotField showAll="0"/>
    <pivotField showAll="0"/>
    <pivotField numFmtId="166" showAll="0"/>
  </pivotFields>
  <rowFields count="1">
    <field x="9"/>
  </rowFields>
  <rowItems count="3">
    <i>
      <x/>
    </i>
    <i>
      <x v="1"/>
    </i>
    <i t="grand">
      <x/>
    </i>
  </rowItems>
  <colFields count="1">
    <field x="-2"/>
  </colFields>
  <colItems count="3">
    <i>
      <x/>
    </i>
    <i i="1">
      <x v="1"/>
    </i>
    <i i="2">
      <x v="2"/>
    </i>
  </colItems>
  <dataFields count="3">
    <dataField name="Avg Ticket" fld="8" subtotal="average" baseField="9" baseItem="0" numFmtId="166"/>
    <dataField name="Avg GP" fld="11" subtotal="average" baseField="9" baseItem="0" numFmtId="166"/>
    <dataField name="Avg GM%" fld="12" subtotal="average"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A2795F-6F3B-445D-B447-096061ADAEF3}"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19:D24" firstHeaderRow="1" firstDataRow="2" firstDataCol="1"/>
  <pivotFields count="17">
    <pivotField dataField="1" showAll="0"/>
    <pivotField numFmtId="164" showAll="0"/>
    <pivotField showAll="0">
      <items count="4">
        <item x="0"/>
        <item x="2"/>
        <item x="1"/>
        <item t="default"/>
      </items>
    </pivotField>
    <pivotField showAll="0"/>
    <pivotField showAll="0"/>
    <pivotField axis="axisRow" showAll="0">
      <items count="4">
        <item x="0"/>
        <item x="1"/>
        <item x="2"/>
        <item t="default"/>
      </items>
    </pivotField>
    <pivotField numFmtId="10" showAll="0"/>
    <pivotField showAll="0"/>
    <pivotField showAll="0"/>
    <pivotField axis="axisCol" showAll="0">
      <items count="3">
        <item x="1"/>
        <item x="0"/>
        <item t="default"/>
      </items>
    </pivotField>
    <pivotField showAll="0"/>
    <pivotField numFmtId="166" showAll="0"/>
    <pivotField numFmtId="10" showAll="0"/>
    <pivotField showAll="0"/>
    <pivotField showAll="0"/>
    <pivotField showAll="0"/>
    <pivotField numFmtId="166" showAll="0"/>
  </pivotFields>
  <rowFields count="1">
    <field x="5"/>
  </rowFields>
  <rowItems count="4">
    <i>
      <x/>
    </i>
    <i>
      <x v="1"/>
    </i>
    <i>
      <x v="2"/>
    </i>
    <i t="grand">
      <x/>
    </i>
  </rowItems>
  <colFields count="1">
    <field x="9"/>
  </colFields>
  <colItems count="3">
    <i>
      <x/>
    </i>
    <i>
      <x v="1"/>
    </i>
    <i t="grand">
      <x/>
    </i>
  </colItems>
  <dataFields count="1">
    <dataField name="Count of OrderID" fld="0" subtotal="count" showDataAs="percentOfRow" baseField="0" baseItem="0" numFmtId="10"/>
  </dataFields>
  <chartFormats count="2">
    <chartFormat chart="1" format="2" series="1">
      <pivotArea type="data" outline="0" fieldPosition="0">
        <references count="2">
          <reference field="4294967294" count="1" selected="0">
            <x v="0"/>
          </reference>
          <reference field="9" count="1" selected="0">
            <x v="0"/>
          </reference>
        </references>
      </pivotArea>
    </chartFormat>
    <chartFormat chart="1" format="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F9AFA1-9A30-4BDC-BEEA-32EED8B43705}"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0:D15" firstHeaderRow="1" firstDataRow="2" firstDataCol="1"/>
  <pivotFields count="17">
    <pivotField dataField="1" showAll="0"/>
    <pivotField numFmtId="164" showAll="0"/>
    <pivotField axis="axisRow" showAll="0">
      <items count="4">
        <item x="0"/>
        <item x="2"/>
        <item x="1"/>
        <item t="default"/>
      </items>
    </pivotField>
    <pivotField showAll="0"/>
    <pivotField showAll="0"/>
    <pivotField showAll="0">
      <items count="4">
        <item x="0"/>
        <item x="1"/>
        <item x="2"/>
        <item t="default"/>
      </items>
    </pivotField>
    <pivotField numFmtId="10" showAll="0"/>
    <pivotField showAll="0"/>
    <pivotField showAll="0"/>
    <pivotField axis="axisCol" showAll="0">
      <items count="3">
        <item x="1"/>
        <item x="0"/>
        <item t="default"/>
      </items>
    </pivotField>
    <pivotField showAll="0"/>
    <pivotField numFmtId="166" showAll="0"/>
    <pivotField numFmtId="10" showAll="0"/>
    <pivotField showAll="0"/>
    <pivotField showAll="0"/>
    <pivotField showAll="0"/>
    <pivotField numFmtId="166" showAll="0"/>
  </pivotFields>
  <rowFields count="1">
    <field x="2"/>
  </rowFields>
  <rowItems count="4">
    <i>
      <x/>
    </i>
    <i>
      <x v="1"/>
    </i>
    <i>
      <x v="2"/>
    </i>
    <i t="grand">
      <x/>
    </i>
  </rowItems>
  <colFields count="1">
    <field x="9"/>
  </colFields>
  <colItems count="3">
    <i>
      <x/>
    </i>
    <i>
      <x v="1"/>
    </i>
    <i t="grand">
      <x/>
    </i>
  </colItems>
  <dataFields count="1">
    <dataField name="Count of OrderID" fld="0" subtotal="count" showDataAs="percentOfRow" baseField="0" baseItem="0" numFmtId="10"/>
  </dataFields>
  <formats count="1">
    <format dxfId="83">
      <pivotArea type="origin" dataOnly="0" labelOnly="1" outline="0" fieldPosition="0"/>
    </format>
  </formats>
  <chartFormats count="2">
    <chartFormat chart="2" format="2" series="1">
      <pivotArea type="data" outline="0" fieldPosition="0">
        <references count="2">
          <reference field="4294967294" count="1" selected="0">
            <x v="0"/>
          </reference>
          <reference field="9" count="1" selected="0">
            <x v="0"/>
          </reference>
        </references>
      </pivotArea>
    </chartFormat>
    <chartFormat chart="2" format="3"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613C37-8D4D-4EA4-B481-E618FEF9999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Branch Name">
  <location ref="H20:K24" firstHeaderRow="0" firstDataRow="1" firstDataCol="1"/>
  <pivotFields count="13">
    <pivotField showAll="0"/>
    <pivotField showAll="0"/>
    <pivotField showAll="0"/>
    <pivotField numFmtId="2" showAll="0"/>
    <pivotField numFmtId="2" showAll="0"/>
    <pivotField showAll="0"/>
    <pivotField numFmtId="14" showAll="0"/>
    <pivotField axis="axisRow" showAll="0">
      <items count="4">
        <item x="0"/>
        <item x="2"/>
        <item x="1"/>
        <item t="default"/>
      </items>
    </pivotField>
    <pivotField showAll="0"/>
    <pivotField showAll="0"/>
    <pivotField dataField="1" numFmtId="166" showAll="0"/>
    <pivotField dataField="1" showAll="0"/>
    <pivotField dataField="1" dragToRow="0" dragToCol="0" dragToPage="0" showAll="0" defaultSubtotal="0"/>
  </pivotFields>
  <rowFields count="1">
    <field x="7"/>
  </rowFields>
  <rowItems count="4">
    <i>
      <x/>
    </i>
    <i>
      <x v="1"/>
    </i>
    <i>
      <x v="2"/>
    </i>
    <i t="grand">
      <x/>
    </i>
  </rowItems>
  <colFields count="1">
    <field x="-2"/>
  </colFields>
  <colItems count="3">
    <i>
      <x/>
    </i>
    <i i="1">
      <x v="1"/>
    </i>
    <i i="2">
      <x v="2"/>
    </i>
  </colItems>
  <dataFields count="3">
    <dataField name="Total Revenue" fld="10" baseField="7" baseItem="0"/>
    <dataField name="Food Cost" fld="11" baseField="7" baseItem="1"/>
    <dataField name="Sum of GM%" fld="12" baseField="7" baseItem="0" numFmtId="10"/>
  </dataFields>
  <conditionalFormats count="1">
    <conditionalFormat priority="1">
      <pivotAreas count="1">
        <pivotArea type="data" collapsedLevelsAreSubtotals="1" fieldPosition="0">
          <references count="2">
            <reference field="4294967294" count="1" selected="0">
              <x v="2"/>
            </reference>
            <reference field="7" count="3">
              <x v="0"/>
              <x v="1"/>
              <x v="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0991A9-2D60-4067-830B-791775B1BE9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C31" firstHeaderRow="0" firstDataRow="1" firstDataCol="1" rowPageCount="1" colPageCount="1"/>
  <pivotFields count="13">
    <pivotField showAll="0"/>
    <pivotField axis="axisRow" showAll="0" measureFilter="1" sortType="descending">
      <items count="20">
        <item x="8"/>
        <item x="10"/>
        <item x="3"/>
        <item x="1"/>
        <item x="9"/>
        <item x="13"/>
        <item x="12"/>
        <item x="2"/>
        <item x="11"/>
        <item x="4"/>
        <item x="14"/>
        <item x="6"/>
        <item x="16"/>
        <item x="15"/>
        <item x="18"/>
        <item x="7"/>
        <item x="0"/>
        <item x="17"/>
        <item x="5"/>
        <item t="default"/>
      </items>
      <autoSortScope>
        <pivotArea dataOnly="0" outline="0" fieldPosition="0">
          <references count="1">
            <reference field="4294967294" count="1" selected="0">
              <x v="1"/>
            </reference>
          </references>
        </pivotArea>
      </autoSortScope>
    </pivotField>
    <pivotField dataField="1" showAll="0"/>
    <pivotField numFmtId="2" showAll="0"/>
    <pivotField numFmtId="2" showAll="0"/>
    <pivotField showAll="0"/>
    <pivotField axis="axisPage" numFmtId="14" multipleItemSelectionAllowed="1" showAll="0">
      <items count="61">
        <item h="1" x="8"/>
        <item h="1" x="21"/>
        <item h="1" x="45"/>
        <item h="1" x="26"/>
        <item h="1" x="27"/>
        <item h="1" x="6"/>
        <item h="1" x="4"/>
        <item h="1" x="58"/>
        <item h="1" x="15"/>
        <item h="1" x="2"/>
        <item h="1" x="28"/>
        <item h="1" x="25"/>
        <item h="1" x="23"/>
        <item h="1" x="0"/>
        <item h="1" x="53"/>
        <item h="1" x="10"/>
        <item h="1" x="48"/>
        <item h="1" x="29"/>
        <item h="1" x="13"/>
        <item h="1" x="32"/>
        <item h="1" x="44"/>
        <item h="1" x="7"/>
        <item h="1" x="46"/>
        <item h="1" x="1"/>
        <item h="1" x="5"/>
        <item h="1" x="55"/>
        <item h="1" x="30"/>
        <item h="1" x="33"/>
        <item h="1" x="56"/>
        <item h="1" x="38"/>
        <item h="1" x="16"/>
        <item x="49"/>
        <item x="50"/>
        <item x="22"/>
        <item x="31"/>
        <item x="36"/>
        <item x="47"/>
        <item x="57"/>
        <item x="59"/>
        <item x="14"/>
        <item x="3"/>
        <item x="9"/>
        <item x="35"/>
        <item x="42"/>
        <item x="17"/>
        <item x="39"/>
        <item x="40"/>
        <item x="51"/>
        <item x="41"/>
        <item x="19"/>
        <item x="43"/>
        <item x="12"/>
        <item x="20"/>
        <item x="24"/>
        <item x="18"/>
        <item x="37"/>
        <item x="11"/>
        <item x="52"/>
        <item x="34"/>
        <item x="54"/>
        <item t="default"/>
      </items>
    </pivotField>
    <pivotField showAll="0"/>
    <pivotField showAll="0"/>
    <pivotField showAll="0"/>
    <pivotField name="Revenue2" dataField="1" numFmtId="166" showAll="0"/>
    <pivotField showAll="0"/>
    <pivotField dragToRow="0" dragToCol="0" dragToPage="0" showAll="0" defaultSubtotal="0"/>
  </pivotFields>
  <rowFields count="1">
    <field x="1"/>
  </rowFields>
  <rowItems count="11">
    <i>
      <x v="13"/>
    </i>
    <i>
      <x v="10"/>
    </i>
    <i>
      <x v="11"/>
    </i>
    <i>
      <x v="12"/>
    </i>
    <i>
      <x v="9"/>
    </i>
    <i>
      <x v="5"/>
    </i>
    <i>
      <x v="7"/>
    </i>
    <i>
      <x v="15"/>
    </i>
    <i>
      <x v="6"/>
    </i>
    <i>
      <x v="14"/>
    </i>
    <i t="grand">
      <x/>
    </i>
  </rowItems>
  <colFields count="1">
    <field x="-2"/>
  </colFields>
  <colItems count="2">
    <i>
      <x/>
    </i>
    <i i="1">
      <x v="1"/>
    </i>
  </colItems>
  <pageFields count="1">
    <pageField fld="6" hier="-1"/>
  </pageFields>
  <dataFields count="2">
    <dataField name="Sum of Qty" fld="2" baseField="0" baseItem="0"/>
    <dataField name="Revenue" fld="10" baseField="1" baseItem="0"/>
  </dataFields>
  <pivotTableStyleInfo name="PivotStyleLight16" showRowHeaders="1" showColHeaders="1" showRowStripes="0" showColStripes="0" showLastColumn="1"/>
  <filters count="1">
    <filter fld="1" type="count" evalOrder="-1" id="3" iMeasureFld="1">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2A431C-46AB-4DFA-822C-070F47AD28CE}"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colHeaderCaption="Branch">
  <location ref="A5:E11" firstHeaderRow="1" firstDataRow="2" firstDataCol="1" rowPageCount="1" colPageCount="1"/>
  <pivotFields count="13">
    <pivotField showAll="0"/>
    <pivotField showAll="0"/>
    <pivotField showAll="0"/>
    <pivotField numFmtId="2" showAll="0"/>
    <pivotField numFmtId="2" showAll="0"/>
    <pivotField axis="axisRow" showAll="0">
      <items count="5">
        <item x="1"/>
        <item x="2"/>
        <item x="3"/>
        <item x="0"/>
        <item t="default"/>
      </items>
    </pivotField>
    <pivotField axis="axisPage" numFmtId="14" showAll="0">
      <items count="61">
        <item x="8"/>
        <item x="21"/>
        <item x="45"/>
        <item x="26"/>
        <item x="27"/>
        <item x="6"/>
        <item x="4"/>
        <item x="58"/>
        <item x="15"/>
        <item x="2"/>
        <item x="28"/>
        <item x="25"/>
        <item x="23"/>
        <item x="0"/>
        <item x="53"/>
        <item x="10"/>
        <item x="48"/>
        <item x="29"/>
        <item x="13"/>
        <item x="32"/>
        <item x="44"/>
        <item x="7"/>
        <item x="46"/>
        <item x="1"/>
        <item x="5"/>
        <item x="55"/>
        <item x="30"/>
        <item x="33"/>
        <item x="56"/>
        <item x="38"/>
        <item x="16"/>
        <item x="49"/>
        <item x="50"/>
        <item x="22"/>
        <item x="31"/>
        <item x="36"/>
        <item x="47"/>
        <item x="57"/>
        <item x="59"/>
        <item x="14"/>
        <item x="3"/>
        <item x="9"/>
        <item x="35"/>
        <item x="42"/>
        <item x="17"/>
        <item x="39"/>
        <item x="40"/>
        <item x="51"/>
        <item x="41"/>
        <item x="19"/>
        <item x="43"/>
        <item x="12"/>
        <item x="20"/>
        <item x="24"/>
        <item x="18"/>
        <item x="37"/>
        <item x="11"/>
        <item x="52"/>
        <item x="34"/>
        <item x="54"/>
        <item t="default"/>
      </items>
    </pivotField>
    <pivotField axis="axisCol" showAll="0">
      <items count="4">
        <item x="0"/>
        <item x="2"/>
        <item x="1"/>
        <item t="default"/>
      </items>
    </pivotField>
    <pivotField showAll="0"/>
    <pivotField showAll="0"/>
    <pivotField dataField="1" numFmtId="166" showAll="0"/>
    <pivotField showAll="0"/>
    <pivotField dragToRow="0" dragToCol="0" dragToPage="0" showAll="0" defaultSubtotal="0"/>
  </pivotFields>
  <rowFields count="1">
    <field x="5"/>
  </rowFields>
  <rowItems count="5">
    <i>
      <x/>
    </i>
    <i>
      <x v="1"/>
    </i>
    <i>
      <x v="2"/>
    </i>
    <i>
      <x v="3"/>
    </i>
    <i t="grand">
      <x/>
    </i>
  </rowItems>
  <colFields count="1">
    <field x="7"/>
  </colFields>
  <colItems count="4">
    <i>
      <x/>
    </i>
    <i>
      <x v="1"/>
    </i>
    <i>
      <x v="2"/>
    </i>
    <i t="grand">
      <x/>
    </i>
  </colItems>
  <pageFields count="1">
    <pageField fld="6" hier="-1"/>
  </pageFields>
  <dataFields count="1">
    <dataField name="Sum of Revenue" fld="10" showDataAs="percentOfRow" baseField="0" baseItem="0" numFmtId="10"/>
  </dataFields>
  <formats count="4">
    <format dxfId="87">
      <pivotArea outline="0" collapsedLevelsAreSubtotals="1" fieldPosition="0"/>
    </format>
    <format dxfId="86">
      <pivotArea dataOnly="0" labelOnly="1" fieldPosition="0">
        <references count="1">
          <reference field="5" count="0"/>
        </references>
      </pivotArea>
    </format>
    <format dxfId="85">
      <pivotArea dataOnly="0" labelOnly="1" grandRow="1" outline="0" fieldPosition="0"/>
    </format>
    <format dxfId="8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7C7A70DE-157C-4B77-A7B8-F9531CA5A7CE}" sourceName="Shift">
  <pivotTables>
    <pivotTable tabId="15" name="PivotTable2"/>
    <pivotTable tabId="15" name="PivotTable1"/>
    <pivotTable tabId="15" name="PivotTable3"/>
    <pivotTable tabId="15" name="PivotTable5"/>
    <pivotTable tabId="15" name="PivotTable6"/>
    <pivotTable tabId="15" name="PivotTable4"/>
  </pivotTables>
  <data>
    <tabular pivotCacheId="20457808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21663048-073D-448D-B389-155549CE1C1E}" sourceName="Branch">
  <pivotTables>
    <pivotTable tabId="15" name="PivotTable2"/>
    <pivotTable tabId="15" name="PivotTable1"/>
    <pivotTable tabId="15" name="PivotTable5"/>
    <pivotTable tabId="15" name="PivotTable6"/>
    <pivotTable tabId="15" name="PivotTable3"/>
  </pivotTables>
  <data>
    <tabular pivotCacheId="204578087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85434843-6FC4-41DA-AC8E-1780D9236775}" cache="Slicer_Shift" caption="Shift" rowHeight="241300"/>
  <slicer name="Branch" xr10:uid="{510EC1C2-10F5-46FF-B2E5-F0BA356A81DE}" cache="Slicer_Branch" caption="Branc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1" xr10:uid="{106FC332-8388-4B6A-ACA4-35E1FF60E97B}" cache="Slicer_Shift" caption="Shift" rowHeight="241300"/>
  <slicer name="Branch 1" xr10:uid="{E8419D33-399A-438B-A1B0-B467662BF989}" cache="Slicer_Branch" caption="Branc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5C9DAD9-D03B-45BB-8E90-8AC0A58E9D14}" name="Table10" displayName="Table10" ref="H10:I16" totalsRowShown="0">
  <autoFilter ref="H10:I16" xr:uid="{B5C9DAD9-D03B-45BB-8E90-8AC0A58E9D14}"/>
  <tableColumns count="2">
    <tableColumn id="1" xr3:uid="{4E73EAF8-66B7-492B-9A57-40088A5E49AE}" name="Category Combination"/>
    <tableColumn id="2" xr3:uid="{512AF469-48AC-41D9-8607-9E5667ACCEA8}" name="Number of Order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FFEF98-DD76-44C9-8BDF-259018D521A7}" name="Orders" displayName="Orders" ref="A1:Q361" totalsRowShown="0" headerRowDxfId="143" headerRowBorderDxfId="142" tableBorderDxfId="141">
  <autoFilter ref="A1:Q361" xr:uid="{69FFEF98-DD76-44C9-8BDF-259018D521A7}"/>
  <tableColumns count="17">
    <tableColumn id="1" xr3:uid="{673BFA21-882B-439C-87E5-3BDF4D5174CB}" name="OrderID"/>
    <tableColumn id="2" xr3:uid="{39531051-F5D6-4517-A106-8A2F3DD99885}" name="OrderDateTime" dataDxfId="140"/>
    <tableColumn id="3" xr3:uid="{6AB4BC71-948D-495A-B603-D10809B6892C}" name="Branch"/>
    <tableColumn id="4" xr3:uid="{1B85B4DE-D959-4059-B519-E4E7D3339A41}" name="CustomerType"/>
    <tableColumn id="5" xr3:uid="{928A03FF-3EF7-43A6-8CCD-A9B2159E810D}" name="PaymentType"/>
    <tableColumn id="6" xr3:uid="{FBCD57A1-1463-49D2-8B49-D319AC25DFE0}" name="Shift"/>
    <tableColumn id="7" xr3:uid="{4F22F56A-9DBB-44A7-AA79-03CB3B212290}" name="DiscountPct" dataDxfId="139"/>
    <tableColumn id="8" xr3:uid="{10114D98-8D8C-4951-8FA4-CE2DC7C9A1BE}" name="HasBeverage" dataDxfId="138">
      <calculatedColumnFormula>COUNTIFS(OrderLines[OrderID],Orders[[#This Row],[OrderID]],OrderLines[Category],"Beverage")&gt;0</calculatedColumnFormula>
    </tableColumn>
    <tableColumn id="9" xr3:uid="{687A0A73-A1E9-4EE7-AD6C-C4E581ED1DA1}" name="OrderTotal" dataDxfId="137">
      <calculatedColumnFormula>SUMIFS(OrderLines[Revenue],OrderLines[OrderID],Orders[[#This Row],[OrderID]])</calculatedColumnFormula>
    </tableColumn>
    <tableColumn id="10" xr3:uid="{D1A069B6-BD27-4732-A45B-580CDBC2BCF8}" name="ComboFlag" dataDxfId="136">
      <calculatedColumnFormula>IF(AND(COUNTIFS(OrderLines[OrderID],Orders[[#This Row],[OrderID]],OrderLines[Category],"Hot Meal")&gt;0,COUNTIFS(OrderLines[OrderID],Orders[[#This Row],[OrderID]],OrderLines[Category],"Beverage")&gt;0),"Combo","Single")</calculatedColumnFormula>
    </tableColumn>
    <tableColumn id="12" xr3:uid="{B65FF69E-C5EA-4861-98DE-DBDF89BD725A}" name="DiscountFlag" dataDxfId="135">
      <calculatedColumnFormula>IF(SUMPRODUCT((OrderLines[OrderID]=Orders[[#This Row],[OrderID]])*OrderLines[Qty]*OrderLines[UnitPrice])*Orders[[#This Row],[DiscountPct]]&gt;40,"HighDisc","OK")</calculatedColumnFormula>
    </tableColumn>
    <tableColumn id="11" xr3:uid="{28000A82-AB64-42BD-B5D9-21397AEE2961}" name="GrossProfit" dataDxfId="134">
      <calculatedColumnFormula>SUMIFS(OrderLines[Revenue],OrderLines[OrderID],Orders[[#This Row],[OrderID]])-SUMIFS(OrderLines[FoodCost],OrderLines[OrderID],Orders[[#This Row],[OrderID]])</calculatedColumnFormula>
    </tableColumn>
    <tableColumn id="13" xr3:uid="{A59353FE-7428-4069-9534-8EFD8E90F69A}" name="GM%" dataDxfId="133">
      <calculatedColumnFormula>Orders[[#This Row],[GrossProfit]]/Orders[[#This Row],[OrderTotal]]</calculatedColumnFormula>
    </tableColumn>
    <tableColumn id="14" xr3:uid="{E30769CC-0A57-4BA5-BD6B-6540312F60DE}" name="HasHotMeal" dataDxfId="132">
      <calculatedColumnFormula>COUNTIFS(OrderLines[OrderID],Orders[[#This Row],[OrderID]],OrderLines[Category],"Hot Meal")&gt;0</calculatedColumnFormula>
    </tableColumn>
    <tableColumn id="15" xr3:uid="{666F7759-1601-46D4-B4B7-BDCAADCC61B5}" name="HasSnack" dataDxfId="131">
      <calculatedColumnFormula>COUNTIFS(OrderLines[OrderID],Orders[[#This Row],[OrderID]],OrderLines[Category],"Snack")&gt;0</calculatedColumnFormula>
    </tableColumn>
    <tableColumn id="16" xr3:uid="{9232C2F5-4150-4669-9E3B-0B6B4B95A0B3}" name="HasDessert" dataDxfId="130">
      <calculatedColumnFormula>COUNTIFS(OrderLines[OrderID],Orders[[#This Row],[OrderID]],OrderLines[Category],"Dessert")&gt;0</calculatedColumnFormula>
    </tableColumn>
    <tableColumn id="17" xr3:uid="{2F2098E0-01DD-4D17-B1C6-D3955886A5F9}" name="Cost" dataDxfId="129">
      <calculatedColumnFormula>Orders[[#This Row],[OrderTotal]]-Orders[[#This Row],[GrossProfit]]</calculatedColumnFormula>
    </tableColumn>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E1F7361-A3C4-4B66-A533-C9201B74DB2D}" name="OrderLines" displayName="OrderLines" ref="A1:L925" totalsRowShown="0" headerRowDxfId="128" headerRowBorderDxfId="127" tableBorderDxfId="126">
  <autoFilter ref="A1:L925" xr:uid="{7E1F7361-A3C4-4B66-A533-C9201B74DB2D}"/>
  <tableColumns count="12">
    <tableColumn id="1" xr3:uid="{F4079547-2847-444B-8AAE-A86E603A505A}" name="OrderID"/>
    <tableColumn id="2" xr3:uid="{13CFAE4F-6ED7-434E-A322-C5100DF5B30F}" name="SKU"/>
    <tableColumn id="3" xr3:uid="{11A8556D-FF9A-4DFA-A53E-89128D5520B4}" name="Qty"/>
    <tableColumn id="4" xr3:uid="{75F0168A-4869-431A-A8BF-04348941A6FE}" name="UnitPrice" dataDxfId="125">
      <calculatedColumnFormula>IFERROR(VLOOKUP($B2,Menu[],MATCH(D$1,Menu[#Headers],0),FALSE),"CHECK")</calculatedColumnFormula>
    </tableColumn>
    <tableColumn id="5" xr3:uid="{9DA34C51-B252-447B-A8D4-53D2A67BF6C6}" name="UnitCost" dataDxfId="124">
      <calculatedColumnFormula>IFERROR(VLOOKUP($B2,Menu[],MATCH(E$1,Menu[#Headers],0),FALSE),"CHECK")</calculatedColumnFormula>
    </tableColumn>
    <tableColumn id="6" xr3:uid="{2F9E551D-1C49-46E7-8B8F-71B03B3D0934}" name="Category" dataDxfId="123">
      <calculatedColumnFormula>IFERROR(VLOOKUP($B2,Menu[],MATCH(F$1,Menu[#Headers],0),FALSE),"CHECK")</calculatedColumnFormula>
    </tableColumn>
    <tableColumn id="7" xr3:uid="{48432A75-EA0A-44CE-9B5E-A2C03587BF20}" name="OrderDate" dataDxfId="122">
      <calculatedColumnFormula>IFERROR(INT(VLOOKUP($A2,Orders[],MATCH("OrderDateTime",Orders[#Headers],0),FALSE)),"CHECK")</calculatedColumnFormula>
    </tableColumn>
    <tableColumn id="8" xr3:uid="{A4BF11EE-2A37-42C1-AAE7-D02A41C1C25B}" name="Branch" dataDxfId="121">
      <calculatedColumnFormula>IFERROR(VLOOKUP($A2,Orders[],MATCH(H$1,Orders[#Headers],0),FALSE),"CHECK")</calculatedColumnFormula>
    </tableColumn>
    <tableColumn id="9" xr3:uid="{6D771691-D3A5-4AB9-A0F0-B07DA2CBA85A}" name="DiscountPct" dataDxfId="120">
      <calculatedColumnFormula>IFERROR(VLOOKUP(OrderLines[[#This Row],[OrderID]],Orders[],MATCH(OrderLines[[#Headers],[DiscountPct]],Orders[#Headers],0),FALSE),"CHECK")</calculatedColumnFormula>
    </tableColumn>
    <tableColumn id="10" xr3:uid="{B9DF13CE-EF4D-4B65-A6A1-C05B475A2241}" name="Shift" dataDxfId="119">
      <calculatedColumnFormula>IFERROR(VLOOKUP(OrderLines[[#This Row],[OrderID]],Orders[],MATCH(OrderLines[[#Headers],[Shift]],Orders[#Headers],0),FALSE),"CHECK")</calculatedColumnFormula>
    </tableColumn>
    <tableColumn id="11" xr3:uid="{DA6ECB3A-A6C9-4074-9DAC-628E35E54E79}" name="Revenue" dataDxfId="118">
      <calculatedColumnFormula>OrderLines[[#This Row],[Qty]] * OrderLines[[#This Row],[UnitPrice]] * (1-OrderLines[[#This Row],[DiscountPct]])</calculatedColumnFormula>
    </tableColumn>
    <tableColumn id="12" xr3:uid="{52D30A82-C2C8-4EA8-AF2F-31FE4DCD0A1A}" name="FoodCost" dataDxfId="117">
      <calculatedColumnFormula>OrderLines[[#This Row],[Qty]]*OrderLines[[#This Row],[UnitCost]]</calculatedColumnFormula>
    </tableColumn>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37AD46-F644-42E5-8ACA-367D7FE1929F}" name="Menu" displayName="Menu" ref="A1:F20" totalsRowShown="0" headerRowDxfId="116" headerRowBorderDxfId="115" tableBorderDxfId="114">
  <autoFilter ref="A1:F20" xr:uid="{D137AD46-F644-42E5-8ACA-367D7FE1929F}"/>
  <tableColumns count="6">
    <tableColumn id="1" xr3:uid="{825DFC19-08B7-439E-B7B6-5AE2FBE76D1E}" name="SKU"/>
    <tableColumn id="2" xr3:uid="{4698D76D-7422-474F-AB7C-49CC4A1CE222}" name="ItemName"/>
    <tableColumn id="3" xr3:uid="{36036FB2-52A4-4F37-9502-A1BC41F3BEB9}" name="Category"/>
    <tableColumn id="4" xr3:uid="{52872020-CC84-47F1-9DF1-C8114104F85A}" name="SupplierID"/>
    <tableColumn id="5" xr3:uid="{E435DD33-67CF-4AD7-B0C0-5CE5E9158D79}" name="UnitCost"/>
    <tableColumn id="6" xr3:uid="{49611A37-DD24-4037-A51B-7CA55F6298D0}" name="UnitPrice"/>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90E9F2-BC3A-4F1C-8DAF-218A7E26FCEE}" name="Staff" displayName="Staff" ref="A1:E19" totalsRowShown="0" headerRowDxfId="113" headerRowBorderDxfId="112" tableBorderDxfId="111">
  <autoFilter ref="A1:E19" xr:uid="{2C90E9F2-BC3A-4F1C-8DAF-218A7E26FCEE}"/>
  <tableColumns count="5">
    <tableColumn id="1" xr3:uid="{372D20FC-6CE2-49E8-A6FE-A809177CA94B}" name="StaffID"/>
    <tableColumn id="2" xr3:uid="{98CD7E06-E722-463D-8CC3-89CB7DFF0094}" name="StaffName"/>
    <tableColumn id="3" xr3:uid="{B4248819-920F-4304-B35D-F9655F24884F}" name="Role"/>
    <tableColumn id="4" xr3:uid="{7A324116-55C7-4BC4-9AAB-ED7B75F37120}" name="Branch"/>
    <tableColumn id="5" xr3:uid="{896FFF16-E371-4EA7-BE2C-3D870244B26B}" name="HourlyRateINR"/>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B3F476-456B-4D65-8C26-0373FBD77ED7}" name="Inventory" displayName="Inventory" ref="A1:E20" totalsRowShown="0" headerRowDxfId="109" headerRowBorderDxfId="108" tableBorderDxfId="107">
  <autoFilter ref="A1:E20" xr:uid="{D1B3F476-456B-4D65-8C26-0373FBD77ED7}"/>
  <tableColumns count="5">
    <tableColumn id="1" xr3:uid="{12A64328-6A79-4B9D-9C40-5FC1B35A8147}" name="SKU"/>
    <tableColumn id="2" xr3:uid="{F171B7D4-5BD1-4626-8F9B-B5C2DC065FB8}" name="OnHandQty"/>
    <tableColumn id="3" xr3:uid="{4E51433D-1897-4A04-8157-CE8FF118BB3E}" name="ReorderPoint"/>
    <tableColumn id="4" xr3:uid="{1C17DF99-8DB0-4367-9D49-8F90D64B0E1F}" name="LeadTimeDays"/>
    <tableColumn id="5" xr3:uid="{4E8CB453-981E-42A8-8CBF-9E0AA8562415}" name="LastRestockDate" dataDxfId="106"/>
  </tableColumns>
  <tableStyleInfo name="TableStyleLight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ACD717A-2C0F-4B11-9D7D-969E99663D0E}" name="Suppliers" displayName="Suppliers" ref="A1:D11" totalsRowShown="0" headerRowDxfId="105" headerRowBorderDxfId="104" tableBorderDxfId="103">
  <autoFilter ref="A1:D11" xr:uid="{CACD717A-2C0F-4B11-9D7D-969E99663D0E}"/>
  <tableColumns count="4">
    <tableColumn id="1" xr3:uid="{E82784B7-E8A3-45E3-9480-A23D0860E7DD}" name="SupplierID"/>
    <tableColumn id="2" xr3:uid="{D02EBE88-F360-40AB-A927-B217B7216797}" name="SupplierName"/>
    <tableColumn id="3" xr3:uid="{C23EC193-9E15-4B2A-B0FA-9337823D5F93}" name="City"/>
    <tableColumn id="4" xr3:uid="{E2F637E6-63B1-4A13-9EEB-DCF65EAECA0F}" name="Phone"/>
  </tableColumns>
  <tableStyleInfo name="TableStyleLight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BF109E-C0EF-4E3E-AAFC-165EE28C9E04}" name="WasteLog" displayName="WasteLog" ref="A1:E121" totalsRowShown="0" headerRowDxfId="102" headerRowBorderDxfId="101" tableBorderDxfId="100">
  <autoFilter ref="A1:E121" xr:uid="{C2BF109E-C0EF-4E3E-AAFC-165EE28C9E04}"/>
  <tableColumns count="5">
    <tableColumn id="1" xr3:uid="{58175D16-AD7F-4091-8FDF-F6CCBF82F99F}" name="Date" dataDxfId="99"/>
    <tableColumn id="2" xr3:uid="{D7AB9EAB-5AD9-431B-8DD7-6D5A87BDE7B2}" name="SKU"/>
    <tableColumn id="3" xr3:uid="{9B16E48B-49AA-4C90-BF59-810EC4EF1C32}" name="Qty"/>
    <tableColumn id="4" xr3:uid="{C0AD91A5-482E-422E-8DFF-98397BE77276}" name="Reason"/>
    <tableColumn id="5" xr3:uid="{9C29FB3F-B808-4E7B-BB16-ED7FFD84B17B}" name="WasteCost" dataDxfId="98">
      <calculatedColumnFormula>WasteLog[[#This Row],[Qty]]*VLOOKUP(WasteLog[[#This Row],[SKU]],Menu[],MATCH("UnitCost",Menu[#Headers],0),FALSE)</calculatedColumnFormula>
    </tableColumn>
  </tableColumns>
  <tableStyleInfo name="TableStyleLight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11185F35-0149-4559-8A78-6DEC15157416}" name="Feedback" displayName="Feedback" ref="A1:D221" totalsRowShown="0" headerRowDxfId="97" headerRowBorderDxfId="96" tableBorderDxfId="95">
  <autoFilter ref="A1:D221" xr:uid="{11185F35-0149-4559-8A78-6DEC15157416}"/>
  <tableColumns count="4">
    <tableColumn id="1" xr3:uid="{D155DDDA-4940-4135-8C4B-5C8B04F817C9}" name="Date" dataDxfId="94"/>
    <tableColumn id="2" xr3:uid="{07E61837-EA75-4812-BE84-E3E5A7E5936D}" name="Branch"/>
    <tableColumn id="3" xr3:uid="{6C8E22F1-9F71-48FE-90E9-8A03B3F526D4}" name="Rating"/>
    <tableColumn id="4" xr3:uid="{9B62EA4A-B4DA-454E-BEB5-DF8980E701A3}" name="Comment"/>
  </tableColumns>
  <tableStyleInfo name="TableStyleLight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C412AF3-5F25-4578-93BF-0D86A82609CB}" name="Table9" displayName="Table9" ref="A1:E63" totalsRowShown="0">
  <autoFilter ref="A1:E63" xr:uid="{BC412AF3-5F25-4578-93BF-0D86A82609CB}"/>
  <tableColumns count="5">
    <tableColumn id="1" xr3:uid="{E4F59BA7-B15F-48DC-A2E5-CEA01C137330}" name="Date" dataDxfId="92">
      <calculatedColumnFormula>A1+1</calculatedColumnFormula>
    </tableColumn>
    <tableColumn id="2" xr3:uid="{DC4FA60A-97E1-4662-8F30-9DFCE7A6CBDD}" name="Revenue">
      <calculatedColumnFormula>SUMIFS(OrderLines[Revenue],OrderLines[OrderDate],A2)</calculatedColumnFormula>
    </tableColumn>
    <tableColumn id="3" xr3:uid="{B19EFA15-60BE-42E7-AAEB-A3DF741E64F1}" name="Avg Feedback Rating" dataDxfId="91">
      <calculatedColumnFormula>IFERROR(AVERAGEIF(Feedback[Date],A2,Feedback[Rating]),"")</calculatedColumnFormula>
    </tableColumn>
    <tableColumn id="4" xr3:uid="{DB782376-3FEC-42D3-8E45-44968479E2C6}" name="Avg Waste Cost">
      <calculatedColumnFormula>SUMIF(WasteLog[Date],A2,WasteLog[WasteCost])</calculatedColumnFormula>
    </tableColumn>
    <tableColumn id="5" xr3:uid="{4FFF4646-B229-4268-A1A5-50F6A6FA9943}" name="Waste%" dataDxfId="90">
      <calculatedColumnFormula>IFERROR(Table9[[#This Row],[Avg Waste Cost]]/Table9[[#This Row],[Revenue]],"")</calculatedColumnFormula>
    </tableColumn>
  </tableColumns>
  <tableStyleInfo name="TableStyleLight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B2E81-3890-4507-8225-72699E4E7ECA}">
  <dimension ref="D1:AC33"/>
  <sheetViews>
    <sheetView showGridLines="0" tabSelected="1" zoomScale="71" zoomScaleNormal="79" workbookViewId="0">
      <selection activeCell="AC4" sqref="AC4"/>
    </sheetView>
  </sheetViews>
  <sheetFormatPr defaultRowHeight="15" x14ac:dyDescent="0.25"/>
  <cols>
    <col min="1" max="27" width="9.140625" style="26"/>
    <col min="28" max="28" width="28" style="26" bestFit="1" customWidth="1"/>
    <col min="29" max="29" width="12.5703125" style="28" bestFit="1" customWidth="1"/>
    <col min="30" max="16384" width="9.140625" style="26"/>
  </cols>
  <sheetData>
    <row r="1" spans="4:29" ht="31.5" x14ac:dyDescent="0.5">
      <c r="D1" s="54" t="s">
        <v>592</v>
      </c>
      <c r="E1" s="53"/>
      <c r="F1" s="53"/>
      <c r="G1" s="53"/>
      <c r="H1" s="53"/>
      <c r="I1" s="53"/>
      <c r="J1" s="53"/>
      <c r="K1" s="53"/>
      <c r="L1" s="53"/>
      <c r="M1" s="53"/>
      <c r="N1" s="53"/>
      <c r="O1" s="53"/>
      <c r="P1" s="53"/>
      <c r="Q1" s="53"/>
      <c r="R1" s="53"/>
      <c r="S1" s="53"/>
      <c r="T1" s="53"/>
      <c r="U1" s="53"/>
      <c r="V1" s="53"/>
      <c r="W1" s="53"/>
      <c r="X1" s="53"/>
      <c r="Y1" s="53"/>
      <c r="Z1" s="53"/>
    </row>
    <row r="2" spans="4:29" ht="26.25" x14ac:dyDescent="0.4">
      <c r="D2" s="49"/>
      <c r="E2" s="50"/>
      <c r="F2" s="50"/>
      <c r="G2" s="50"/>
      <c r="H2" s="50"/>
      <c r="I2" s="50"/>
      <c r="J2" s="50"/>
      <c r="K2" s="50"/>
      <c r="L2" s="50"/>
      <c r="M2" s="50"/>
      <c r="N2" s="50"/>
      <c r="O2" s="50"/>
      <c r="P2" s="50"/>
      <c r="Q2" s="50"/>
      <c r="R2" s="50"/>
      <c r="S2" s="50"/>
      <c r="T2" s="50"/>
      <c r="U2" s="50"/>
      <c r="V2" s="50"/>
      <c r="W2" s="50"/>
      <c r="X2" s="50"/>
      <c r="Y2" s="50"/>
      <c r="Z2" s="50"/>
      <c r="AB2" s="51" t="s">
        <v>586</v>
      </c>
    </row>
    <row r="3" spans="4:29" ht="18.75" x14ac:dyDescent="0.3">
      <c r="AB3" s="47" t="s">
        <v>425</v>
      </c>
      <c r="AC3" s="29" t="s">
        <v>427</v>
      </c>
    </row>
    <row r="4" spans="4:29" ht="18.75" x14ac:dyDescent="0.3">
      <c r="AB4" s="52" t="s">
        <v>444</v>
      </c>
      <c r="AC4" s="29" t="s">
        <v>445</v>
      </c>
    </row>
    <row r="5" spans="4:29" ht="18.75" x14ac:dyDescent="0.3">
      <c r="AB5" s="52" t="s">
        <v>591</v>
      </c>
      <c r="AC5" s="46">
        <v>15</v>
      </c>
    </row>
    <row r="6" spans="4:29" ht="18.75" x14ac:dyDescent="0.3">
      <c r="AB6" s="48"/>
      <c r="AC6" s="29"/>
    </row>
    <row r="7" spans="4:29" ht="18.75" x14ac:dyDescent="0.3">
      <c r="AB7" s="52" t="s">
        <v>587</v>
      </c>
      <c r="AC7" s="30">
        <f>(INDEX(Menu[UnitPrice],MATCH($AC$3,Menu[ItemName],0))
+INDEX(Menu[UnitPrice],MATCH($AC$4,Menu[ItemName],0)))
*(1-$AC$5/100)</f>
        <v>237.24350000000001</v>
      </c>
    </row>
    <row r="8" spans="4:29" ht="18.75" x14ac:dyDescent="0.3">
      <c r="AB8" s="52" t="s">
        <v>545</v>
      </c>
      <c r="AC8" s="30">
        <f>INDEX(Menu[UnitCost],MATCH($AC$3,Menu[ItemName],0))+INDEX(Menu[UnitCost],MATCH($AC$4,Menu[ItemName],0))</f>
        <v>130.62</v>
      </c>
    </row>
    <row r="9" spans="4:29" ht="18.75" x14ac:dyDescent="0.3">
      <c r="AB9" s="52" t="s">
        <v>588</v>
      </c>
      <c r="AC9" s="30">
        <f>AC7-AC8</f>
        <v>106.62350000000001</v>
      </c>
    </row>
    <row r="10" spans="4:29" ht="18.75" x14ac:dyDescent="0.3">
      <c r="AB10" s="52" t="s">
        <v>589</v>
      </c>
      <c r="AC10" s="31">
        <f>AC9/AC7</f>
        <v>0.44942643317941272</v>
      </c>
    </row>
    <row r="11" spans="4:29" ht="18.75" x14ac:dyDescent="0.3">
      <c r="AB11" s="52" t="s">
        <v>590</v>
      </c>
      <c r="AC11" s="29">
        <f>INDEX(Inventory[OnHandQty],MATCH(INDEX(Menu[SKU],MATCH($AC$4,Menu[ItemName],0)),Inventory[SKU],0))</f>
        <v>55</v>
      </c>
    </row>
    <row r="14" spans="4:29" x14ac:dyDescent="0.25">
      <c r="AB14" s="28"/>
    </row>
    <row r="16" spans="4:29" x14ac:dyDescent="0.25">
      <c r="J16" s="25"/>
    </row>
    <row r="21" spans="29:29" x14ac:dyDescent="0.25">
      <c r="AC21" s="28" t="s">
        <v>585</v>
      </c>
    </row>
    <row r="33" spans="27:27" x14ac:dyDescent="0.25">
      <c r="AA33" s="26" t="s">
        <v>585</v>
      </c>
    </row>
  </sheetData>
  <mergeCells count="2">
    <mergeCell ref="D1:Z1"/>
    <mergeCell ref="D2:Z2"/>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3DE53BC1-7712-4283-918B-B5EBAD5E1FE1}">
          <x14:formula1>
            <xm:f>Menu!$B$2:$B$6</xm:f>
          </x14:formula1>
          <xm:sqref>AC3</xm:sqref>
        </x14:dataValidation>
        <x14:dataValidation type="list" allowBlank="1" showInputMessage="1" showErrorMessage="1" xr:uid="{7008EA37-9A6C-482F-9A9B-E52D3214A88D}">
          <x14:formula1>
            <xm:f>Menu!$B$12:$B$16</xm:f>
          </x14:formula1>
          <xm:sqref>AC4</xm:sqref>
        </x14:dataValidation>
      </x14:dataValidation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FF38-202B-4EA6-9411-7BB3304E415A}">
  <dimension ref="A1:L32"/>
  <sheetViews>
    <sheetView workbookViewId="0">
      <selection activeCell="I11" sqref="I11"/>
    </sheetView>
  </sheetViews>
  <sheetFormatPr defaultRowHeight="15" x14ac:dyDescent="0.25"/>
  <cols>
    <col min="1" max="1" width="13.140625" bestFit="1" customWidth="1"/>
    <col min="2" max="2" width="10" bestFit="1" customWidth="1"/>
    <col min="3" max="3" width="8.140625" bestFit="1" customWidth="1"/>
    <col min="4" max="4" width="9.5703125" bestFit="1" customWidth="1"/>
    <col min="5" max="5" width="30.7109375" customWidth="1"/>
    <col min="6" max="6" width="11.42578125" bestFit="1" customWidth="1"/>
    <col min="7" max="7" width="34" customWidth="1"/>
    <col min="8" max="8" width="13.140625" bestFit="1" customWidth="1"/>
    <col min="9" max="9" width="9.5703125" bestFit="1" customWidth="1"/>
    <col min="10" max="10" width="8.5703125" bestFit="1" customWidth="1"/>
    <col min="11" max="11" width="8.140625" bestFit="1" customWidth="1"/>
    <col min="12" max="12" width="9.5703125" bestFit="1" customWidth="1"/>
  </cols>
  <sheetData>
    <row r="1" spans="1:9" x14ac:dyDescent="0.25">
      <c r="A1" s="18" t="s">
        <v>532</v>
      </c>
      <c r="B1" t="s">
        <v>559</v>
      </c>
    </row>
    <row r="3" spans="1:9" x14ac:dyDescent="0.25">
      <c r="A3" t="s">
        <v>561</v>
      </c>
      <c r="B3" t="s">
        <v>584</v>
      </c>
      <c r="C3" t="s">
        <v>563</v>
      </c>
      <c r="D3" s="23" t="s">
        <v>580</v>
      </c>
    </row>
    <row r="4" spans="1:9" x14ac:dyDescent="0.25">
      <c r="A4" s="17">
        <v>86</v>
      </c>
      <c r="B4" s="11">
        <v>544.19233372093026</v>
      </c>
      <c r="C4" s="11">
        <v>278.79768255813946</v>
      </c>
      <c r="D4" s="5">
        <f>A4/COUNTA(Orders[OrderID])</f>
        <v>0.2388888888888889</v>
      </c>
    </row>
    <row r="8" spans="1:9" x14ac:dyDescent="0.25">
      <c r="A8" s="24" t="s">
        <v>565</v>
      </c>
    </row>
    <row r="10" spans="1:9" x14ac:dyDescent="0.25">
      <c r="A10" s="27" t="s">
        <v>561</v>
      </c>
      <c r="B10" s="18" t="s">
        <v>566</v>
      </c>
      <c r="H10" t="s">
        <v>572</v>
      </c>
      <c r="I10" t="s">
        <v>583</v>
      </c>
    </row>
    <row r="11" spans="1:9" x14ac:dyDescent="0.25">
      <c r="A11" s="18" t="s">
        <v>534</v>
      </c>
      <c r="B11" t="s">
        <v>559</v>
      </c>
      <c r="C11" t="s">
        <v>560</v>
      </c>
      <c r="D11" t="s">
        <v>535</v>
      </c>
      <c r="H11" t="s">
        <v>573</v>
      </c>
      <c r="I11">
        <f>COUNTIFS(Orders[HasBeverage],TRUE,Orders[HasSnack],TRUE)</f>
        <v>87</v>
      </c>
    </row>
    <row r="12" spans="1:9" x14ac:dyDescent="0.25">
      <c r="A12" s="19" t="s">
        <v>9</v>
      </c>
      <c r="B12" s="5">
        <v>0.28925619834710742</v>
      </c>
      <c r="C12" s="5">
        <v>0.71074380165289253</v>
      </c>
      <c r="D12" s="5">
        <v>1</v>
      </c>
      <c r="H12" t="s">
        <v>574</v>
      </c>
      <c r="I12">
        <f>COUNTIFS(Orders[HasBeverage],TRUE,Orders[HasHotMeal],TRUE)</f>
        <v>86</v>
      </c>
    </row>
    <row r="13" spans="1:9" x14ac:dyDescent="0.25">
      <c r="A13" s="19" t="s">
        <v>27</v>
      </c>
      <c r="B13" s="5">
        <v>0.13761467889908258</v>
      </c>
      <c r="C13" s="5">
        <v>0.86238532110091748</v>
      </c>
      <c r="D13" s="5">
        <v>1</v>
      </c>
      <c r="H13" t="s">
        <v>575</v>
      </c>
      <c r="I13">
        <f>COUNTIFS(Orders[HasDessert],TRUE,Orders[HasHotMeal],TRUE)</f>
        <v>86</v>
      </c>
    </row>
    <row r="14" spans="1:9" x14ac:dyDescent="0.25">
      <c r="A14" s="19" t="s">
        <v>15</v>
      </c>
      <c r="B14" s="5">
        <v>0.27692307692307694</v>
      </c>
      <c r="C14" s="5">
        <v>0.72307692307692306</v>
      </c>
      <c r="D14" s="5">
        <v>1</v>
      </c>
      <c r="H14" t="s">
        <v>576</v>
      </c>
      <c r="I14">
        <f>COUNTIFS(Orders[HasHotMeal],TRUE,Orders[HasSnack],TRUE)</f>
        <v>85</v>
      </c>
    </row>
    <row r="15" spans="1:9" x14ac:dyDescent="0.25">
      <c r="A15" s="19" t="s">
        <v>535</v>
      </c>
      <c r="B15" s="5">
        <v>0.2388888888888889</v>
      </c>
      <c r="C15" s="5">
        <v>0.76111111111111107</v>
      </c>
      <c r="D15" s="5">
        <v>1</v>
      </c>
      <c r="H15" t="s">
        <v>577</v>
      </c>
      <c r="I15">
        <f>COUNTIFS(Orders[HasBeverage],TRUE,Orders[HasDessert],TRUE)</f>
        <v>81</v>
      </c>
    </row>
    <row r="16" spans="1:9" x14ac:dyDescent="0.25">
      <c r="H16" t="s">
        <v>578</v>
      </c>
      <c r="I16">
        <f>COUNTIFS(Orders[HasDessert],TRUE,Orders[HasSnack],TRUE)</f>
        <v>72</v>
      </c>
    </row>
    <row r="17" spans="1:12" x14ac:dyDescent="0.25">
      <c r="A17" s="24" t="s">
        <v>567</v>
      </c>
    </row>
    <row r="18" spans="1:12" x14ac:dyDescent="0.25">
      <c r="H18" s="24" t="s">
        <v>568</v>
      </c>
    </row>
    <row r="19" spans="1:12" x14ac:dyDescent="0.25">
      <c r="A19" s="18" t="s">
        <v>561</v>
      </c>
      <c r="B19" s="18" t="s">
        <v>566</v>
      </c>
    </row>
    <row r="20" spans="1:12" x14ac:dyDescent="0.25">
      <c r="A20" s="18" t="s">
        <v>534</v>
      </c>
      <c r="B20" t="s">
        <v>559</v>
      </c>
      <c r="C20" t="s">
        <v>560</v>
      </c>
      <c r="D20" t="s">
        <v>535</v>
      </c>
      <c r="H20" s="18" t="s">
        <v>534</v>
      </c>
      <c r="I20" t="s">
        <v>562</v>
      </c>
      <c r="J20" t="s">
        <v>582</v>
      </c>
      <c r="K20" t="s">
        <v>563</v>
      </c>
    </row>
    <row r="21" spans="1:12" x14ac:dyDescent="0.25">
      <c r="A21" s="19" t="s">
        <v>12</v>
      </c>
      <c r="B21" s="5">
        <v>0.22598870056497175</v>
      </c>
      <c r="C21" s="5">
        <v>0.77401129943502822</v>
      </c>
      <c r="D21" s="5">
        <v>1</v>
      </c>
      <c r="H21" s="19" t="s">
        <v>559</v>
      </c>
      <c r="I21" s="11">
        <v>544.19233372093049</v>
      </c>
      <c r="J21" s="11">
        <v>265.39465116279069</v>
      </c>
      <c r="K21" s="11">
        <v>278.79768255813946</v>
      </c>
    </row>
    <row r="22" spans="1:12" x14ac:dyDescent="0.25">
      <c r="A22" s="19" t="s">
        <v>18</v>
      </c>
      <c r="B22" s="5">
        <v>0.2818181818181818</v>
      </c>
      <c r="C22" s="5">
        <v>0.71818181818181814</v>
      </c>
      <c r="D22" s="5">
        <v>1</v>
      </c>
      <c r="H22" s="19" t="s">
        <v>560</v>
      </c>
      <c r="I22" s="11">
        <v>313.31054708029222</v>
      </c>
      <c r="J22" s="11">
        <v>154.4721167883211</v>
      </c>
      <c r="K22" s="11">
        <v>158.83843029197089</v>
      </c>
    </row>
    <row r="23" spans="1:12" x14ac:dyDescent="0.25">
      <c r="A23" s="19" t="s">
        <v>22</v>
      </c>
      <c r="B23" s="5">
        <v>0.20547945205479451</v>
      </c>
      <c r="C23" s="5">
        <v>0.79452054794520544</v>
      </c>
      <c r="D23" s="5">
        <v>1</v>
      </c>
      <c r="H23" s="19" t="s">
        <v>535</v>
      </c>
      <c r="I23" s="11">
        <v>368.46564055555575</v>
      </c>
      <c r="J23" s="11">
        <v>180.9702777777778</v>
      </c>
      <c r="K23" s="11">
        <v>187.4953627777777</v>
      </c>
    </row>
    <row r="24" spans="1:12" x14ac:dyDescent="0.25">
      <c r="A24" s="19" t="s">
        <v>535</v>
      </c>
      <c r="B24" s="5">
        <v>0.2388888888888889</v>
      </c>
      <c r="C24" s="5">
        <v>0.76111111111111107</v>
      </c>
      <c r="D24" s="5">
        <v>1</v>
      </c>
      <c r="H24" t="s">
        <v>581</v>
      </c>
      <c r="I24" s="11">
        <f>I21-I22</f>
        <v>230.88178664063827</v>
      </c>
      <c r="J24" s="11">
        <f>J21-J22</f>
        <v>110.92253437446959</v>
      </c>
      <c r="K24" s="11">
        <f>K21-K22</f>
        <v>119.95925226616856</v>
      </c>
      <c r="L24" s="5">
        <f>L21-L22</f>
        <v>0</v>
      </c>
    </row>
    <row r="26" spans="1:12" x14ac:dyDescent="0.25">
      <c r="H26" s="18" t="s">
        <v>534</v>
      </c>
      <c r="I26" t="s">
        <v>564</v>
      </c>
    </row>
    <row r="27" spans="1:12" x14ac:dyDescent="0.25">
      <c r="A27" s="24" t="s">
        <v>568</v>
      </c>
      <c r="H27" s="19" t="s">
        <v>559</v>
      </c>
      <c r="I27" s="5">
        <v>0.50773492325496328</v>
      </c>
    </row>
    <row r="28" spans="1:12" x14ac:dyDescent="0.25">
      <c r="H28" s="19" t="s">
        <v>560</v>
      </c>
      <c r="I28" s="5">
        <v>0.50892719282512477</v>
      </c>
    </row>
    <row r="29" spans="1:12" x14ac:dyDescent="0.25">
      <c r="A29" s="18" t="s">
        <v>534</v>
      </c>
      <c r="B29" t="s">
        <v>562</v>
      </c>
      <c r="C29" t="s">
        <v>563</v>
      </c>
      <c r="D29" t="s">
        <v>564</v>
      </c>
      <c r="H29" s="19" t="s">
        <v>535</v>
      </c>
      <c r="I29" s="5">
        <v>0.50864237287225245</v>
      </c>
    </row>
    <row r="30" spans="1:12" x14ac:dyDescent="0.25">
      <c r="A30" s="19" t="s">
        <v>559</v>
      </c>
      <c r="B30" s="11">
        <v>544.19233372093049</v>
      </c>
      <c r="C30" s="11">
        <v>278.79768255813946</v>
      </c>
      <c r="D30" s="5">
        <v>0.50773492325496328</v>
      </c>
      <c r="H30" t="s">
        <v>581</v>
      </c>
      <c r="I30" s="11">
        <f>I27-I28</f>
        <v>-1.1922695701614971E-3</v>
      </c>
      <c r="J30" s="11">
        <f>J27-J28</f>
        <v>0</v>
      </c>
      <c r="K30" s="11">
        <f>K27-K28</f>
        <v>0</v>
      </c>
      <c r="L30" s="5">
        <f>L27-L28</f>
        <v>0</v>
      </c>
    </row>
    <row r="31" spans="1:12" x14ac:dyDescent="0.25">
      <c r="A31" s="19" t="s">
        <v>560</v>
      </c>
      <c r="B31" s="11">
        <v>313.31054708029222</v>
      </c>
      <c r="C31" s="11">
        <v>158.83843029197089</v>
      </c>
      <c r="D31" s="5">
        <v>0.50892719282512477</v>
      </c>
    </row>
    <row r="32" spans="1:12" x14ac:dyDescent="0.25">
      <c r="A32" s="19" t="s">
        <v>535</v>
      </c>
      <c r="B32" s="11">
        <v>368.46564055555575</v>
      </c>
      <c r="C32" s="11">
        <v>187.4953627777777</v>
      </c>
      <c r="D32" s="5">
        <v>0.50864237287225245</v>
      </c>
    </row>
  </sheetData>
  <pageMargins left="0.7" right="0.7" top="0.75" bottom="0.75" header="0.3" footer="0.3"/>
  <pageSetup orientation="portrait" r:id="rId7"/>
  <drawing r:id="rId8"/>
  <tableParts count="1">
    <tablePart r:id="rId9"/>
  </tableParts>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EBC0-0F11-45B2-8A82-CAFF1D8A612A}">
  <dimension ref="A1:Q361"/>
  <sheetViews>
    <sheetView topLeftCell="F2" workbookViewId="0">
      <selection activeCell="C19" sqref="C19"/>
    </sheetView>
  </sheetViews>
  <sheetFormatPr defaultRowHeight="15" x14ac:dyDescent="0.25"/>
  <cols>
    <col min="1" max="1" width="19.42578125" customWidth="1"/>
    <col min="2" max="2" width="39.28515625" customWidth="1"/>
    <col min="3" max="3" width="16" bestFit="1" customWidth="1"/>
    <col min="4" max="4" width="17.85546875" customWidth="1"/>
    <col min="5" max="5" width="20.5703125" customWidth="1"/>
    <col min="6" max="6" width="20.28515625" customWidth="1"/>
    <col min="7" max="7" width="21.7109375" style="5" customWidth="1"/>
    <col min="8" max="8" width="17" bestFit="1" customWidth="1"/>
    <col min="9" max="9" width="15.140625" bestFit="1" customWidth="1"/>
    <col min="10" max="10" width="20.42578125" customWidth="1"/>
    <col min="11" max="11" width="22.42578125" customWidth="1"/>
    <col min="12" max="12" width="16.85546875" customWidth="1"/>
    <col min="13" max="13" width="9.140625" style="5"/>
    <col min="14" max="14" width="19.85546875" bestFit="1" customWidth="1"/>
  </cols>
  <sheetData>
    <row r="1" spans="1:17" x14ac:dyDescent="0.25">
      <c r="A1" s="3" t="s">
        <v>0</v>
      </c>
      <c r="B1" s="3" t="s">
        <v>1</v>
      </c>
      <c r="C1" s="3" t="s">
        <v>2</v>
      </c>
      <c r="D1" s="3" t="s">
        <v>3</v>
      </c>
      <c r="E1" s="3" t="s">
        <v>4</v>
      </c>
      <c r="F1" s="3" t="s">
        <v>5</v>
      </c>
      <c r="G1" s="4" t="s">
        <v>7</v>
      </c>
      <c r="H1" s="4" t="s">
        <v>527</v>
      </c>
      <c r="I1" s="4" t="s">
        <v>529</v>
      </c>
      <c r="J1" s="4" t="s">
        <v>532</v>
      </c>
      <c r="K1" s="4" t="s">
        <v>533</v>
      </c>
      <c r="L1" s="4" t="s">
        <v>557</v>
      </c>
      <c r="M1" s="4" t="s">
        <v>558</v>
      </c>
      <c r="N1" s="4" t="s">
        <v>569</v>
      </c>
      <c r="O1" s="4" t="s">
        <v>570</v>
      </c>
      <c r="P1" s="4" t="s">
        <v>571</v>
      </c>
      <c r="Q1" s="4" t="s">
        <v>579</v>
      </c>
    </row>
    <row r="2" spans="1:17" x14ac:dyDescent="0.25">
      <c r="A2" t="s">
        <v>8</v>
      </c>
      <c r="B2" s="1">
        <v>45852.096203703702</v>
      </c>
      <c r="C2" t="s">
        <v>9</v>
      </c>
      <c r="D2" t="s">
        <v>10</v>
      </c>
      <c r="E2" t="s">
        <v>11</v>
      </c>
      <c r="F2" t="s">
        <v>12</v>
      </c>
      <c r="G2" s="5">
        <v>0.06</v>
      </c>
      <c r="H2" t="b">
        <f>COUNTIFS(OrderLines[OrderID],Orders[[#This Row],[OrderID]],OrderLines[Category],"Beverage")&gt;0</f>
        <v>0</v>
      </c>
      <c r="I2">
        <f>SUMIFS(OrderLines[Revenue],OrderLines[OrderID],Orders[[#This Row],[OrderID]])</f>
        <v>147.90900000000002</v>
      </c>
      <c r="J2" t="str">
        <f>IF(AND(COUNTIFS(OrderLines[OrderID],Orders[[#This Row],[OrderID]],OrderLines[Category],"Hot Meal")&gt;0,COUNTIFS(OrderLines[OrderID],Orders[[#This Row],[OrderID]],OrderLines[Category],"Beverage")&gt;0),"Combo","Single")</f>
        <v>Single</v>
      </c>
      <c r="K2" s="17" t="str">
        <f>IF(SUMPRODUCT((OrderLines[OrderID]=Orders[[#This Row],[OrderID]])*OrderLines[Qty]*OrderLines[UnitPrice])*Orders[[#This Row],[DiscountPct]]&gt;40,"HighDisc","OK")</f>
        <v>OK</v>
      </c>
      <c r="L2" s="11">
        <f>SUMIFS(OrderLines[Revenue],OrderLines[OrderID],Orders[[#This Row],[OrderID]])-SUMIFS(OrderLines[FoodCost],OrderLines[OrderID],Orders[[#This Row],[OrderID]])</f>
        <v>70.509000000000015</v>
      </c>
      <c r="M2" s="5">
        <f>Orders[[#This Row],[GrossProfit]]/Orders[[#This Row],[OrderTotal]]</f>
        <v>0.47670527148449388</v>
      </c>
      <c r="N2" s="17" t="b">
        <f>COUNTIFS(OrderLines[OrderID],Orders[[#This Row],[OrderID]],OrderLines[Category],"Hot Meal")&gt;0</f>
        <v>0</v>
      </c>
      <c r="O2" s="17" t="b">
        <f>COUNTIFS(OrderLines[OrderID],Orders[[#This Row],[OrderID]],OrderLines[Category],"Snack")&gt;0</f>
        <v>1</v>
      </c>
      <c r="P2" s="17" t="b">
        <f>COUNTIFS(OrderLines[OrderID],Orders[[#This Row],[OrderID]],OrderLines[Category],"Dessert")&gt;0</f>
        <v>0</v>
      </c>
      <c r="Q2" s="11">
        <f>Orders[[#This Row],[OrderTotal]]-Orders[[#This Row],[GrossProfit]]</f>
        <v>77.400000000000006</v>
      </c>
    </row>
    <row r="3" spans="1:17" x14ac:dyDescent="0.25">
      <c r="A3" t="s">
        <v>14</v>
      </c>
      <c r="B3" s="1">
        <v>45862.842685185176</v>
      </c>
      <c r="C3" t="s">
        <v>15</v>
      </c>
      <c r="D3" t="s">
        <v>16</v>
      </c>
      <c r="E3" t="s">
        <v>17</v>
      </c>
      <c r="F3" t="s">
        <v>18</v>
      </c>
      <c r="G3" s="5">
        <v>0.05</v>
      </c>
      <c r="H3" t="b">
        <f>COUNTIFS(OrderLines[OrderID],Orders[[#This Row],[OrderID]],OrderLines[Category],"Beverage")&gt;0</f>
        <v>1</v>
      </c>
      <c r="I3">
        <f>SUMIFS(OrderLines[Revenue],OrderLines[OrderID],Orders[[#This Row],[OrderID]])</f>
        <v>101.54549999999999</v>
      </c>
      <c r="J3" t="str">
        <f>IF(AND(COUNTIFS(OrderLines[OrderID],Orders[[#This Row],[OrderID]],OrderLines[Category],"Hot Meal")&gt;0,COUNTIFS(OrderLines[OrderID],Orders[[#This Row],[OrderID]],OrderLines[Category],"Beverage")&gt;0),"Combo","Single")</f>
        <v>Single</v>
      </c>
      <c r="K3" s="17" t="str">
        <f>IF(SUMPRODUCT((OrderLines[OrderID]=Orders[[#This Row],[OrderID]])*OrderLines[Qty]*OrderLines[UnitPrice])*Orders[[#This Row],[DiscountPct]]&gt;40,"HighDisc","OK")</f>
        <v>OK</v>
      </c>
      <c r="L3" s="11">
        <f>SUMIFS(OrderLines[Revenue],OrderLines[OrderID],Orders[[#This Row],[OrderID]])-SUMIFS(OrderLines[FoodCost],OrderLines[OrderID],Orders[[#This Row],[OrderID]])</f>
        <v>49.135499999999993</v>
      </c>
      <c r="M3" s="5">
        <f>Orders[[#This Row],[GrossProfit]]/Orders[[#This Row],[OrderTotal]]</f>
        <v>0.48387668582064197</v>
      </c>
      <c r="N3" s="17" t="b">
        <f>COUNTIFS(OrderLines[OrderID],Orders[[#This Row],[OrderID]],OrderLines[Category],"Hot Meal")&gt;0</f>
        <v>0</v>
      </c>
      <c r="O3" s="17" t="b">
        <f>COUNTIFS(OrderLines[OrderID],Orders[[#This Row],[OrderID]],OrderLines[Category],"Snack")&gt;0</f>
        <v>0</v>
      </c>
      <c r="P3" s="17" t="b">
        <f>COUNTIFS(OrderLines[OrderID],Orders[[#This Row],[OrderID]],OrderLines[Category],"Dessert")&gt;0</f>
        <v>1</v>
      </c>
      <c r="Q3" s="11">
        <f>Orders[[#This Row],[OrderTotal]]-Orders[[#This Row],[GrossProfit]]</f>
        <v>52.41</v>
      </c>
    </row>
    <row r="4" spans="1:17" x14ac:dyDescent="0.25">
      <c r="A4" t="s">
        <v>20</v>
      </c>
      <c r="B4" s="1">
        <v>45848.661041666674</v>
      </c>
      <c r="C4" t="s">
        <v>9</v>
      </c>
      <c r="D4" t="s">
        <v>16</v>
      </c>
      <c r="E4" t="s">
        <v>21</v>
      </c>
      <c r="F4" t="s">
        <v>22</v>
      </c>
      <c r="G4" s="5">
        <v>0</v>
      </c>
      <c r="H4" t="b">
        <f>COUNTIFS(OrderLines[OrderID],Orders[[#This Row],[OrderID]],OrderLines[Category],"Beverage")&gt;0</f>
        <v>1</v>
      </c>
      <c r="I4">
        <f>SUMIFS(OrderLines[Revenue],OrderLines[OrderID],Orders[[#This Row],[OrderID]])</f>
        <v>668.96</v>
      </c>
      <c r="J4" t="str">
        <f>IF(AND(COUNTIFS(OrderLines[OrderID],Orders[[#This Row],[OrderID]],OrderLines[Category],"Hot Meal")&gt;0,COUNTIFS(OrderLines[OrderID],Orders[[#This Row],[OrderID]],OrderLines[Category],"Beverage")&gt;0),"Combo","Single")</f>
        <v>Combo</v>
      </c>
      <c r="K4" s="17" t="str">
        <f>IF(SUMPRODUCT((OrderLines[OrderID]=Orders[[#This Row],[OrderID]])*OrderLines[Qty]*OrderLines[UnitPrice])*Orders[[#This Row],[DiscountPct]]&gt;40,"HighDisc","OK")</f>
        <v>OK</v>
      </c>
      <c r="L4" s="11">
        <f>SUMIFS(OrderLines[Revenue],OrderLines[OrderID],Orders[[#This Row],[OrderID]])-SUMIFS(OrderLines[FoodCost],OrderLines[OrderID],Orders[[#This Row],[OrderID]])</f>
        <v>377.72</v>
      </c>
      <c r="M4" s="5">
        <f>Orders[[#This Row],[GrossProfit]]/Orders[[#This Row],[OrderTotal]]</f>
        <v>0.56463764649605364</v>
      </c>
      <c r="N4" s="17" t="b">
        <f>COUNTIFS(OrderLines[OrderID],Orders[[#This Row],[OrderID]],OrderLines[Category],"Hot Meal")&gt;0</f>
        <v>1</v>
      </c>
      <c r="O4" s="17" t="b">
        <f>COUNTIFS(OrderLines[OrderID],Orders[[#This Row],[OrderID]],OrderLines[Category],"Snack")&gt;0</f>
        <v>1</v>
      </c>
      <c r="P4" s="17" t="b">
        <f>COUNTIFS(OrderLines[OrderID],Orders[[#This Row],[OrderID]],OrderLines[Category],"Dessert")&gt;0</f>
        <v>0</v>
      </c>
      <c r="Q4" s="11">
        <f>Orders[[#This Row],[OrderTotal]]-Orders[[#This Row],[GrossProfit]]</f>
        <v>291.24</v>
      </c>
    </row>
    <row r="5" spans="1:17" x14ac:dyDescent="0.25">
      <c r="A5" t="s">
        <v>24</v>
      </c>
      <c r="B5" s="1">
        <v>45879.1640625</v>
      </c>
      <c r="C5" t="s">
        <v>15</v>
      </c>
      <c r="D5" t="s">
        <v>10</v>
      </c>
      <c r="E5" t="s">
        <v>17</v>
      </c>
      <c r="F5" t="s">
        <v>12</v>
      </c>
      <c r="G5" s="5">
        <v>0.03</v>
      </c>
      <c r="H5" t="b">
        <f>COUNTIFS(OrderLines[OrderID],Orders[[#This Row],[OrderID]],OrderLines[Category],"Beverage")&gt;0</f>
        <v>0</v>
      </c>
      <c r="I5">
        <f>SUMIFS(OrderLines[Revenue],OrderLines[OrderID],Orders[[#This Row],[OrderID]])</f>
        <v>477.41460000000001</v>
      </c>
      <c r="J5" t="str">
        <f>IF(AND(COUNTIFS(OrderLines[OrderID],Orders[[#This Row],[OrderID]],OrderLines[Category],"Hot Meal")&gt;0,COUNTIFS(OrderLines[OrderID],Orders[[#This Row],[OrderID]],OrderLines[Category],"Beverage")&gt;0),"Combo","Single")</f>
        <v>Single</v>
      </c>
      <c r="K5" s="17" t="str">
        <f>IF(SUMPRODUCT((OrderLines[OrderID]=Orders[[#This Row],[OrderID]])*OrderLines[Qty]*OrderLines[UnitPrice])*Orders[[#This Row],[DiscountPct]]&gt;40,"HighDisc","OK")</f>
        <v>OK</v>
      </c>
      <c r="L5" s="11">
        <f>SUMIFS(OrderLines[Revenue],OrderLines[OrderID],Orders[[#This Row],[OrderID]])-SUMIFS(OrderLines[FoodCost],OrderLines[OrderID],Orders[[#This Row],[OrderID]])</f>
        <v>253.25460000000001</v>
      </c>
      <c r="M5" s="5">
        <f>Orders[[#This Row],[GrossProfit]]/Orders[[#This Row],[OrderTotal]]</f>
        <v>0.53047099942062936</v>
      </c>
      <c r="N5" s="17" t="b">
        <f>COUNTIFS(OrderLines[OrderID],Orders[[#This Row],[OrderID]],OrderLines[Category],"Hot Meal")&gt;0</f>
        <v>1</v>
      </c>
      <c r="O5" s="17" t="b">
        <f>COUNTIFS(OrderLines[OrderID],Orders[[#This Row],[OrderID]],OrderLines[Category],"Snack")&gt;0</f>
        <v>0</v>
      </c>
      <c r="P5" s="17" t="b">
        <f>COUNTIFS(OrderLines[OrderID],Orders[[#This Row],[OrderID]],OrderLines[Category],"Dessert")&gt;0</f>
        <v>0</v>
      </c>
      <c r="Q5" s="11">
        <f>Orders[[#This Row],[OrderTotal]]-Orders[[#This Row],[GrossProfit]]</f>
        <v>224.16</v>
      </c>
    </row>
    <row r="6" spans="1:17" x14ac:dyDescent="0.25">
      <c r="A6" t="s">
        <v>25</v>
      </c>
      <c r="B6" s="1">
        <v>45845.134895833333</v>
      </c>
      <c r="C6" t="s">
        <v>15</v>
      </c>
      <c r="D6" t="s">
        <v>10</v>
      </c>
      <c r="E6" t="s">
        <v>21</v>
      </c>
      <c r="F6" t="s">
        <v>12</v>
      </c>
      <c r="G6" s="5">
        <v>0.04</v>
      </c>
      <c r="H6" t="b">
        <f>COUNTIFS(OrderLines[OrderID],Orders[[#This Row],[OrderID]],OrderLines[Category],"Beverage")&gt;0</f>
        <v>1</v>
      </c>
      <c r="I6">
        <f>SUMIFS(OrderLines[Revenue],OrderLines[OrderID],Orders[[#This Row],[OrderID]])</f>
        <v>95.011200000000002</v>
      </c>
      <c r="J6" t="str">
        <f>IF(AND(COUNTIFS(OrderLines[OrderID],Orders[[#This Row],[OrderID]],OrderLines[Category],"Hot Meal")&gt;0,COUNTIFS(OrderLines[OrderID],Orders[[#This Row],[OrderID]],OrderLines[Category],"Beverage")&gt;0),"Combo","Single")</f>
        <v>Single</v>
      </c>
      <c r="K6" s="17" t="str">
        <f>IF(SUMPRODUCT((OrderLines[OrderID]=Orders[[#This Row],[OrderID]])*OrderLines[Qty]*OrderLines[UnitPrice])*Orders[[#This Row],[DiscountPct]]&gt;40,"HighDisc","OK")</f>
        <v>OK</v>
      </c>
      <c r="L6" s="11">
        <f>SUMIFS(OrderLines[Revenue],OrderLines[OrderID],Orders[[#This Row],[OrderID]])-SUMIFS(OrderLines[FoodCost],OrderLines[OrderID],Orders[[#This Row],[OrderID]])</f>
        <v>45.311199999999999</v>
      </c>
      <c r="M6" s="5">
        <f>Orders[[#This Row],[GrossProfit]]/Orders[[#This Row],[OrderTotal]]</f>
        <v>0.47690377555488195</v>
      </c>
      <c r="N6" s="17" t="b">
        <f>COUNTIFS(OrderLines[OrderID],Orders[[#This Row],[OrderID]],OrderLines[Category],"Hot Meal")&gt;0</f>
        <v>0</v>
      </c>
      <c r="O6" s="17" t="b">
        <f>COUNTIFS(OrderLines[OrderID],Orders[[#This Row],[OrderID]],OrderLines[Category],"Snack")&gt;0</f>
        <v>1</v>
      </c>
      <c r="P6" s="17" t="b">
        <f>COUNTIFS(OrderLines[OrderID],Orders[[#This Row],[OrderID]],OrderLines[Category],"Dessert")&gt;0</f>
        <v>0</v>
      </c>
      <c r="Q6" s="11">
        <f>Orders[[#This Row],[OrderTotal]]-Orders[[#This Row],[GrossProfit]]</f>
        <v>49.7</v>
      </c>
    </row>
    <row r="7" spans="1:17" x14ac:dyDescent="0.25">
      <c r="A7" t="s">
        <v>26</v>
      </c>
      <c r="B7" s="1">
        <v>45863.392129629632</v>
      </c>
      <c r="C7" t="s">
        <v>27</v>
      </c>
      <c r="D7" t="s">
        <v>28</v>
      </c>
      <c r="E7" t="s">
        <v>11</v>
      </c>
      <c r="F7" t="s">
        <v>12</v>
      </c>
      <c r="G7" s="5">
        <v>0.1</v>
      </c>
      <c r="H7" t="b">
        <f>COUNTIFS(OrderLines[OrderID],Orders[[#This Row],[OrderID]],OrderLines[Category],"Beverage")&gt;0</f>
        <v>1</v>
      </c>
      <c r="I7">
        <f>SUMIFS(OrderLines[Revenue],OrderLines[OrderID],Orders[[#This Row],[OrderID]])</f>
        <v>54.296999999999997</v>
      </c>
      <c r="J7" t="str">
        <f>IF(AND(COUNTIFS(OrderLines[OrderID],Orders[[#This Row],[OrderID]],OrderLines[Category],"Hot Meal")&gt;0,COUNTIFS(OrderLines[OrderID],Orders[[#This Row],[OrderID]],OrderLines[Category],"Beverage")&gt;0),"Combo","Single")</f>
        <v>Single</v>
      </c>
      <c r="K7" s="17" t="str">
        <f>IF(SUMPRODUCT((OrderLines[OrderID]=Orders[[#This Row],[OrderID]])*OrderLines[Qty]*OrderLines[UnitPrice])*Orders[[#This Row],[DiscountPct]]&gt;40,"HighDisc","OK")</f>
        <v>OK</v>
      </c>
      <c r="L7" s="11">
        <f>SUMIFS(OrderLines[Revenue],OrderLines[OrderID],Orders[[#This Row],[OrderID]])-SUMIFS(OrderLines[FoodCost],OrderLines[OrderID],Orders[[#This Row],[OrderID]])</f>
        <v>30.296999999999997</v>
      </c>
      <c r="M7" s="5">
        <f>Orders[[#This Row],[GrossProfit]]/Orders[[#This Row],[OrderTotal]]</f>
        <v>0.5579866290955301</v>
      </c>
      <c r="N7" s="17" t="b">
        <f>COUNTIFS(OrderLines[OrderID],Orders[[#This Row],[OrderID]],OrderLines[Category],"Hot Meal")&gt;0</f>
        <v>0</v>
      </c>
      <c r="O7" s="17" t="b">
        <f>COUNTIFS(OrderLines[OrderID],Orders[[#This Row],[OrderID]],OrderLines[Category],"Snack")&gt;0</f>
        <v>0</v>
      </c>
      <c r="P7" s="17" t="b">
        <f>COUNTIFS(OrderLines[OrderID],Orders[[#This Row],[OrderID]],OrderLines[Category],"Dessert")&gt;0</f>
        <v>0</v>
      </c>
      <c r="Q7" s="11">
        <f>Orders[[#This Row],[OrderTotal]]-Orders[[#This Row],[GrossProfit]]</f>
        <v>24</v>
      </c>
    </row>
    <row r="8" spans="1:17" x14ac:dyDescent="0.25">
      <c r="A8" t="s">
        <v>30</v>
      </c>
      <c r="B8" s="1">
        <v>45852.860347222217</v>
      </c>
      <c r="C8" t="s">
        <v>15</v>
      </c>
      <c r="D8" t="s">
        <v>28</v>
      </c>
      <c r="E8" t="s">
        <v>21</v>
      </c>
      <c r="F8" t="s">
        <v>18</v>
      </c>
      <c r="G8" s="5">
        <v>7.0000000000000007E-2</v>
      </c>
      <c r="H8" t="b">
        <f>COUNTIFS(OrderLines[OrderID],Orders[[#This Row],[OrderID]],OrderLines[Category],"Beverage")&gt;0</f>
        <v>1</v>
      </c>
      <c r="I8">
        <f>SUMIFS(OrderLines[Revenue],OrderLines[OrderID],Orders[[#This Row],[OrderID]])</f>
        <v>348.41520000000003</v>
      </c>
      <c r="J8" t="str">
        <f>IF(AND(COUNTIFS(OrderLines[OrderID],Orders[[#This Row],[OrderID]],OrderLines[Category],"Hot Meal")&gt;0,COUNTIFS(OrderLines[OrderID],Orders[[#This Row],[OrderID]],OrderLines[Category],"Beverage")&gt;0),"Combo","Single")</f>
        <v>Combo</v>
      </c>
      <c r="K8" s="17" t="str">
        <f>IF(SUMPRODUCT((OrderLines[OrderID]=Orders[[#This Row],[OrderID]])*OrderLines[Qty]*OrderLines[UnitPrice])*Orders[[#This Row],[DiscountPct]]&gt;40,"HighDisc","OK")</f>
        <v>OK</v>
      </c>
      <c r="L8" s="11">
        <f>SUMIFS(OrderLines[Revenue],OrderLines[OrderID],Orders[[#This Row],[OrderID]])-SUMIFS(OrderLines[FoodCost],OrderLines[OrderID],Orders[[#This Row],[OrderID]])</f>
        <v>188.43520000000004</v>
      </c>
      <c r="M8" s="5">
        <f>Orders[[#This Row],[GrossProfit]]/Orders[[#This Row],[OrderTotal]]</f>
        <v>0.54083518744302783</v>
      </c>
      <c r="N8" s="17" t="b">
        <f>COUNTIFS(OrderLines[OrderID],Orders[[#This Row],[OrderID]],OrderLines[Category],"Hot Meal")&gt;0</f>
        <v>1</v>
      </c>
      <c r="O8" s="17" t="b">
        <f>COUNTIFS(OrderLines[OrderID],Orders[[#This Row],[OrderID]],OrderLines[Category],"Snack")&gt;0</f>
        <v>0</v>
      </c>
      <c r="P8" s="17" t="b">
        <f>COUNTIFS(OrderLines[OrderID],Orders[[#This Row],[OrderID]],OrderLines[Category],"Dessert")&gt;0</f>
        <v>0</v>
      </c>
      <c r="Q8" s="11">
        <f>Orders[[#This Row],[OrderTotal]]-Orders[[#This Row],[GrossProfit]]</f>
        <v>159.97999999999999</v>
      </c>
    </row>
    <row r="9" spans="1:17" x14ac:dyDescent="0.25">
      <c r="A9" t="s">
        <v>31</v>
      </c>
      <c r="B9" s="1">
        <v>45863.503796296303</v>
      </c>
      <c r="C9" t="s">
        <v>27</v>
      </c>
      <c r="D9" t="s">
        <v>16</v>
      </c>
      <c r="E9" t="s">
        <v>11</v>
      </c>
      <c r="F9" t="s">
        <v>22</v>
      </c>
      <c r="G9" s="5">
        <v>0</v>
      </c>
      <c r="H9" t="b">
        <f>COUNTIFS(OrderLines[OrderID],Orders[[#This Row],[OrderID]],OrderLines[Category],"Beverage")&gt;0</f>
        <v>1</v>
      </c>
      <c r="I9">
        <f>SUMIFS(OrderLines[Revenue],OrderLines[OrderID],Orders[[#This Row],[OrderID]])</f>
        <v>223.75</v>
      </c>
      <c r="J9" t="str">
        <f>IF(AND(COUNTIFS(OrderLines[OrderID],Orders[[#This Row],[OrderID]],OrderLines[Category],"Hot Meal")&gt;0,COUNTIFS(OrderLines[OrderID],Orders[[#This Row],[OrderID]],OrderLines[Category],"Beverage")&gt;0),"Combo","Single")</f>
        <v>Single</v>
      </c>
      <c r="K9" s="17" t="str">
        <f>IF(SUMPRODUCT((OrderLines[OrderID]=Orders[[#This Row],[OrderID]])*OrderLines[Qty]*OrderLines[UnitPrice])*Orders[[#This Row],[DiscountPct]]&gt;40,"HighDisc","OK")</f>
        <v>OK</v>
      </c>
      <c r="L9" s="11">
        <f>SUMIFS(OrderLines[Revenue],OrderLines[OrderID],Orders[[#This Row],[OrderID]])-SUMIFS(OrderLines[FoodCost],OrderLines[OrderID],Orders[[#This Row],[OrderID]])</f>
        <v>112.77000000000001</v>
      </c>
      <c r="M9" s="5">
        <f>Orders[[#This Row],[GrossProfit]]/Orders[[#This Row],[OrderTotal]]</f>
        <v>0.504</v>
      </c>
      <c r="N9" s="17" t="b">
        <f>COUNTIFS(OrderLines[OrderID],Orders[[#This Row],[OrderID]],OrderLines[Category],"Hot Meal")&gt;0</f>
        <v>0</v>
      </c>
      <c r="O9" s="17" t="b">
        <f>COUNTIFS(OrderLines[OrderID],Orders[[#This Row],[OrderID]],OrderLines[Category],"Snack")&gt;0</f>
        <v>0</v>
      </c>
      <c r="P9" s="17" t="b">
        <f>COUNTIFS(OrderLines[OrderID],Orders[[#This Row],[OrderID]],OrderLines[Category],"Dessert")&gt;0</f>
        <v>1</v>
      </c>
      <c r="Q9" s="11">
        <f>Orders[[#This Row],[OrderTotal]]-Orders[[#This Row],[GrossProfit]]</f>
        <v>110.97999999999999</v>
      </c>
    </row>
    <row r="10" spans="1:17" x14ac:dyDescent="0.25">
      <c r="A10" t="s">
        <v>32</v>
      </c>
      <c r="B10" s="1">
        <v>45844.161631944437</v>
      </c>
      <c r="C10" t="s">
        <v>9</v>
      </c>
      <c r="D10" t="s">
        <v>10</v>
      </c>
      <c r="E10" t="s">
        <v>17</v>
      </c>
      <c r="F10" t="s">
        <v>12</v>
      </c>
      <c r="G10" s="5">
        <v>7.0000000000000007E-2</v>
      </c>
      <c r="H10" t="b">
        <f>COUNTIFS(OrderLines[OrderID],Orders[[#This Row],[OrderID]],OrderLines[Category],"Beverage")&gt;0</f>
        <v>0</v>
      </c>
      <c r="I10">
        <f>SUMIFS(OrderLines[Revenue],OrderLines[OrderID],Orders[[#This Row],[OrderID]])</f>
        <v>459.28980000000001</v>
      </c>
      <c r="J10" t="str">
        <f>IF(AND(COUNTIFS(OrderLines[OrderID],Orders[[#This Row],[OrderID]],OrderLines[Category],"Hot Meal")&gt;0,COUNTIFS(OrderLines[OrderID],Orders[[#This Row],[OrderID]],OrderLines[Category],"Beverage")&gt;0),"Combo","Single")</f>
        <v>Single</v>
      </c>
      <c r="K10" s="17" t="str">
        <f>IF(SUMPRODUCT((OrderLines[OrderID]=Orders[[#This Row],[OrderID]])*OrderLines[Qty]*OrderLines[UnitPrice])*Orders[[#This Row],[DiscountPct]]&gt;40,"HighDisc","OK")</f>
        <v>OK</v>
      </c>
      <c r="L10" s="11">
        <f>SUMIFS(OrderLines[Revenue],OrderLines[OrderID],Orders[[#This Row],[OrderID]])-SUMIFS(OrderLines[FoodCost],OrderLines[OrderID],Orders[[#This Row],[OrderID]])</f>
        <v>233.31980000000001</v>
      </c>
      <c r="M10" s="5">
        <f>Orders[[#This Row],[GrossProfit]]/Orders[[#This Row],[OrderTotal]]</f>
        <v>0.50800126630288767</v>
      </c>
      <c r="N10" s="17" t="b">
        <f>COUNTIFS(OrderLines[OrderID],Orders[[#This Row],[OrderID]],OrderLines[Category],"Hot Meal")&gt;0</f>
        <v>1</v>
      </c>
      <c r="O10" s="17" t="b">
        <f>COUNTIFS(OrderLines[OrderID],Orders[[#This Row],[OrderID]],OrderLines[Category],"Snack")&gt;0</f>
        <v>1</v>
      </c>
      <c r="P10" s="17" t="b">
        <f>COUNTIFS(OrderLines[OrderID],Orders[[#This Row],[OrderID]],OrderLines[Category],"Dessert")&gt;0</f>
        <v>1</v>
      </c>
      <c r="Q10" s="11">
        <f>Orders[[#This Row],[OrderTotal]]-Orders[[#This Row],[GrossProfit]]</f>
        <v>225.97</v>
      </c>
    </row>
    <row r="11" spans="1:17" x14ac:dyDescent="0.25">
      <c r="A11" t="s">
        <v>34</v>
      </c>
      <c r="B11" s="1">
        <v>45862.200162037043</v>
      </c>
      <c r="C11" t="s">
        <v>27</v>
      </c>
      <c r="D11" t="s">
        <v>16</v>
      </c>
      <c r="E11" t="s">
        <v>21</v>
      </c>
      <c r="F11" t="s">
        <v>12</v>
      </c>
      <c r="G11" s="5">
        <v>0.04</v>
      </c>
      <c r="H11" t="b">
        <f>COUNTIFS(OrderLines[OrderID],Orders[[#This Row],[OrderID]],OrderLines[Category],"Beverage")&gt;0</f>
        <v>1</v>
      </c>
      <c r="I11">
        <f>SUMIFS(OrderLines[Revenue],OrderLines[OrderID],Orders[[#This Row],[OrderID]])</f>
        <v>420.07679999999999</v>
      </c>
      <c r="J11" t="str">
        <f>IF(AND(COUNTIFS(OrderLines[OrderID],Orders[[#This Row],[OrderID]],OrderLines[Category],"Hot Meal")&gt;0,COUNTIFS(OrderLines[OrderID],Orders[[#This Row],[OrderID]],OrderLines[Category],"Beverage")&gt;0),"Combo","Single")</f>
        <v>Combo</v>
      </c>
      <c r="K11" s="17" t="str">
        <f>IF(SUMPRODUCT((OrderLines[OrderID]=Orders[[#This Row],[OrderID]])*OrderLines[Qty]*OrderLines[UnitPrice])*Orders[[#This Row],[DiscountPct]]&gt;40,"HighDisc","OK")</f>
        <v>OK</v>
      </c>
      <c r="L11" s="11">
        <f>SUMIFS(OrderLines[Revenue],OrderLines[OrderID],Orders[[#This Row],[OrderID]])-SUMIFS(OrderLines[FoodCost],OrderLines[OrderID],Orders[[#This Row],[OrderID]])</f>
        <v>215.1968</v>
      </c>
      <c r="M11" s="5">
        <f>Orders[[#This Row],[GrossProfit]]/Orders[[#This Row],[OrderTotal]]</f>
        <v>0.51227965933848285</v>
      </c>
      <c r="N11" s="17" t="b">
        <f>COUNTIFS(OrderLines[OrderID],Orders[[#This Row],[OrderID]],OrderLines[Category],"Hot Meal")&gt;0</f>
        <v>1</v>
      </c>
      <c r="O11" s="17" t="b">
        <f>COUNTIFS(OrderLines[OrderID],Orders[[#This Row],[OrderID]],OrderLines[Category],"Snack")&gt;0</f>
        <v>1</v>
      </c>
      <c r="P11" s="17" t="b">
        <f>COUNTIFS(OrderLines[OrderID],Orders[[#This Row],[OrderID]],OrderLines[Category],"Dessert")&gt;0</f>
        <v>1</v>
      </c>
      <c r="Q11" s="11">
        <f>Orders[[#This Row],[OrderTotal]]-Orders[[#This Row],[GrossProfit]]</f>
        <v>204.88</v>
      </c>
    </row>
    <row r="12" spans="1:17" x14ac:dyDescent="0.25">
      <c r="A12" t="s">
        <v>35</v>
      </c>
      <c r="B12" s="1">
        <v>45860.002800925933</v>
      </c>
      <c r="C12" t="s">
        <v>15</v>
      </c>
      <c r="D12" t="s">
        <v>28</v>
      </c>
      <c r="E12" t="s">
        <v>17</v>
      </c>
      <c r="F12" t="s">
        <v>12</v>
      </c>
      <c r="G12" s="5">
        <v>0.03</v>
      </c>
      <c r="H12" t="b">
        <f>COUNTIFS(OrderLines[OrderID],Orders[[#This Row],[OrderID]],OrderLines[Category],"Beverage")&gt;0</f>
        <v>1</v>
      </c>
      <c r="I12">
        <f>SUMIFS(OrderLines[Revenue],OrderLines[OrderID],Orders[[#This Row],[OrderID]])</f>
        <v>27.577099999999998</v>
      </c>
      <c r="J12" t="str">
        <f>IF(AND(COUNTIFS(OrderLines[OrderID],Orders[[#This Row],[OrderID]],OrderLines[Category],"Hot Meal")&gt;0,COUNTIFS(OrderLines[OrderID],Orders[[#This Row],[OrderID]],OrderLines[Category],"Beverage")&gt;0),"Combo","Single")</f>
        <v>Single</v>
      </c>
      <c r="K12" s="17" t="str">
        <f>IF(SUMPRODUCT((OrderLines[OrderID]=Orders[[#This Row],[OrderID]])*OrderLines[Qty]*OrderLines[UnitPrice])*Orders[[#This Row],[DiscountPct]]&gt;40,"HighDisc","OK")</f>
        <v>OK</v>
      </c>
      <c r="L12" s="11">
        <f>SUMIFS(OrderLines[Revenue],OrderLines[OrderID],Orders[[#This Row],[OrderID]])-SUMIFS(OrderLines[FoodCost],OrderLines[OrderID],Orders[[#This Row],[OrderID]])</f>
        <v>13.687099999999997</v>
      </c>
      <c r="M12" s="5">
        <f>Orders[[#This Row],[GrossProfit]]/Orders[[#This Row],[OrderTotal]]</f>
        <v>0.49632122304375725</v>
      </c>
      <c r="N12" s="17" t="b">
        <f>COUNTIFS(OrderLines[OrderID],Orders[[#This Row],[OrderID]],OrderLines[Category],"Hot Meal")&gt;0</f>
        <v>0</v>
      </c>
      <c r="O12" s="17" t="b">
        <f>COUNTIFS(OrderLines[OrderID],Orders[[#This Row],[OrderID]],OrderLines[Category],"Snack")&gt;0</f>
        <v>0</v>
      </c>
      <c r="P12" s="17" t="b">
        <f>COUNTIFS(OrderLines[OrderID],Orders[[#This Row],[OrderID]],OrderLines[Category],"Dessert")&gt;0</f>
        <v>0</v>
      </c>
      <c r="Q12" s="11">
        <f>Orders[[#This Row],[OrderTotal]]-Orders[[#This Row],[GrossProfit]]</f>
        <v>13.89</v>
      </c>
    </row>
    <row r="13" spans="1:17" x14ac:dyDescent="0.25">
      <c r="A13" t="s">
        <v>37</v>
      </c>
      <c r="B13" s="1">
        <v>45839.45925925926</v>
      </c>
      <c r="C13" t="s">
        <v>15</v>
      </c>
      <c r="D13" t="s">
        <v>16</v>
      </c>
      <c r="E13" t="s">
        <v>21</v>
      </c>
      <c r="F13" t="s">
        <v>22</v>
      </c>
      <c r="G13" s="5">
        <v>0.08</v>
      </c>
      <c r="H13" t="b">
        <f>COUNTIFS(OrderLines[OrderID],Orders[[#This Row],[OrderID]],OrderLines[Category],"Beverage")&gt;0</f>
        <v>0</v>
      </c>
      <c r="I13">
        <f>SUMIFS(OrderLines[Revenue],OrderLines[OrderID],Orders[[#This Row],[OrderID]])</f>
        <v>98.118000000000009</v>
      </c>
      <c r="J13" t="str">
        <f>IF(AND(COUNTIFS(OrderLines[OrderID],Orders[[#This Row],[OrderID]],OrderLines[Category],"Hot Meal")&gt;0,COUNTIFS(OrderLines[OrderID],Orders[[#This Row],[OrderID]],OrderLines[Category],"Beverage")&gt;0),"Combo","Single")</f>
        <v>Single</v>
      </c>
      <c r="K13" s="17" t="str">
        <f>IF(SUMPRODUCT((OrderLines[OrderID]=Orders[[#This Row],[OrderID]])*OrderLines[Qty]*OrderLines[UnitPrice])*Orders[[#This Row],[DiscountPct]]&gt;40,"HighDisc","OK")</f>
        <v>OK</v>
      </c>
      <c r="L13" s="11">
        <f>SUMIFS(OrderLines[Revenue],OrderLines[OrderID],Orders[[#This Row],[OrderID]])-SUMIFS(OrderLines[FoodCost],OrderLines[OrderID],Orders[[#This Row],[OrderID]])</f>
        <v>50.368000000000009</v>
      </c>
      <c r="M13" s="5">
        <f>Orders[[#This Row],[GrossProfit]]/Orders[[#This Row],[OrderTotal]]</f>
        <v>0.5133410791088282</v>
      </c>
      <c r="N13" s="17" t="b">
        <f>COUNTIFS(OrderLines[OrderID],Orders[[#This Row],[OrderID]],OrderLines[Category],"Hot Meal")&gt;0</f>
        <v>0</v>
      </c>
      <c r="O13" s="17" t="b">
        <f>COUNTIFS(OrderLines[OrderID],Orders[[#This Row],[OrderID]],OrderLines[Category],"Snack")&gt;0</f>
        <v>1</v>
      </c>
      <c r="P13" s="17" t="b">
        <f>COUNTIFS(OrderLines[OrderID],Orders[[#This Row],[OrderID]],OrderLines[Category],"Dessert")&gt;0</f>
        <v>1</v>
      </c>
      <c r="Q13" s="11">
        <f>Orders[[#This Row],[OrderTotal]]-Orders[[#This Row],[GrossProfit]]</f>
        <v>47.75</v>
      </c>
    </row>
    <row r="14" spans="1:17" x14ac:dyDescent="0.25">
      <c r="A14" t="s">
        <v>39</v>
      </c>
      <c r="B14" s="1">
        <v>45880.31994212963</v>
      </c>
      <c r="C14" t="s">
        <v>9</v>
      </c>
      <c r="D14" t="s">
        <v>10</v>
      </c>
      <c r="E14" t="s">
        <v>11</v>
      </c>
      <c r="F14" t="s">
        <v>12</v>
      </c>
      <c r="G14" s="5">
        <v>0.1</v>
      </c>
      <c r="H14" t="b">
        <f>COUNTIFS(OrderLines[OrderID],Orders[[#This Row],[OrderID]],OrderLines[Category],"Beverage")&gt;0</f>
        <v>1</v>
      </c>
      <c r="I14">
        <f>SUMIFS(OrderLines[Revenue],OrderLines[OrderID],Orders[[#This Row],[OrderID]])</f>
        <v>807.87599999999998</v>
      </c>
      <c r="J14" t="str">
        <f>IF(AND(COUNTIFS(OrderLines[OrderID],Orders[[#This Row],[OrderID]],OrderLines[Category],"Hot Meal")&gt;0,COUNTIFS(OrderLines[OrderID],Orders[[#This Row],[OrderID]],OrderLines[Category],"Beverage")&gt;0),"Combo","Single")</f>
        <v>Combo</v>
      </c>
      <c r="K14" s="17" t="str">
        <f>IF(SUMPRODUCT((OrderLines[OrderID]=Orders[[#This Row],[OrderID]])*OrderLines[Qty]*OrderLines[UnitPrice])*Orders[[#This Row],[DiscountPct]]&gt;40,"HighDisc","OK")</f>
        <v>HighDisc</v>
      </c>
      <c r="L14" s="11">
        <f>SUMIFS(OrderLines[Revenue],OrderLines[OrderID],Orders[[#This Row],[OrderID]])-SUMIFS(OrderLines[FoodCost],OrderLines[OrderID],Orders[[#This Row],[OrderID]])</f>
        <v>396.67599999999993</v>
      </c>
      <c r="M14" s="5">
        <f>Orders[[#This Row],[GrossProfit]]/Orders[[#This Row],[OrderTotal]]</f>
        <v>0.49101099673712295</v>
      </c>
      <c r="N14" s="17" t="b">
        <f>COUNTIFS(OrderLines[OrderID],Orders[[#This Row],[OrderID]],OrderLines[Category],"Hot Meal")&gt;0</f>
        <v>1</v>
      </c>
      <c r="O14" s="17" t="b">
        <f>COUNTIFS(OrderLines[OrderID],Orders[[#This Row],[OrderID]],OrderLines[Category],"Snack")&gt;0</f>
        <v>0</v>
      </c>
      <c r="P14" s="17" t="b">
        <f>COUNTIFS(OrderLines[OrderID],Orders[[#This Row],[OrderID]],OrderLines[Category],"Dessert")&gt;0</f>
        <v>1</v>
      </c>
      <c r="Q14" s="11">
        <f>Orders[[#This Row],[OrderTotal]]-Orders[[#This Row],[GrossProfit]]</f>
        <v>411.20000000000005</v>
      </c>
    </row>
    <row r="15" spans="1:17" x14ac:dyDescent="0.25">
      <c r="A15" t="s">
        <v>40</v>
      </c>
      <c r="B15" s="1">
        <v>45854.279270833344</v>
      </c>
      <c r="C15" t="s">
        <v>27</v>
      </c>
      <c r="D15" t="s">
        <v>16</v>
      </c>
      <c r="E15" t="s">
        <v>17</v>
      </c>
      <c r="F15" t="s">
        <v>12</v>
      </c>
      <c r="G15" s="5">
        <v>0.1</v>
      </c>
      <c r="H15" t="b">
        <f>COUNTIFS(OrderLines[OrderID],Orders[[#This Row],[OrderID]],OrderLines[Category],"Beverage")&gt;0</f>
        <v>1</v>
      </c>
      <c r="I15">
        <f>SUMIFS(OrderLines[Revenue],OrderLines[OrderID],Orders[[#This Row],[OrderID]])</f>
        <v>181.47599999999997</v>
      </c>
      <c r="J15" t="str">
        <f>IF(AND(COUNTIFS(OrderLines[OrderID],Orders[[#This Row],[OrderID]],OrderLines[Category],"Hot Meal")&gt;0,COUNTIFS(OrderLines[OrderID],Orders[[#This Row],[OrderID]],OrderLines[Category],"Beverage")&gt;0),"Combo","Single")</f>
        <v>Single</v>
      </c>
      <c r="K15" s="17" t="str">
        <f>IF(SUMPRODUCT((OrderLines[OrderID]=Orders[[#This Row],[OrderID]])*OrderLines[Qty]*OrderLines[UnitPrice])*Orders[[#This Row],[DiscountPct]]&gt;40,"HighDisc","OK")</f>
        <v>OK</v>
      </c>
      <c r="L15" s="11">
        <f>SUMIFS(OrderLines[Revenue],OrderLines[OrderID],Orders[[#This Row],[OrderID]])-SUMIFS(OrderLines[FoodCost],OrderLines[OrderID],Orders[[#This Row],[OrderID]])</f>
        <v>83.125999999999976</v>
      </c>
      <c r="M15" s="5">
        <f>Orders[[#This Row],[GrossProfit]]/Orders[[#This Row],[OrderTotal]]</f>
        <v>0.45805505962220894</v>
      </c>
      <c r="N15" s="17" t="b">
        <f>COUNTIFS(OrderLines[OrderID],Orders[[#This Row],[OrderID]],OrderLines[Category],"Hot Meal")&gt;0</f>
        <v>0</v>
      </c>
      <c r="O15" s="17" t="b">
        <f>COUNTIFS(OrderLines[OrderID],Orders[[#This Row],[OrderID]],OrderLines[Category],"Snack")&gt;0</f>
        <v>0</v>
      </c>
      <c r="P15" s="17" t="b">
        <f>COUNTIFS(OrderLines[OrderID],Orders[[#This Row],[OrderID]],OrderLines[Category],"Dessert")&gt;0</f>
        <v>1</v>
      </c>
      <c r="Q15" s="11">
        <f>Orders[[#This Row],[OrderTotal]]-Orders[[#This Row],[GrossProfit]]</f>
        <v>98.35</v>
      </c>
    </row>
    <row r="16" spans="1:17" x14ac:dyDescent="0.25">
      <c r="A16" t="s">
        <v>42</v>
      </c>
      <c r="B16" s="1">
        <v>45895.482824074083</v>
      </c>
      <c r="C16" t="s">
        <v>9</v>
      </c>
      <c r="D16" t="s">
        <v>10</v>
      </c>
      <c r="E16" t="s">
        <v>17</v>
      </c>
      <c r="F16" t="s">
        <v>22</v>
      </c>
      <c r="G16" s="5">
        <v>0.03</v>
      </c>
      <c r="H16" t="b">
        <f>COUNTIFS(OrderLines[OrderID],Orders[[#This Row],[OrderID]],OrderLines[Category],"Beverage")&gt;0</f>
        <v>1</v>
      </c>
      <c r="I16">
        <f>SUMIFS(OrderLines[Revenue],OrderLines[OrderID],Orders[[#This Row],[OrderID]])</f>
        <v>410.18389999999999</v>
      </c>
      <c r="J16" t="str">
        <f>IF(AND(COUNTIFS(OrderLines[OrderID],Orders[[#This Row],[OrderID]],OrderLines[Category],"Hot Meal")&gt;0,COUNTIFS(OrderLines[OrderID],Orders[[#This Row],[OrderID]],OrderLines[Category],"Beverage")&gt;0),"Combo","Single")</f>
        <v>Combo</v>
      </c>
      <c r="K16" s="17" t="str">
        <f>IF(SUMPRODUCT((OrderLines[OrderID]=Orders[[#This Row],[OrderID]])*OrderLines[Qty]*OrderLines[UnitPrice])*Orders[[#This Row],[DiscountPct]]&gt;40,"HighDisc","OK")</f>
        <v>OK</v>
      </c>
      <c r="L16" s="11">
        <f>SUMIFS(OrderLines[Revenue],OrderLines[OrderID],Orders[[#This Row],[OrderID]])-SUMIFS(OrderLines[FoodCost],OrderLines[OrderID],Orders[[#This Row],[OrderID]])</f>
        <v>224.13390000000001</v>
      </c>
      <c r="M16" s="5">
        <f>Orders[[#This Row],[GrossProfit]]/Orders[[#This Row],[OrderTotal]]</f>
        <v>0.54642295809269947</v>
      </c>
      <c r="N16" s="17" t="b">
        <f>COUNTIFS(OrderLines[OrderID],Orders[[#This Row],[OrderID]],OrderLines[Category],"Hot Meal")&gt;0</f>
        <v>1</v>
      </c>
      <c r="O16" s="17" t="b">
        <f>COUNTIFS(OrderLines[OrderID],Orders[[#This Row],[OrderID]],OrderLines[Category],"Snack")&gt;0</f>
        <v>0</v>
      </c>
      <c r="P16" s="17" t="b">
        <f>COUNTIFS(OrderLines[OrderID],Orders[[#This Row],[OrderID]],OrderLines[Category],"Dessert")&gt;0</f>
        <v>1</v>
      </c>
      <c r="Q16" s="11">
        <f>Orders[[#This Row],[OrderTotal]]-Orders[[#This Row],[GrossProfit]]</f>
        <v>186.04999999999998</v>
      </c>
    </row>
    <row r="17" spans="1:17" x14ac:dyDescent="0.25">
      <c r="A17" t="s">
        <v>44</v>
      </c>
      <c r="B17" s="1">
        <v>45844.800196759257</v>
      </c>
      <c r="C17" t="s">
        <v>27</v>
      </c>
      <c r="D17" t="s">
        <v>10</v>
      </c>
      <c r="E17" t="s">
        <v>21</v>
      </c>
      <c r="F17" t="s">
        <v>18</v>
      </c>
      <c r="G17" s="5">
        <v>0.05</v>
      </c>
      <c r="H17" t="b">
        <f>COUNTIFS(OrderLines[OrderID],Orders[[#This Row],[OrderID]],OrderLines[Category],"Beverage")&gt;0</f>
        <v>0</v>
      </c>
      <c r="I17">
        <f>SUMIFS(OrderLines[Revenue],OrderLines[OrderID],Orders[[#This Row],[OrderID]])</f>
        <v>486.94150000000002</v>
      </c>
      <c r="J17" t="str">
        <f>IF(AND(COUNTIFS(OrderLines[OrderID],Orders[[#This Row],[OrderID]],OrderLines[Category],"Hot Meal")&gt;0,COUNTIFS(OrderLines[OrderID],Orders[[#This Row],[OrderID]],OrderLines[Category],"Beverage")&gt;0),"Combo","Single")</f>
        <v>Single</v>
      </c>
      <c r="K17" s="17" t="str">
        <f>IF(SUMPRODUCT((OrderLines[OrderID]=Orders[[#This Row],[OrderID]])*OrderLines[Qty]*OrderLines[UnitPrice])*Orders[[#This Row],[DiscountPct]]&gt;40,"HighDisc","OK")</f>
        <v>OK</v>
      </c>
      <c r="L17" s="11">
        <f>SUMIFS(OrderLines[Revenue],OrderLines[OrderID],Orders[[#This Row],[OrderID]])-SUMIFS(OrderLines[FoodCost],OrderLines[OrderID],Orders[[#This Row],[OrderID]])</f>
        <v>248.3715</v>
      </c>
      <c r="M17" s="5">
        <f>Orders[[#This Row],[GrossProfit]]/Orders[[#This Row],[OrderTotal]]</f>
        <v>0.51006435064581679</v>
      </c>
      <c r="N17" s="17" t="b">
        <f>COUNTIFS(OrderLines[OrderID],Orders[[#This Row],[OrderID]],OrderLines[Category],"Hot Meal")&gt;0</f>
        <v>1</v>
      </c>
      <c r="O17" s="17" t="b">
        <f>COUNTIFS(OrderLines[OrderID],Orders[[#This Row],[OrderID]],OrderLines[Category],"Snack")&gt;0</f>
        <v>1</v>
      </c>
      <c r="P17" s="17" t="b">
        <f>COUNTIFS(OrderLines[OrderID],Orders[[#This Row],[OrderID]],OrderLines[Category],"Dessert")&gt;0</f>
        <v>1</v>
      </c>
      <c r="Q17" s="11">
        <f>Orders[[#This Row],[OrderTotal]]-Orders[[#This Row],[GrossProfit]]</f>
        <v>238.57000000000002</v>
      </c>
    </row>
    <row r="18" spans="1:17" x14ac:dyDescent="0.25">
      <c r="A18" t="s">
        <v>46</v>
      </c>
      <c r="B18" s="1">
        <v>45890.81722222222</v>
      </c>
      <c r="C18" t="s">
        <v>27</v>
      </c>
      <c r="D18" t="s">
        <v>28</v>
      </c>
      <c r="E18" t="s">
        <v>11</v>
      </c>
      <c r="F18" t="s">
        <v>18</v>
      </c>
      <c r="G18" s="5">
        <v>7.0000000000000007E-2</v>
      </c>
      <c r="H18" t="b">
        <f>COUNTIFS(OrderLines[OrderID],Orders[[#This Row],[OrderID]],OrderLines[Category],"Beverage")&gt;0</f>
        <v>1</v>
      </c>
      <c r="I18">
        <f>SUMIFS(OrderLines[Revenue],OrderLines[OrderID],Orders[[#This Row],[OrderID]])</f>
        <v>30.671399999999995</v>
      </c>
      <c r="J18" t="str">
        <f>IF(AND(COUNTIFS(OrderLines[OrderID],Orders[[#This Row],[OrderID]],OrderLines[Category],"Hot Meal")&gt;0,COUNTIFS(OrderLines[OrderID],Orders[[#This Row],[OrderID]],OrderLines[Category],"Beverage")&gt;0),"Combo","Single")</f>
        <v>Single</v>
      </c>
      <c r="K18" s="17" t="str">
        <f>IF(SUMPRODUCT((OrderLines[OrderID]=Orders[[#This Row],[OrderID]])*OrderLines[Qty]*OrderLines[UnitPrice])*Orders[[#This Row],[DiscountPct]]&gt;40,"HighDisc","OK")</f>
        <v>OK</v>
      </c>
      <c r="L18" s="11">
        <f>SUMIFS(OrderLines[Revenue],OrderLines[OrderID],Orders[[#This Row],[OrderID]])-SUMIFS(OrderLines[FoodCost],OrderLines[OrderID],Orders[[#This Row],[OrderID]])</f>
        <v>18.831399999999995</v>
      </c>
      <c r="M18" s="5">
        <f>Orders[[#This Row],[GrossProfit]]/Orders[[#This Row],[OrderTotal]]</f>
        <v>0.61397262596425328</v>
      </c>
      <c r="N18" s="17" t="b">
        <f>COUNTIFS(OrderLines[OrderID],Orders[[#This Row],[OrderID]],OrderLines[Category],"Hot Meal")&gt;0</f>
        <v>0</v>
      </c>
      <c r="O18" s="17" t="b">
        <f>COUNTIFS(OrderLines[OrderID],Orders[[#This Row],[OrderID]],OrderLines[Category],"Snack")&gt;0</f>
        <v>0</v>
      </c>
      <c r="P18" s="17" t="b">
        <f>COUNTIFS(OrderLines[OrderID],Orders[[#This Row],[OrderID]],OrderLines[Category],"Dessert")&gt;0</f>
        <v>0</v>
      </c>
      <c r="Q18" s="11">
        <f>Orders[[#This Row],[OrderTotal]]-Orders[[#This Row],[GrossProfit]]</f>
        <v>11.84</v>
      </c>
    </row>
    <row r="19" spans="1:17" x14ac:dyDescent="0.25">
      <c r="A19" t="s">
        <v>47</v>
      </c>
      <c r="B19" s="1">
        <v>45857.291805555556</v>
      </c>
      <c r="C19" t="s">
        <v>27</v>
      </c>
      <c r="D19" t="s">
        <v>10</v>
      </c>
      <c r="E19" t="s">
        <v>17</v>
      </c>
      <c r="F19" t="s">
        <v>12</v>
      </c>
      <c r="G19" s="5">
        <v>0.1</v>
      </c>
      <c r="H19" t="b">
        <f>COUNTIFS(OrderLines[OrderID],Orders[[#This Row],[OrderID]],OrderLines[Category],"Beverage")&gt;0</f>
        <v>1</v>
      </c>
      <c r="I19">
        <f>SUMIFS(OrderLines[Revenue],OrderLines[OrderID],Orders[[#This Row],[OrderID]])</f>
        <v>164.48400000000001</v>
      </c>
      <c r="J19" t="str">
        <f>IF(AND(COUNTIFS(OrderLines[OrderID],Orders[[#This Row],[OrderID]],OrderLines[Category],"Hot Meal")&gt;0,COUNTIFS(OrderLines[OrderID],Orders[[#This Row],[OrderID]],OrderLines[Category],"Beverage")&gt;0),"Combo","Single")</f>
        <v>Single</v>
      </c>
      <c r="K19" s="17" t="str">
        <f>IF(SUMPRODUCT((OrderLines[OrderID]=Orders[[#This Row],[OrderID]])*OrderLines[Qty]*OrderLines[UnitPrice])*Orders[[#This Row],[DiscountPct]]&gt;40,"HighDisc","OK")</f>
        <v>OK</v>
      </c>
      <c r="L19" s="11">
        <f>SUMIFS(OrderLines[Revenue],OrderLines[OrderID],Orders[[#This Row],[OrderID]])-SUMIFS(OrderLines[FoodCost],OrderLines[OrderID],Orders[[#This Row],[OrderID]])</f>
        <v>91.834000000000003</v>
      </c>
      <c r="M19" s="5">
        <f>Orders[[#This Row],[GrossProfit]]/Orders[[#This Row],[OrderTotal]]</f>
        <v>0.55831570243914297</v>
      </c>
      <c r="N19" s="17" t="b">
        <f>COUNTIFS(OrderLines[OrderID],Orders[[#This Row],[OrderID]],OrderLines[Category],"Hot Meal")&gt;0</f>
        <v>0</v>
      </c>
      <c r="O19" s="17" t="b">
        <f>COUNTIFS(OrderLines[OrderID],Orders[[#This Row],[OrderID]],OrderLines[Category],"Snack")&gt;0</f>
        <v>0</v>
      </c>
      <c r="P19" s="17" t="b">
        <f>COUNTIFS(OrderLines[OrderID],Orders[[#This Row],[OrderID]],OrderLines[Category],"Dessert")&gt;0</f>
        <v>1</v>
      </c>
      <c r="Q19" s="11">
        <f>Orders[[#This Row],[OrderTotal]]-Orders[[#This Row],[GrossProfit]]</f>
        <v>72.650000000000006</v>
      </c>
    </row>
    <row r="20" spans="1:17" x14ac:dyDescent="0.25">
      <c r="A20" t="s">
        <v>49</v>
      </c>
      <c r="B20" s="1">
        <v>45878.452708333331</v>
      </c>
      <c r="C20" t="s">
        <v>27</v>
      </c>
      <c r="D20" t="s">
        <v>10</v>
      </c>
      <c r="E20" t="s">
        <v>17</v>
      </c>
      <c r="F20" t="s">
        <v>12</v>
      </c>
      <c r="G20" s="5">
        <v>0.04</v>
      </c>
      <c r="H20" t="b">
        <f>COUNTIFS(OrderLines[OrderID],Orders[[#This Row],[OrderID]],OrderLines[Category],"Beverage")&gt;0</f>
        <v>0</v>
      </c>
      <c r="I20">
        <f>SUMIFS(OrderLines[Revenue],OrderLines[OrderID],Orders[[#This Row],[OrderID]])</f>
        <v>701.52960000000007</v>
      </c>
      <c r="J20" t="str">
        <f>IF(AND(COUNTIFS(OrderLines[OrderID],Orders[[#This Row],[OrderID]],OrderLines[Category],"Hot Meal")&gt;0,COUNTIFS(OrderLines[OrderID],Orders[[#This Row],[OrderID]],OrderLines[Category],"Beverage")&gt;0),"Combo","Single")</f>
        <v>Single</v>
      </c>
      <c r="K20" s="17" t="str">
        <f>IF(SUMPRODUCT((OrderLines[OrderID]=Orders[[#This Row],[OrderID]])*OrderLines[Qty]*OrderLines[UnitPrice])*Orders[[#This Row],[DiscountPct]]&gt;40,"HighDisc","OK")</f>
        <v>OK</v>
      </c>
      <c r="L20" s="11">
        <f>SUMIFS(OrderLines[Revenue],OrderLines[OrderID],Orders[[#This Row],[OrderID]])-SUMIFS(OrderLines[FoodCost],OrderLines[OrderID],Orders[[#This Row],[OrderID]])</f>
        <v>342.31960000000009</v>
      </c>
      <c r="M20" s="5">
        <f>Orders[[#This Row],[GrossProfit]]/Orders[[#This Row],[OrderTotal]]</f>
        <v>0.48796173390260378</v>
      </c>
      <c r="N20" s="17" t="b">
        <f>COUNTIFS(OrderLines[OrderID],Orders[[#This Row],[OrderID]],OrderLines[Category],"Hot Meal")&gt;0</f>
        <v>1</v>
      </c>
      <c r="O20" s="17" t="b">
        <f>COUNTIFS(OrderLines[OrderID],Orders[[#This Row],[OrderID]],OrderLines[Category],"Snack")&gt;0</f>
        <v>1</v>
      </c>
      <c r="P20" s="17" t="b">
        <f>COUNTIFS(OrderLines[OrderID],Orders[[#This Row],[OrderID]],OrderLines[Category],"Dessert")&gt;0</f>
        <v>0</v>
      </c>
      <c r="Q20" s="11">
        <f>Orders[[#This Row],[OrderTotal]]-Orders[[#This Row],[GrossProfit]]</f>
        <v>359.21</v>
      </c>
    </row>
    <row r="21" spans="1:17" x14ac:dyDescent="0.25">
      <c r="A21" t="s">
        <v>50</v>
      </c>
      <c r="B21" s="1">
        <v>45847.209791666668</v>
      </c>
      <c r="C21" t="s">
        <v>15</v>
      </c>
      <c r="D21" t="s">
        <v>10</v>
      </c>
      <c r="E21" t="s">
        <v>11</v>
      </c>
      <c r="F21" t="s">
        <v>12</v>
      </c>
      <c r="G21" s="5">
        <v>0.05</v>
      </c>
      <c r="H21" t="b">
        <f>COUNTIFS(OrderLines[OrderID],Orders[[#This Row],[OrderID]],OrderLines[Category],"Beverage")&gt;0</f>
        <v>1</v>
      </c>
      <c r="I21">
        <f>SUMIFS(OrderLines[Revenue],OrderLines[OrderID],Orders[[#This Row],[OrderID]])</f>
        <v>474.75300000000004</v>
      </c>
      <c r="J21" t="str">
        <f>IF(AND(COUNTIFS(OrderLines[OrderID],Orders[[#This Row],[OrderID]],OrderLines[Category],"Hot Meal")&gt;0,COUNTIFS(OrderLines[OrderID],Orders[[#This Row],[OrderID]],OrderLines[Category],"Beverage")&gt;0),"Combo","Single")</f>
        <v>Combo</v>
      </c>
      <c r="K21" s="17" t="str">
        <f>IF(SUMPRODUCT((OrderLines[OrderID]=Orders[[#This Row],[OrderID]])*OrderLines[Qty]*OrderLines[UnitPrice])*Orders[[#This Row],[DiscountPct]]&gt;40,"HighDisc","OK")</f>
        <v>OK</v>
      </c>
      <c r="L21" s="11">
        <f>SUMIFS(OrderLines[Revenue],OrderLines[OrderID],Orders[[#This Row],[OrderID]])-SUMIFS(OrderLines[FoodCost],OrderLines[OrderID],Orders[[#This Row],[OrderID]])</f>
        <v>262.61300000000006</v>
      </c>
      <c r="M21" s="5">
        <f>Orders[[#This Row],[GrossProfit]]/Orders[[#This Row],[OrderTotal]]</f>
        <v>0.55315711538421042</v>
      </c>
      <c r="N21" s="17" t="b">
        <f>COUNTIFS(OrderLines[OrderID],Orders[[#This Row],[OrderID]],OrderLines[Category],"Hot Meal")&gt;0</f>
        <v>1</v>
      </c>
      <c r="O21" s="17" t="b">
        <f>COUNTIFS(OrderLines[OrderID],Orders[[#This Row],[OrderID]],OrderLines[Category],"Snack")&gt;0</f>
        <v>0</v>
      </c>
      <c r="P21" s="17" t="b">
        <f>COUNTIFS(OrderLines[OrderID],Orders[[#This Row],[OrderID]],OrderLines[Category],"Dessert")&gt;0</f>
        <v>1</v>
      </c>
      <c r="Q21" s="11">
        <f>Orders[[#This Row],[OrderTotal]]-Orders[[#This Row],[GrossProfit]]</f>
        <v>212.14</v>
      </c>
    </row>
    <row r="22" spans="1:17" x14ac:dyDescent="0.25">
      <c r="A22" t="s">
        <v>51</v>
      </c>
      <c r="B22" s="1">
        <v>45869.966458333343</v>
      </c>
      <c r="C22" t="s">
        <v>15</v>
      </c>
      <c r="D22" t="s">
        <v>28</v>
      </c>
      <c r="E22" t="s">
        <v>11</v>
      </c>
      <c r="F22" t="s">
        <v>18</v>
      </c>
      <c r="G22" s="5">
        <v>0.02</v>
      </c>
      <c r="H22" t="b">
        <f>COUNTIFS(OrderLines[OrderID],Orders[[#This Row],[OrderID]],OrderLines[Category],"Beverage")&gt;0</f>
        <v>0</v>
      </c>
      <c r="I22">
        <f>SUMIFS(OrderLines[Revenue],OrderLines[OrderID],Orders[[#This Row],[OrderID]])</f>
        <v>291.72640000000001</v>
      </c>
      <c r="J22" t="str">
        <f>IF(AND(COUNTIFS(OrderLines[OrderID],Orders[[#This Row],[OrderID]],OrderLines[Category],"Hot Meal")&gt;0,COUNTIFS(OrderLines[OrderID],Orders[[#This Row],[OrderID]],OrderLines[Category],"Beverage")&gt;0),"Combo","Single")</f>
        <v>Single</v>
      </c>
      <c r="K22" s="17" t="str">
        <f>IF(SUMPRODUCT((OrderLines[OrderID]=Orders[[#This Row],[OrderID]])*OrderLines[Qty]*OrderLines[UnitPrice])*Orders[[#This Row],[DiscountPct]]&gt;40,"HighDisc","OK")</f>
        <v>OK</v>
      </c>
      <c r="L22" s="11">
        <f>SUMIFS(OrderLines[Revenue],OrderLines[OrderID],Orders[[#This Row],[OrderID]])-SUMIFS(OrderLines[FoodCost],OrderLines[OrderID],Orders[[#This Row],[OrderID]])</f>
        <v>153.59640000000002</v>
      </c>
      <c r="M22" s="5">
        <f>Orders[[#This Row],[GrossProfit]]/Orders[[#This Row],[OrderTotal]]</f>
        <v>0.52650839965118001</v>
      </c>
      <c r="N22" s="17" t="b">
        <f>COUNTIFS(OrderLines[OrderID],Orders[[#This Row],[OrderID]],OrderLines[Category],"Hot Meal")&gt;0</f>
        <v>0</v>
      </c>
      <c r="O22" s="17" t="b">
        <f>COUNTIFS(OrderLines[OrderID],Orders[[#This Row],[OrderID]],OrderLines[Category],"Snack")&gt;0</f>
        <v>1</v>
      </c>
      <c r="P22" s="17" t="b">
        <f>COUNTIFS(OrderLines[OrderID],Orders[[#This Row],[OrderID]],OrderLines[Category],"Dessert")&gt;0</f>
        <v>0</v>
      </c>
      <c r="Q22" s="11">
        <f>Orders[[#This Row],[OrderTotal]]-Orders[[#This Row],[GrossProfit]]</f>
        <v>138.13</v>
      </c>
    </row>
    <row r="23" spans="1:17" x14ac:dyDescent="0.25">
      <c r="A23" t="s">
        <v>52</v>
      </c>
      <c r="B23" s="1">
        <v>45862.424097222232</v>
      </c>
      <c r="C23" t="s">
        <v>15</v>
      </c>
      <c r="D23" t="s">
        <v>16</v>
      </c>
      <c r="E23" t="s">
        <v>17</v>
      </c>
      <c r="F23" t="s">
        <v>12</v>
      </c>
      <c r="G23" s="5">
        <v>0.01</v>
      </c>
      <c r="H23" t="b">
        <f>COUNTIFS(OrderLines[OrderID],Orders[[#This Row],[OrderID]],OrderLines[Category],"Beverage")&gt;0</f>
        <v>1</v>
      </c>
      <c r="I23">
        <f>SUMIFS(OrderLines[Revenue],OrderLines[OrderID],Orders[[#This Row],[OrderID]])</f>
        <v>364.2903</v>
      </c>
      <c r="J23" t="str">
        <f>IF(AND(COUNTIFS(OrderLines[OrderID],Orders[[#This Row],[OrderID]],OrderLines[Category],"Hot Meal")&gt;0,COUNTIFS(OrderLines[OrderID],Orders[[#This Row],[OrderID]],OrderLines[Category],"Beverage")&gt;0),"Combo","Single")</f>
        <v>Combo</v>
      </c>
      <c r="K23" s="17" t="str">
        <f>IF(SUMPRODUCT((OrderLines[OrderID]=Orders[[#This Row],[OrderID]])*OrderLines[Qty]*OrderLines[UnitPrice])*Orders[[#This Row],[DiscountPct]]&gt;40,"HighDisc","OK")</f>
        <v>OK</v>
      </c>
      <c r="L23" s="11">
        <f>SUMIFS(OrderLines[Revenue],OrderLines[OrderID],Orders[[#This Row],[OrderID]])-SUMIFS(OrderLines[FoodCost],OrderLines[OrderID],Orders[[#This Row],[OrderID]])</f>
        <v>193.3203</v>
      </c>
      <c r="M23" s="5">
        <f>Orders[[#This Row],[GrossProfit]]/Orders[[#This Row],[OrderTotal]]</f>
        <v>0.53067649618998913</v>
      </c>
      <c r="N23" s="17" t="b">
        <f>COUNTIFS(OrderLines[OrderID],Orders[[#This Row],[OrderID]],OrderLines[Category],"Hot Meal")&gt;0</f>
        <v>1</v>
      </c>
      <c r="O23" s="17" t="b">
        <f>COUNTIFS(OrderLines[OrderID],Orders[[#This Row],[OrderID]],OrderLines[Category],"Snack")&gt;0</f>
        <v>0</v>
      </c>
      <c r="P23" s="17" t="b">
        <f>COUNTIFS(OrderLines[OrderID],Orders[[#This Row],[OrderID]],OrderLines[Category],"Dessert")&gt;0</f>
        <v>1</v>
      </c>
      <c r="Q23" s="11">
        <f>Orders[[#This Row],[OrderTotal]]-Orders[[#This Row],[GrossProfit]]</f>
        <v>170.97</v>
      </c>
    </row>
    <row r="24" spans="1:17" x14ac:dyDescent="0.25">
      <c r="A24" t="s">
        <v>53</v>
      </c>
      <c r="B24" s="1">
        <v>45883.642094907409</v>
      </c>
      <c r="C24" t="s">
        <v>15</v>
      </c>
      <c r="D24" t="s">
        <v>28</v>
      </c>
      <c r="E24" t="s">
        <v>17</v>
      </c>
      <c r="F24" t="s">
        <v>22</v>
      </c>
      <c r="G24" s="5">
        <v>0.09</v>
      </c>
      <c r="H24" t="b">
        <f>COUNTIFS(OrderLines[OrderID],Orders[[#This Row],[OrderID]],OrderLines[Category],"Beverage")&gt;0</f>
        <v>1</v>
      </c>
      <c r="I24">
        <f>SUMIFS(OrderLines[Revenue],OrderLines[OrderID],Orders[[#This Row],[OrderID]])</f>
        <v>242.24200000000002</v>
      </c>
      <c r="J24" t="str">
        <f>IF(AND(COUNTIFS(OrderLines[OrderID],Orders[[#This Row],[OrderID]],OrderLines[Category],"Hot Meal")&gt;0,COUNTIFS(OrderLines[OrderID],Orders[[#This Row],[OrderID]],OrderLines[Category],"Beverage")&gt;0),"Combo","Single")</f>
        <v>Combo</v>
      </c>
      <c r="K24" s="17" t="str">
        <f>IF(SUMPRODUCT((OrderLines[OrderID]=Orders[[#This Row],[OrderID]])*OrderLines[Qty]*OrderLines[UnitPrice])*Orders[[#This Row],[DiscountPct]]&gt;40,"HighDisc","OK")</f>
        <v>OK</v>
      </c>
      <c r="L24" s="11">
        <f>SUMIFS(OrderLines[Revenue],OrderLines[OrderID],Orders[[#This Row],[OrderID]])-SUMIFS(OrderLines[FoodCost],OrderLines[OrderID],Orders[[#This Row],[OrderID]])</f>
        <v>122.16200000000002</v>
      </c>
      <c r="M24" s="5">
        <f>Orders[[#This Row],[GrossProfit]]/Orders[[#This Row],[OrderTotal]]</f>
        <v>0.50429735553702504</v>
      </c>
      <c r="N24" s="17" t="b">
        <f>COUNTIFS(OrderLines[OrderID],Orders[[#This Row],[OrderID]],OrderLines[Category],"Hot Meal")&gt;0</f>
        <v>1</v>
      </c>
      <c r="O24" s="17" t="b">
        <f>COUNTIFS(OrderLines[OrderID],Orders[[#This Row],[OrderID]],OrderLines[Category],"Snack")&gt;0</f>
        <v>0</v>
      </c>
      <c r="P24" s="17" t="b">
        <f>COUNTIFS(OrderLines[OrderID],Orders[[#This Row],[OrderID]],OrderLines[Category],"Dessert")&gt;0</f>
        <v>0</v>
      </c>
      <c r="Q24" s="11">
        <f>Orders[[#This Row],[OrderTotal]]-Orders[[#This Row],[GrossProfit]]</f>
        <v>120.08</v>
      </c>
    </row>
    <row r="25" spans="1:17" x14ac:dyDescent="0.25">
      <c r="A25" t="s">
        <v>54</v>
      </c>
      <c r="B25" s="1">
        <v>45893.911249999997</v>
      </c>
      <c r="C25" t="s">
        <v>27</v>
      </c>
      <c r="D25" t="s">
        <v>28</v>
      </c>
      <c r="E25" t="s">
        <v>11</v>
      </c>
      <c r="F25" t="s">
        <v>18</v>
      </c>
      <c r="G25" s="5">
        <v>0.11</v>
      </c>
      <c r="H25" t="b">
        <f>COUNTIFS(OrderLines[OrderID],Orders[[#This Row],[OrderID]],OrderLines[Category],"Beverage")&gt;0</f>
        <v>0</v>
      </c>
      <c r="I25">
        <f>SUMIFS(OrderLines[Revenue],OrderLines[OrderID],Orders[[#This Row],[OrderID]])</f>
        <v>390.88800000000003</v>
      </c>
      <c r="J25" t="str">
        <f>IF(AND(COUNTIFS(OrderLines[OrderID],Orders[[#This Row],[OrderID]],OrderLines[Category],"Hot Meal")&gt;0,COUNTIFS(OrderLines[OrderID],Orders[[#This Row],[OrderID]],OrderLines[Category],"Beverage")&gt;0),"Combo","Single")</f>
        <v>Single</v>
      </c>
      <c r="K25" s="17" t="str">
        <f>IF(SUMPRODUCT((OrderLines[OrderID]=Orders[[#This Row],[OrderID]])*OrderLines[Qty]*OrderLines[UnitPrice])*Orders[[#This Row],[DiscountPct]]&gt;40,"HighDisc","OK")</f>
        <v>HighDisc</v>
      </c>
      <c r="L25" s="11">
        <f>SUMIFS(OrderLines[Revenue],OrderLines[OrderID],Orders[[#This Row],[OrderID]])-SUMIFS(OrderLines[FoodCost],OrderLines[OrderID],Orders[[#This Row],[OrderID]])</f>
        <v>148.12800000000004</v>
      </c>
      <c r="M25" s="5">
        <f>Orders[[#This Row],[GrossProfit]]/Orders[[#This Row],[OrderTotal]]</f>
        <v>0.37895253883465346</v>
      </c>
      <c r="N25" s="17" t="b">
        <f>COUNTIFS(OrderLines[OrderID],Orders[[#This Row],[OrderID]],OrderLines[Category],"Hot Meal")&gt;0</f>
        <v>1</v>
      </c>
      <c r="O25" s="17" t="b">
        <f>COUNTIFS(OrderLines[OrderID],Orders[[#This Row],[OrderID]],OrderLines[Category],"Snack")&gt;0</f>
        <v>0</v>
      </c>
      <c r="P25" s="17" t="b">
        <f>COUNTIFS(OrderLines[OrderID],Orders[[#This Row],[OrderID]],OrderLines[Category],"Dessert")&gt;0</f>
        <v>0</v>
      </c>
      <c r="Q25" s="11">
        <f>Orders[[#This Row],[OrderTotal]]-Orders[[#This Row],[GrossProfit]]</f>
        <v>242.76</v>
      </c>
    </row>
    <row r="26" spans="1:17" x14ac:dyDescent="0.25">
      <c r="A26" t="s">
        <v>56</v>
      </c>
      <c r="B26" s="1">
        <v>45888.366527777784</v>
      </c>
      <c r="C26" t="s">
        <v>15</v>
      </c>
      <c r="D26" t="s">
        <v>28</v>
      </c>
      <c r="E26" t="s">
        <v>21</v>
      </c>
      <c r="F26" t="s">
        <v>12</v>
      </c>
      <c r="G26" s="5">
        <v>0.06</v>
      </c>
      <c r="H26" t="b">
        <f>COUNTIFS(OrderLines[OrderID],Orders[[#This Row],[OrderID]],OrderLines[Category],"Beverage")&gt;0</f>
        <v>0</v>
      </c>
      <c r="I26">
        <f>SUMIFS(OrderLines[Revenue],OrderLines[OrderID],Orders[[#This Row],[OrderID]])</f>
        <v>47.178599999999996</v>
      </c>
      <c r="J26" t="str">
        <f>IF(AND(COUNTIFS(OrderLines[OrderID],Orders[[#This Row],[OrderID]],OrderLines[Category],"Hot Meal")&gt;0,COUNTIFS(OrderLines[OrderID],Orders[[#This Row],[OrderID]],OrderLines[Category],"Beverage")&gt;0),"Combo","Single")</f>
        <v>Single</v>
      </c>
      <c r="K26" s="17" t="str">
        <f>IF(SUMPRODUCT((OrderLines[OrderID]=Orders[[#This Row],[OrderID]])*OrderLines[Qty]*OrderLines[UnitPrice])*Orders[[#This Row],[DiscountPct]]&gt;40,"HighDisc","OK")</f>
        <v>OK</v>
      </c>
      <c r="L26" s="11">
        <f>SUMIFS(OrderLines[Revenue],OrderLines[OrderID],Orders[[#This Row],[OrderID]])-SUMIFS(OrderLines[FoodCost],OrderLines[OrderID],Orders[[#This Row],[OrderID]])</f>
        <v>24.568599999999996</v>
      </c>
      <c r="M26" s="5">
        <f>Orders[[#This Row],[GrossProfit]]/Orders[[#This Row],[OrderTotal]]</f>
        <v>0.52075729250126113</v>
      </c>
      <c r="N26" s="17" t="b">
        <f>COUNTIFS(OrderLines[OrderID],Orders[[#This Row],[OrderID]],OrderLines[Category],"Hot Meal")&gt;0</f>
        <v>0</v>
      </c>
      <c r="O26" s="17" t="b">
        <f>COUNTIFS(OrderLines[OrderID],Orders[[#This Row],[OrderID]],OrderLines[Category],"Snack")&gt;0</f>
        <v>1</v>
      </c>
      <c r="P26" s="17" t="b">
        <f>COUNTIFS(OrderLines[OrderID],Orders[[#This Row],[OrderID]],OrderLines[Category],"Dessert")&gt;0</f>
        <v>0</v>
      </c>
      <c r="Q26" s="11">
        <f>Orders[[#This Row],[OrderTotal]]-Orders[[#This Row],[GrossProfit]]</f>
        <v>22.61</v>
      </c>
    </row>
    <row r="27" spans="1:17" x14ac:dyDescent="0.25">
      <c r="A27" t="s">
        <v>57</v>
      </c>
      <c r="B27" s="1">
        <v>45862.967662037037</v>
      </c>
      <c r="C27" t="s">
        <v>15</v>
      </c>
      <c r="D27" t="s">
        <v>16</v>
      </c>
      <c r="E27" t="s">
        <v>17</v>
      </c>
      <c r="F27" t="s">
        <v>18</v>
      </c>
      <c r="G27" s="5">
        <v>0.1</v>
      </c>
      <c r="H27" t="b">
        <f>COUNTIFS(OrderLines[OrderID],Orders[[#This Row],[OrderID]],OrderLines[Category],"Beverage")&gt;0</f>
        <v>0</v>
      </c>
      <c r="I27">
        <f>SUMIFS(OrderLines[Revenue],OrderLines[OrderID],Orders[[#This Row],[OrderID]])</f>
        <v>81.459000000000003</v>
      </c>
      <c r="J27" t="str">
        <f>IF(AND(COUNTIFS(OrderLines[OrderID],Orders[[#This Row],[OrderID]],OrderLines[Category],"Hot Meal")&gt;0,COUNTIFS(OrderLines[OrderID],Orders[[#This Row],[OrderID]],OrderLines[Category],"Beverage")&gt;0),"Combo","Single")</f>
        <v>Single</v>
      </c>
      <c r="K27" s="17" t="str">
        <f>IF(SUMPRODUCT((OrderLines[OrderID]=Orders[[#This Row],[OrderID]])*OrderLines[Qty]*OrderLines[UnitPrice])*Orders[[#This Row],[DiscountPct]]&gt;40,"HighDisc","OK")</f>
        <v>OK</v>
      </c>
      <c r="L27" s="11">
        <f>SUMIFS(OrderLines[Revenue],OrderLines[OrderID],Orders[[#This Row],[OrderID]])-SUMIFS(OrderLines[FoodCost],OrderLines[OrderID],Orders[[#This Row],[OrderID]])</f>
        <v>36.109000000000002</v>
      </c>
      <c r="M27" s="5">
        <f>Orders[[#This Row],[GrossProfit]]/Orders[[#This Row],[OrderTotal]]</f>
        <v>0.44327821357983771</v>
      </c>
      <c r="N27" s="17" t="b">
        <f>COUNTIFS(OrderLines[OrderID],Orders[[#This Row],[OrderID]],OrderLines[Category],"Hot Meal")&gt;0</f>
        <v>0</v>
      </c>
      <c r="O27" s="17" t="b">
        <f>COUNTIFS(OrderLines[OrderID],Orders[[#This Row],[OrderID]],OrderLines[Category],"Snack")&gt;0</f>
        <v>1</v>
      </c>
      <c r="P27" s="17" t="b">
        <f>COUNTIFS(OrderLines[OrderID],Orders[[#This Row],[OrderID]],OrderLines[Category],"Dessert")&gt;0</f>
        <v>0</v>
      </c>
      <c r="Q27" s="11">
        <f>Orders[[#This Row],[OrderTotal]]-Orders[[#This Row],[GrossProfit]]</f>
        <v>45.35</v>
      </c>
    </row>
    <row r="28" spans="1:17" x14ac:dyDescent="0.25">
      <c r="A28" t="s">
        <v>58</v>
      </c>
      <c r="B28" s="1">
        <v>45891.991226851853</v>
      </c>
      <c r="C28" t="s">
        <v>9</v>
      </c>
      <c r="D28" t="s">
        <v>16</v>
      </c>
      <c r="E28" t="s">
        <v>11</v>
      </c>
      <c r="F28" t="s">
        <v>18</v>
      </c>
      <c r="G28" s="5">
        <v>7.0000000000000007E-2</v>
      </c>
      <c r="H28" t="b">
        <f>COUNTIFS(OrderLines[OrderID],Orders[[#This Row],[OrderID]],OrderLines[Category],"Beverage")&gt;0</f>
        <v>1</v>
      </c>
      <c r="I28">
        <f>SUMIFS(OrderLines[Revenue],OrderLines[OrderID],Orders[[#This Row],[OrderID]])</f>
        <v>839.84580000000005</v>
      </c>
      <c r="J28" t="str">
        <f>IF(AND(COUNTIFS(OrderLines[OrderID],Orders[[#This Row],[OrderID]],OrderLines[Category],"Hot Meal")&gt;0,COUNTIFS(OrderLines[OrderID],Orders[[#This Row],[OrderID]],OrderLines[Category],"Beverage")&gt;0),"Combo","Single")</f>
        <v>Combo</v>
      </c>
      <c r="K28" s="17" t="str">
        <f>IF(SUMPRODUCT((OrderLines[OrderID]=Orders[[#This Row],[OrderID]])*OrderLines[Qty]*OrderLines[UnitPrice])*Orders[[#This Row],[DiscountPct]]&gt;40,"HighDisc","OK")</f>
        <v>HighDisc</v>
      </c>
      <c r="L28" s="11">
        <f>SUMIFS(OrderLines[Revenue],OrderLines[OrderID],Orders[[#This Row],[OrderID]])-SUMIFS(OrderLines[FoodCost],OrderLines[OrderID],Orders[[#This Row],[OrderID]])</f>
        <v>433.09580000000011</v>
      </c>
      <c r="M28" s="5">
        <f>Orders[[#This Row],[GrossProfit]]/Orders[[#This Row],[OrderTotal]]</f>
        <v>0.51568490310959469</v>
      </c>
      <c r="N28" s="17" t="b">
        <f>COUNTIFS(OrderLines[OrderID],Orders[[#This Row],[OrderID]],OrderLines[Category],"Hot Meal")&gt;0</f>
        <v>1</v>
      </c>
      <c r="O28" s="17" t="b">
        <f>COUNTIFS(OrderLines[OrderID],Orders[[#This Row],[OrderID]],OrderLines[Category],"Snack")&gt;0</f>
        <v>0</v>
      </c>
      <c r="P28" s="17" t="b">
        <f>COUNTIFS(OrderLines[OrderID],Orders[[#This Row],[OrderID]],OrderLines[Category],"Dessert")&gt;0</f>
        <v>1</v>
      </c>
      <c r="Q28" s="11">
        <f>Orders[[#This Row],[OrderTotal]]-Orders[[#This Row],[GrossProfit]]</f>
        <v>406.74999999999994</v>
      </c>
    </row>
    <row r="29" spans="1:17" x14ac:dyDescent="0.25">
      <c r="A29" t="s">
        <v>59</v>
      </c>
      <c r="B29" s="1">
        <v>45840.00953703704</v>
      </c>
      <c r="C29" t="s">
        <v>9</v>
      </c>
      <c r="D29" t="s">
        <v>10</v>
      </c>
      <c r="E29" t="s">
        <v>21</v>
      </c>
      <c r="F29" t="s">
        <v>12</v>
      </c>
      <c r="G29" s="5">
        <v>0.03</v>
      </c>
      <c r="H29" t="b">
        <f>COUNTIFS(OrderLines[OrderID],Orders[[#This Row],[OrderID]],OrderLines[Category],"Beverage")&gt;0</f>
        <v>1</v>
      </c>
      <c r="I29">
        <f>SUMIFS(OrderLines[Revenue],OrderLines[OrderID],Orders[[#This Row],[OrderID]])</f>
        <v>382.71350000000001</v>
      </c>
      <c r="J29" t="str">
        <f>IF(AND(COUNTIFS(OrderLines[OrderID],Orders[[#This Row],[OrderID]],OrderLines[Category],"Hot Meal")&gt;0,COUNTIFS(OrderLines[OrderID],Orders[[#This Row],[OrderID]],OrderLines[Category],"Beverage")&gt;0),"Combo","Single")</f>
        <v>Single</v>
      </c>
      <c r="K29" s="17" t="str">
        <f>IF(SUMPRODUCT((OrderLines[OrderID]=Orders[[#This Row],[OrderID]])*OrderLines[Qty]*OrderLines[UnitPrice])*Orders[[#This Row],[DiscountPct]]&gt;40,"HighDisc","OK")</f>
        <v>OK</v>
      </c>
      <c r="L29" s="11">
        <f>SUMIFS(OrderLines[Revenue],OrderLines[OrderID],Orders[[#This Row],[OrderID]])-SUMIFS(OrderLines[FoodCost],OrderLines[OrderID],Orders[[#This Row],[OrderID]])</f>
        <v>210.3535</v>
      </c>
      <c r="M29" s="5">
        <f>Orders[[#This Row],[GrossProfit]]/Orders[[#This Row],[OrderTotal]]</f>
        <v>0.54963700000130644</v>
      </c>
      <c r="N29" s="17" t="b">
        <f>COUNTIFS(OrderLines[OrderID],Orders[[#This Row],[OrderID]],OrderLines[Category],"Hot Meal")&gt;0</f>
        <v>0</v>
      </c>
      <c r="O29" s="17" t="b">
        <f>COUNTIFS(OrderLines[OrderID],Orders[[#This Row],[OrderID]],OrderLines[Category],"Snack")&gt;0</f>
        <v>1</v>
      </c>
      <c r="P29" s="17" t="b">
        <f>COUNTIFS(OrderLines[OrderID],Orders[[#This Row],[OrderID]],OrderLines[Category],"Dessert")&gt;0</f>
        <v>1</v>
      </c>
      <c r="Q29" s="11">
        <f>Orders[[#This Row],[OrderTotal]]-Orders[[#This Row],[GrossProfit]]</f>
        <v>172.36</v>
      </c>
    </row>
    <row r="30" spans="1:17" x14ac:dyDescent="0.25">
      <c r="A30" t="s">
        <v>60</v>
      </c>
      <c r="B30" s="1">
        <v>45852.288368055553</v>
      </c>
      <c r="C30" t="s">
        <v>15</v>
      </c>
      <c r="D30" t="s">
        <v>28</v>
      </c>
      <c r="E30" t="s">
        <v>17</v>
      </c>
      <c r="F30" t="s">
        <v>12</v>
      </c>
      <c r="G30" s="5">
        <v>7.0000000000000007E-2</v>
      </c>
      <c r="H30" t="b">
        <f>COUNTIFS(OrderLines[OrderID],Orders[[#This Row],[OrderID]],OrderLines[Category],"Beverage")&gt;0</f>
        <v>0</v>
      </c>
      <c r="I30">
        <f>SUMIFS(OrderLines[Revenue],OrderLines[OrderID],Orders[[#This Row],[OrderID]])</f>
        <v>140.03009999999998</v>
      </c>
      <c r="J30" t="str">
        <f>IF(AND(COUNTIFS(OrderLines[OrderID],Orders[[#This Row],[OrderID]],OrderLines[Category],"Hot Meal")&gt;0,COUNTIFS(OrderLines[OrderID],Orders[[#This Row],[OrderID]],OrderLines[Category],"Beverage")&gt;0),"Combo","Single")</f>
        <v>Single</v>
      </c>
      <c r="K30" s="17" t="str">
        <f>IF(SUMPRODUCT((OrderLines[OrderID]=Orders[[#This Row],[OrderID]])*OrderLines[Qty]*OrderLines[UnitPrice])*Orders[[#This Row],[DiscountPct]]&gt;40,"HighDisc","OK")</f>
        <v>OK</v>
      </c>
      <c r="L30" s="11">
        <f>SUMIFS(OrderLines[Revenue],OrderLines[OrderID],Orders[[#This Row],[OrderID]])-SUMIFS(OrderLines[FoodCost],OrderLines[OrderID],Orders[[#This Row],[OrderID]])</f>
        <v>72.200099999999978</v>
      </c>
      <c r="M30" s="5">
        <f>Orders[[#This Row],[GrossProfit]]/Orders[[#This Row],[OrderTotal]]</f>
        <v>0.51560414510880148</v>
      </c>
      <c r="N30" s="17" t="b">
        <f>COUNTIFS(OrderLines[OrderID],Orders[[#This Row],[OrderID]],OrderLines[Category],"Hot Meal")&gt;0</f>
        <v>0</v>
      </c>
      <c r="O30" s="17" t="b">
        <f>COUNTIFS(OrderLines[OrderID],Orders[[#This Row],[OrderID]],OrderLines[Category],"Snack")&gt;0</f>
        <v>1</v>
      </c>
      <c r="P30" s="17" t="b">
        <f>COUNTIFS(OrderLines[OrderID],Orders[[#This Row],[OrderID]],OrderLines[Category],"Dessert")&gt;0</f>
        <v>0</v>
      </c>
      <c r="Q30" s="11">
        <f>Orders[[#This Row],[OrderTotal]]-Orders[[#This Row],[GrossProfit]]</f>
        <v>67.83</v>
      </c>
    </row>
    <row r="31" spans="1:17" x14ac:dyDescent="0.25">
      <c r="A31" t="s">
        <v>62</v>
      </c>
      <c r="B31" s="1">
        <v>45854.342488425929</v>
      </c>
      <c r="C31" t="s">
        <v>15</v>
      </c>
      <c r="D31" t="s">
        <v>16</v>
      </c>
      <c r="E31" t="s">
        <v>11</v>
      </c>
      <c r="F31" t="s">
        <v>12</v>
      </c>
      <c r="G31" s="5">
        <v>0.12</v>
      </c>
      <c r="H31" t="b">
        <f>COUNTIFS(OrderLines[OrderID],Orders[[#This Row],[OrderID]],OrderLines[Category],"Beverage")&gt;0</f>
        <v>1</v>
      </c>
      <c r="I31">
        <f>SUMIFS(OrderLines[Revenue],OrderLines[OrderID],Orders[[#This Row],[OrderID]])</f>
        <v>365.72800000000001</v>
      </c>
      <c r="J31" t="str">
        <f>IF(AND(COUNTIFS(OrderLines[OrderID],Orders[[#This Row],[OrderID]],OrderLines[Category],"Hot Meal")&gt;0,COUNTIFS(OrderLines[OrderID],Orders[[#This Row],[OrderID]],OrderLines[Category],"Beverage")&gt;0),"Combo","Single")</f>
        <v>Combo</v>
      </c>
      <c r="K31" s="17" t="str">
        <f>IF(SUMPRODUCT((OrderLines[OrderID]=Orders[[#This Row],[OrderID]])*OrderLines[Qty]*OrderLines[UnitPrice])*Orders[[#This Row],[DiscountPct]]&gt;40,"HighDisc","OK")</f>
        <v>HighDisc</v>
      </c>
      <c r="L31" s="11">
        <f>SUMIFS(OrderLines[Revenue],OrderLines[OrderID],Orders[[#This Row],[OrderID]])-SUMIFS(OrderLines[FoodCost],OrderLines[OrderID],Orders[[#This Row],[OrderID]])</f>
        <v>168.13800000000001</v>
      </c>
      <c r="M31" s="5">
        <f>Orders[[#This Row],[GrossProfit]]/Orders[[#This Row],[OrderTotal]]</f>
        <v>0.45973510368361187</v>
      </c>
      <c r="N31" s="17" t="b">
        <f>COUNTIFS(OrderLines[OrderID],Orders[[#This Row],[OrderID]],OrderLines[Category],"Hot Meal")&gt;0</f>
        <v>1</v>
      </c>
      <c r="O31" s="17" t="b">
        <f>COUNTIFS(OrderLines[OrderID],Orders[[#This Row],[OrderID]],OrderLines[Category],"Snack")&gt;0</f>
        <v>1</v>
      </c>
      <c r="P31" s="17" t="b">
        <f>COUNTIFS(OrderLines[OrderID],Orders[[#This Row],[OrderID]],OrderLines[Category],"Dessert")&gt;0</f>
        <v>0</v>
      </c>
      <c r="Q31" s="11">
        <f>Orders[[#This Row],[OrderTotal]]-Orders[[#This Row],[GrossProfit]]</f>
        <v>197.59</v>
      </c>
    </row>
    <row r="32" spans="1:17" x14ac:dyDescent="0.25">
      <c r="A32" t="s">
        <v>63</v>
      </c>
      <c r="B32" s="1">
        <v>45872.540370370371</v>
      </c>
      <c r="C32" t="s">
        <v>27</v>
      </c>
      <c r="D32" t="s">
        <v>10</v>
      </c>
      <c r="E32" t="s">
        <v>11</v>
      </c>
      <c r="F32" t="s">
        <v>22</v>
      </c>
      <c r="G32" s="5">
        <v>0.06</v>
      </c>
      <c r="H32" t="b">
        <f>COUNTIFS(OrderLines[OrderID],Orders[[#This Row],[OrderID]],OrderLines[Category],"Beverage")&gt;0</f>
        <v>0</v>
      </c>
      <c r="I32">
        <f>SUMIFS(OrderLines[Revenue],OrderLines[OrderID],Orders[[#This Row],[OrderID]])</f>
        <v>435.97199999999992</v>
      </c>
      <c r="J32" t="str">
        <f>IF(AND(COUNTIFS(OrderLines[OrderID],Orders[[#This Row],[OrderID]],OrderLines[Category],"Hot Meal")&gt;0,COUNTIFS(OrderLines[OrderID],Orders[[#This Row],[OrderID]],OrderLines[Category],"Beverage")&gt;0),"Combo","Single")</f>
        <v>Single</v>
      </c>
      <c r="K32" s="17" t="str">
        <f>IF(SUMPRODUCT((OrderLines[OrderID]=Orders[[#This Row],[OrderID]])*OrderLines[Qty]*OrderLines[UnitPrice])*Orders[[#This Row],[DiscountPct]]&gt;40,"HighDisc","OK")</f>
        <v>OK</v>
      </c>
      <c r="L32" s="11">
        <f>SUMIFS(OrderLines[Revenue],OrderLines[OrderID],Orders[[#This Row],[OrderID]])-SUMIFS(OrderLines[FoodCost],OrderLines[OrderID],Orders[[#This Row],[OrderID]])</f>
        <v>203.21199999999993</v>
      </c>
      <c r="M32" s="5">
        <f>Orders[[#This Row],[GrossProfit]]/Orders[[#This Row],[OrderTotal]]</f>
        <v>0.46611250263778403</v>
      </c>
      <c r="N32" s="17" t="b">
        <f>COUNTIFS(OrderLines[OrderID],Orders[[#This Row],[OrderID]],OrderLines[Category],"Hot Meal")&gt;0</f>
        <v>1</v>
      </c>
      <c r="O32" s="17" t="b">
        <f>COUNTIFS(OrderLines[OrderID],Orders[[#This Row],[OrderID]],OrderLines[Category],"Snack")&gt;0</f>
        <v>0</v>
      </c>
      <c r="P32" s="17" t="b">
        <f>COUNTIFS(OrderLines[OrderID],Orders[[#This Row],[OrderID]],OrderLines[Category],"Dessert")&gt;0</f>
        <v>1</v>
      </c>
      <c r="Q32" s="11">
        <f>Orders[[#This Row],[OrderTotal]]-Orders[[#This Row],[GrossProfit]]</f>
        <v>232.76</v>
      </c>
    </row>
    <row r="33" spans="1:17" x14ac:dyDescent="0.25">
      <c r="A33" t="s">
        <v>65</v>
      </c>
      <c r="B33" s="1">
        <v>45888.320347222223</v>
      </c>
      <c r="C33" t="s">
        <v>15</v>
      </c>
      <c r="D33" t="s">
        <v>16</v>
      </c>
      <c r="E33" t="s">
        <v>17</v>
      </c>
      <c r="F33" t="s">
        <v>12</v>
      </c>
      <c r="G33" s="5">
        <v>0.12</v>
      </c>
      <c r="H33" t="b">
        <f>COUNTIFS(OrderLines[OrderID],Orders[[#This Row],[OrderID]],OrderLines[Category],"Beverage")&gt;0</f>
        <v>1</v>
      </c>
      <c r="I33">
        <f>SUMIFS(OrderLines[Revenue],OrderLines[OrderID],Orders[[#This Row],[OrderID]])</f>
        <v>466.18879999999996</v>
      </c>
      <c r="J33" t="str">
        <f>IF(AND(COUNTIFS(OrderLines[OrderID],Orders[[#This Row],[OrderID]],OrderLines[Category],"Hot Meal")&gt;0,COUNTIFS(OrderLines[OrderID],Orders[[#This Row],[OrderID]],OrderLines[Category],"Beverage")&gt;0),"Combo","Single")</f>
        <v>Combo</v>
      </c>
      <c r="K33" s="17" t="str">
        <f>IF(SUMPRODUCT((OrderLines[OrderID]=Orders[[#This Row],[OrderID]])*OrderLines[Qty]*OrderLines[UnitPrice])*Orders[[#This Row],[DiscountPct]]&gt;40,"HighDisc","OK")</f>
        <v>HighDisc</v>
      </c>
      <c r="L33" s="11">
        <f>SUMIFS(OrderLines[Revenue],OrderLines[OrderID],Orders[[#This Row],[OrderID]])-SUMIFS(OrderLines[FoodCost],OrderLines[OrderID],Orders[[#This Row],[OrderID]])</f>
        <v>209.74879999999996</v>
      </c>
      <c r="M33" s="5">
        <f>Orders[[#This Row],[GrossProfit]]/Orders[[#This Row],[OrderTotal]]</f>
        <v>0.44992243485900985</v>
      </c>
      <c r="N33" s="17" t="b">
        <f>COUNTIFS(OrderLines[OrderID],Orders[[#This Row],[OrderID]],OrderLines[Category],"Hot Meal")&gt;0</f>
        <v>1</v>
      </c>
      <c r="O33" s="17" t="b">
        <f>COUNTIFS(OrderLines[OrderID],Orders[[#This Row],[OrderID]],OrderLines[Category],"Snack")&gt;0</f>
        <v>0</v>
      </c>
      <c r="P33" s="17" t="b">
        <f>COUNTIFS(OrderLines[OrderID],Orders[[#This Row],[OrderID]],OrderLines[Category],"Dessert")&gt;0</f>
        <v>1</v>
      </c>
      <c r="Q33" s="11">
        <f>Orders[[#This Row],[OrderTotal]]-Orders[[#This Row],[GrossProfit]]</f>
        <v>256.44</v>
      </c>
    </row>
    <row r="34" spans="1:17" x14ac:dyDescent="0.25">
      <c r="A34" t="s">
        <v>66</v>
      </c>
      <c r="B34" s="1">
        <v>45880.375127314823</v>
      </c>
      <c r="C34" t="s">
        <v>15</v>
      </c>
      <c r="D34" t="s">
        <v>28</v>
      </c>
      <c r="E34" t="s">
        <v>17</v>
      </c>
      <c r="F34" t="s">
        <v>12</v>
      </c>
      <c r="G34" s="5">
        <v>0</v>
      </c>
      <c r="H34" t="b">
        <f>COUNTIFS(OrderLines[OrderID],Orders[[#This Row],[OrderID]],OrderLines[Category],"Beverage")&gt;0</f>
        <v>0</v>
      </c>
      <c r="I34">
        <f>SUMIFS(OrderLines[Revenue],OrderLines[OrderID],Orders[[#This Row],[OrderID]])</f>
        <v>390.34999999999997</v>
      </c>
      <c r="J34" t="str">
        <f>IF(AND(COUNTIFS(OrderLines[OrderID],Orders[[#This Row],[OrderID]],OrderLines[Category],"Hot Meal")&gt;0,COUNTIFS(OrderLines[OrderID],Orders[[#This Row],[OrderID]],OrderLines[Category],"Beverage")&gt;0),"Combo","Single")</f>
        <v>Single</v>
      </c>
      <c r="K34" s="17" t="str">
        <f>IF(SUMPRODUCT((OrderLines[OrderID]=Orders[[#This Row],[OrderID]])*OrderLines[Qty]*OrderLines[UnitPrice])*Orders[[#This Row],[DiscountPct]]&gt;40,"HighDisc","OK")</f>
        <v>OK</v>
      </c>
      <c r="L34" s="11">
        <f>SUMIFS(OrderLines[Revenue],OrderLines[OrderID],Orders[[#This Row],[OrderID]])-SUMIFS(OrderLines[FoodCost],OrderLines[OrderID],Orders[[#This Row],[OrderID]])</f>
        <v>227.92999999999998</v>
      </c>
      <c r="M34" s="5">
        <f>Orders[[#This Row],[GrossProfit]]/Orders[[#This Row],[OrderTotal]]</f>
        <v>0.58391187395926736</v>
      </c>
      <c r="N34" s="17" t="b">
        <f>COUNTIFS(OrderLines[OrderID],Orders[[#This Row],[OrderID]],OrderLines[Category],"Hot Meal")&gt;0</f>
        <v>0</v>
      </c>
      <c r="O34" s="17" t="b">
        <f>COUNTIFS(OrderLines[OrderID],Orders[[#This Row],[OrderID]],OrderLines[Category],"Snack")&gt;0</f>
        <v>1</v>
      </c>
      <c r="P34" s="17" t="b">
        <f>COUNTIFS(OrderLines[OrderID],Orders[[#This Row],[OrderID]],OrderLines[Category],"Dessert")&gt;0</f>
        <v>1</v>
      </c>
      <c r="Q34" s="11">
        <f>Orders[[#This Row],[OrderTotal]]-Orders[[#This Row],[GrossProfit]]</f>
        <v>162.41999999999999</v>
      </c>
    </row>
    <row r="35" spans="1:17" x14ac:dyDescent="0.25">
      <c r="A35" t="s">
        <v>67</v>
      </c>
      <c r="B35" s="1">
        <v>45851.951319444437</v>
      </c>
      <c r="C35" t="s">
        <v>9</v>
      </c>
      <c r="D35" t="s">
        <v>16</v>
      </c>
      <c r="E35" t="s">
        <v>17</v>
      </c>
      <c r="F35" t="s">
        <v>18</v>
      </c>
      <c r="G35" s="5">
        <v>0.09</v>
      </c>
      <c r="H35" t="b">
        <f>COUNTIFS(OrderLines[OrderID],Orders[[#This Row],[OrderID]],OrderLines[Category],"Beverage")&gt;0</f>
        <v>1</v>
      </c>
      <c r="I35">
        <f>SUMIFS(OrderLines[Revenue],OrderLines[OrderID],Orders[[#This Row],[OrderID]])</f>
        <v>86.568299999999994</v>
      </c>
      <c r="J35" t="str">
        <f>IF(AND(COUNTIFS(OrderLines[OrderID],Orders[[#This Row],[OrderID]],OrderLines[Category],"Hot Meal")&gt;0,COUNTIFS(OrderLines[OrderID],Orders[[#This Row],[OrderID]],OrderLines[Category],"Beverage")&gt;0),"Combo","Single")</f>
        <v>Single</v>
      </c>
      <c r="K35" s="17" t="str">
        <f>IF(SUMPRODUCT((OrderLines[OrderID]=Orders[[#This Row],[OrderID]])*OrderLines[Qty]*OrderLines[UnitPrice])*Orders[[#This Row],[DiscountPct]]&gt;40,"HighDisc","OK")</f>
        <v>OK</v>
      </c>
      <c r="L35" s="11">
        <f>SUMIFS(OrderLines[Revenue],OrderLines[OrderID],Orders[[#This Row],[OrderID]])-SUMIFS(OrderLines[FoodCost],OrderLines[OrderID],Orders[[#This Row],[OrderID]])</f>
        <v>49.83829999999999</v>
      </c>
      <c r="M35" s="5">
        <f>Orders[[#This Row],[GrossProfit]]/Orders[[#This Row],[OrderTotal]]</f>
        <v>0.57571073938150563</v>
      </c>
      <c r="N35" s="17" t="b">
        <f>COUNTIFS(OrderLines[OrderID],Orders[[#This Row],[OrderID]],OrderLines[Category],"Hot Meal")&gt;0</f>
        <v>0</v>
      </c>
      <c r="O35" s="17" t="b">
        <f>COUNTIFS(OrderLines[OrderID],Orders[[#This Row],[OrderID]],OrderLines[Category],"Snack")&gt;0</f>
        <v>1</v>
      </c>
      <c r="P35" s="17" t="b">
        <f>COUNTIFS(OrderLines[OrderID],Orders[[#This Row],[OrderID]],OrderLines[Category],"Dessert")&gt;0</f>
        <v>0</v>
      </c>
      <c r="Q35" s="11">
        <f>Orders[[#This Row],[OrderTotal]]-Orders[[#This Row],[GrossProfit]]</f>
        <v>36.730000000000004</v>
      </c>
    </row>
    <row r="36" spans="1:17" x14ac:dyDescent="0.25">
      <c r="A36" t="s">
        <v>68</v>
      </c>
      <c r="B36" s="1">
        <v>45892.812847222223</v>
      </c>
      <c r="C36" t="s">
        <v>9</v>
      </c>
      <c r="D36" t="s">
        <v>16</v>
      </c>
      <c r="E36" t="s">
        <v>11</v>
      </c>
      <c r="F36" t="s">
        <v>18</v>
      </c>
      <c r="G36" s="5">
        <v>0.06</v>
      </c>
      <c r="H36" t="b">
        <f>COUNTIFS(OrderLines[OrderID],Orders[[#This Row],[OrderID]],OrderLines[Category],"Beverage")&gt;0</f>
        <v>1</v>
      </c>
      <c r="I36">
        <f>SUMIFS(OrderLines[Revenue],OrderLines[OrderID],Orders[[#This Row],[OrderID]])</f>
        <v>636.38</v>
      </c>
      <c r="J36" t="str">
        <f>IF(AND(COUNTIFS(OrderLines[OrderID],Orders[[#This Row],[OrderID]],OrderLines[Category],"Hot Meal")&gt;0,COUNTIFS(OrderLines[OrderID],Orders[[#This Row],[OrderID]],OrderLines[Category],"Beverage")&gt;0),"Combo","Single")</f>
        <v>Combo</v>
      </c>
      <c r="K36" s="17" t="str">
        <f>IF(SUMPRODUCT((OrderLines[OrderID]=Orders[[#This Row],[OrderID]])*OrderLines[Qty]*OrderLines[UnitPrice])*Orders[[#This Row],[DiscountPct]]&gt;40,"HighDisc","OK")</f>
        <v>HighDisc</v>
      </c>
      <c r="L36" s="11">
        <f>SUMIFS(OrderLines[Revenue],OrderLines[OrderID],Orders[[#This Row],[OrderID]])-SUMIFS(OrderLines[FoodCost],OrderLines[OrderID],Orders[[#This Row],[OrderID]])</f>
        <v>342.85</v>
      </c>
      <c r="M36" s="5">
        <f>Orders[[#This Row],[GrossProfit]]/Orders[[#This Row],[OrderTotal]]</f>
        <v>0.53875043213174523</v>
      </c>
      <c r="N36" s="17" t="b">
        <f>COUNTIFS(OrderLines[OrderID],Orders[[#This Row],[OrderID]],OrderLines[Category],"Hot Meal")&gt;0</f>
        <v>1</v>
      </c>
      <c r="O36" s="17" t="b">
        <f>COUNTIFS(OrderLines[OrderID],Orders[[#This Row],[OrderID]],OrderLines[Category],"Snack")&gt;0</f>
        <v>0</v>
      </c>
      <c r="P36" s="17" t="b">
        <f>COUNTIFS(OrderLines[OrderID],Orders[[#This Row],[OrderID]],OrderLines[Category],"Dessert")&gt;0</f>
        <v>1</v>
      </c>
      <c r="Q36" s="11">
        <f>Orders[[#This Row],[OrderTotal]]-Orders[[#This Row],[GrossProfit]]</f>
        <v>293.52999999999997</v>
      </c>
    </row>
    <row r="37" spans="1:17" x14ac:dyDescent="0.25">
      <c r="A37" t="s">
        <v>70</v>
      </c>
      <c r="B37" s="1">
        <v>45850.111875000002</v>
      </c>
      <c r="C37" t="s">
        <v>27</v>
      </c>
      <c r="D37" t="s">
        <v>10</v>
      </c>
      <c r="E37" t="s">
        <v>17</v>
      </c>
      <c r="F37" t="s">
        <v>12</v>
      </c>
      <c r="G37" s="5">
        <v>0.05</v>
      </c>
      <c r="H37" t="b">
        <f>COUNTIFS(OrderLines[OrderID],Orders[[#This Row],[OrderID]],OrderLines[Category],"Beverage")&gt;0</f>
        <v>0</v>
      </c>
      <c r="I37">
        <f>SUMIFS(OrderLines[Revenue],OrderLines[OrderID],Orders[[#This Row],[OrderID]])</f>
        <v>209.96899999999999</v>
      </c>
      <c r="J37" t="str">
        <f>IF(AND(COUNTIFS(OrderLines[OrderID],Orders[[#This Row],[OrderID]],OrderLines[Category],"Hot Meal")&gt;0,COUNTIFS(OrderLines[OrderID],Orders[[#This Row],[OrderID]],OrderLines[Category],"Beverage")&gt;0),"Combo","Single")</f>
        <v>Single</v>
      </c>
      <c r="K37" s="17" t="str">
        <f>IF(SUMPRODUCT((OrderLines[OrderID]=Orders[[#This Row],[OrderID]])*OrderLines[Qty]*OrderLines[UnitPrice])*Orders[[#This Row],[DiscountPct]]&gt;40,"HighDisc","OK")</f>
        <v>OK</v>
      </c>
      <c r="L37" s="11">
        <f>SUMIFS(OrderLines[Revenue],OrderLines[OrderID],Orders[[#This Row],[OrderID]])-SUMIFS(OrderLines[FoodCost],OrderLines[OrderID],Orders[[#This Row],[OrderID]])</f>
        <v>113.289</v>
      </c>
      <c r="M37" s="5">
        <f>Orders[[#This Row],[GrossProfit]]/Orders[[#This Row],[OrderTotal]]</f>
        <v>0.53955107658749624</v>
      </c>
      <c r="N37" s="17" t="b">
        <f>COUNTIFS(OrderLines[OrderID],Orders[[#This Row],[OrderID]],OrderLines[Category],"Hot Meal")&gt;0</f>
        <v>1</v>
      </c>
      <c r="O37" s="17" t="b">
        <f>COUNTIFS(OrderLines[OrderID],Orders[[#This Row],[OrderID]],OrderLines[Category],"Snack")&gt;0</f>
        <v>1</v>
      </c>
      <c r="P37" s="17" t="b">
        <f>COUNTIFS(OrderLines[OrderID],Orders[[#This Row],[OrderID]],OrderLines[Category],"Dessert")&gt;0</f>
        <v>0</v>
      </c>
      <c r="Q37" s="11">
        <f>Orders[[#This Row],[OrderTotal]]-Orders[[#This Row],[GrossProfit]]</f>
        <v>96.679999999999993</v>
      </c>
    </row>
    <row r="38" spans="1:17" x14ac:dyDescent="0.25">
      <c r="A38" t="s">
        <v>71</v>
      </c>
      <c r="B38" s="1">
        <v>45842.747974537036</v>
      </c>
      <c r="C38" t="s">
        <v>15</v>
      </c>
      <c r="D38" t="s">
        <v>10</v>
      </c>
      <c r="E38" t="s">
        <v>11</v>
      </c>
      <c r="F38" t="s">
        <v>18</v>
      </c>
      <c r="G38" s="5">
        <v>0.06</v>
      </c>
      <c r="H38" t="b">
        <f>COUNTIFS(OrderLines[OrderID],Orders[[#This Row],[OrderID]],OrderLines[Category],"Beverage")&gt;0</f>
        <v>0</v>
      </c>
      <c r="I38">
        <f>SUMIFS(OrderLines[Revenue],OrderLines[OrderID],Orders[[#This Row],[OrderID]])</f>
        <v>321.16039999999998</v>
      </c>
      <c r="J38" t="str">
        <f>IF(AND(COUNTIFS(OrderLines[OrderID],Orders[[#This Row],[OrderID]],OrderLines[Category],"Hot Meal")&gt;0,COUNTIFS(OrderLines[OrderID],Orders[[#This Row],[OrderID]],OrderLines[Category],"Beverage")&gt;0),"Combo","Single")</f>
        <v>Single</v>
      </c>
      <c r="K38" s="17" t="str">
        <f>IF(SUMPRODUCT((OrderLines[OrderID]=Orders[[#This Row],[OrderID]])*OrderLines[Qty]*OrderLines[UnitPrice])*Orders[[#This Row],[DiscountPct]]&gt;40,"HighDisc","OK")</f>
        <v>OK</v>
      </c>
      <c r="L38" s="11">
        <f>SUMIFS(OrderLines[Revenue],OrderLines[OrderID],Orders[[#This Row],[OrderID]])-SUMIFS(OrderLines[FoodCost],OrderLines[OrderID],Orders[[#This Row],[OrderID]])</f>
        <v>173.0204</v>
      </c>
      <c r="M38" s="5">
        <f>Orders[[#This Row],[GrossProfit]]/Orders[[#This Row],[OrderTotal]]</f>
        <v>0.53873516162017487</v>
      </c>
      <c r="N38" s="17" t="b">
        <f>COUNTIFS(OrderLines[OrderID],Orders[[#This Row],[OrderID]],OrderLines[Category],"Hot Meal")&gt;0</f>
        <v>1</v>
      </c>
      <c r="O38" s="17" t="b">
        <f>COUNTIFS(OrderLines[OrderID],Orders[[#This Row],[OrderID]],OrderLines[Category],"Snack")&gt;0</f>
        <v>0</v>
      </c>
      <c r="P38" s="17" t="b">
        <f>COUNTIFS(OrderLines[OrderID],Orders[[#This Row],[OrderID]],OrderLines[Category],"Dessert")&gt;0</f>
        <v>0</v>
      </c>
      <c r="Q38" s="11">
        <f>Orders[[#This Row],[OrderTotal]]-Orders[[#This Row],[GrossProfit]]</f>
        <v>148.13999999999999</v>
      </c>
    </row>
    <row r="39" spans="1:17" x14ac:dyDescent="0.25">
      <c r="A39" t="s">
        <v>73</v>
      </c>
      <c r="B39" s="1">
        <v>45880.978148148148</v>
      </c>
      <c r="C39" t="s">
        <v>27</v>
      </c>
      <c r="D39" t="s">
        <v>28</v>
      </c>
      <c r="E39" t="s">
        <v>21</v>
      </c>
      <c r="F39" t="s">
        <v>18</v>
      </c>
      <c r="G39" s="5">
        <v>0</v>
      </c>
      <c r="H39" t="b">
        <f>COUNTIFS(OrderLines[OrderID],Orders[[#This Row],[OrderID]],OrderLines[Category],"Beverage")&gt;0</f>
        <v>1</v>
      </c>
      <c r="I39">
        <f>SUMIFS(OrderLines[Revenue],OrderLines[OrderID],Orders[[#This Row],[OrderID]])</f>
        <v>88.16</v>
      </c>
      <c r="J39" t="str">
        <f>IF(AND(COUNTIFS(OrderLines[OrderID],Orders[[#This Row],[OrderID]],OrderLines[Category],"Hot Meal")&gt;0,COUNTIFS(OrderLines[OrderID],Orders[[#This Row],[OrderID]],OrderLines[Category],"Beverage")&gt;0),"Combo","Single")</f>
        <v>Single</v>
      </c>
      <c r="K39" s="17" t="str">
        <f>IF(SUMPRODUCT((OrderLines[OrderID]=Orders[[#This Row],[OrderID]])*OrderLines[Qty]*OrderLines[UnitPrice])*Orders[[#This Row],[DiscountPct]]&gt;40,"HighDisc","OK")</f>
        <v>OK</v>
      </c>
      <c r="L39" s="11">
        <f>SUMIFS(OrderLines[Revenue],OrderLines[OrderID],Orders[[#This Row],[OrderID]])-SUMIFS(OrderLines[FoodCost],OrderLines[OrderID],Orders[[#This Row],[OrderID]])</f>
        <v>55.099999999999994</v>
      </c>
      <c r="M39" s="5">
        <f>Orders[[#This Row],[GrossProfit]]/Orders[[#This Row],[OrderTotal]]</f>
        <v>0.625</v>
      </c>
      <c r="N39" s="17" t="b">
        <f>COUNTIFS(OrderLines[OrderID],Orders[[#This Row],[OrderID]],OrderLines[Category],"Hot Meal")&gt;0</f>
        <v>0</v>
      </c>
      <c r="O39" s="17" t="b">
        <f>COUNTIFS(OrderLines[OrderID],Orders[[#This Row],[OrderID]],OrderLines[Category],"Snack")&gt;0</f>
        <v>0</v>
      </c>
      <c r="P39" s="17" t="b">
        <f>COUNTIFS(OrderLines[OrderID],Orders[[#This Row],[OrderID]],OrderLines[Category],"Dessert")&gt;0</f>
        <v>0</v>
      </c>
      <c r="Q39" s="11">
        <f>Orders[[#This Row],[OrderTotal]]-Orders[[#This Row],[GrossProfit]]</f>
        <v>33.06</v>
      </c>
    </row>
    <row r="40" spans="1:17" x14ac:dyDescent="0.25">
      <c r="A40" t="s">
        <v>75</v>
      </c>
      <c r="B40" s="1">
        <v>45843.123402777783</v>
      </c>
      <c r="C40" t="s">
        <v>15</v>
      </c>
      <c r="D40" t="s">
        <v>28</v>
      </c>
      <c r="E40" t="s">
        <v>11</v>
      </c>
      <c r="F40" t="s">
        <v>12</v>
      </c>
      <c r="G40" s="5">
        <v>0.05</v>
      </c>
      <c r="H40" t="b">
        <f>COUNTIFS(OrderLines[OrderID],Orders[[#This Row],[OrderID]],OrderLines[Category],"Beverage")&gt;0</f>
        <v>0</v>
      </c>
      <c r="I40">
        <f>SUMIFS(OrderLines[Revenue],OrderLines[OrderID],Orders[[#This Row],[OrderID]])</f>
        <v>486.8655</v>
      </c>
      <c r="J40" t="str">
        <f>IF(AND(COUNTIFS(OrderLines[OrderID],Orders[[#This Row],[OrderID]],OrderLines[Category],"Hot Meal")&gt;0,COUNTIFS(OrderLines[OrderID],Orders[[#This Row],[OrderID]],OrderLines[Category],"Beverage")&gt;0),"Combo","Single")</f>
        <v>Single</v>
      </c>
      <c r="K40" s="17" t="str">
        <f>IF(SUMPRODUCT((OrderLines[OrderID]=Orders[[#This Row],[OrderID]])*OrderLines[Qty]*OrderLines[UnitPrice])*Orders[[#This Row],[DiscountPct]]&gt;40,"HighDisc","OK")</f>
        <v>OK</v>
      </c>
      <c r="L40" s="11">
        <f>SUMIFS(OrderLines[Revenue],OrderLines[OrderID],Orders[[#This Row],[OrderID]])-SUMIFS(OrderLines[FoodCost],OrderLines[OrderID],Orders[[#This Row],[OrderID]])</f>
        <v>264.65550000000002</v>
      </c>
      <c r="M40" s="5">
        <f>Orders[[#This Row],[GrossProfit]]/Orders[[#This Row],[OrderTotal]]</f>
        <v>0.54359058097154145</v>
      </c>
      <c r="N40" s="17" t="b">
        <f>COUNTIFS(OrderLines[OrderID],Orders[[#This Row],[OrderID]],OrderLines[Category],"Hot Meal")&gt;0</f>
        <v>1</v>
      </c>
      <c r="O40" s="17" t="b">
        <f>COUNTIFS(OrderLines[OrderID],Orders[[#This Row],[OrderID]],OrderLines[Category],"Snack")&gt;0</f>
        <v>0</v>
      </c>
      <c r="P40" s="17" t="b">
        <f>COUNTIFS(OrderLines[OrderID],Orders[[#This Row],[OrderID]],OrderLines[Category],"Dessert")&gt;0</f>
        <v>0</v>
      </c>
      <c r="Q40" s="11">
        <f>Orders[[#This Row],[OrderTotal]]-Orders[[#This Row],[GrossProfit]]</f>
        <v>222.20999999999998</v>
      </c>
    </row>
    <row r="41" spans="1:17" x14ac:dyDescent="0.25">
      <c r="A41" t="s">
        <v>76</v>
      </c>
      <c r="B41" s="1">
        <v>45849.230266203696</v>
      </c>
      <c r="C41" t="s">
        <v>15</v>
      </c>
      <c r="D41" t="s">
        <v>10</v>
      </c>
      <c r="E41" t="s">
        <v>21</v>
      </c>
      <c r="F41" t="s">
        <v>12</v>
      </c>
      <c r="G41" s="5">
        <v>7.0000000000000007E-2</v>
      </c>
      <c r="H41" t="b">
        <f>COUNTIFS(OrderLines[OrderID],Orders[[#This Row],[OrderID]],OrderLines[Category],"Beverage")&gt;0</f>
        <v>1</v>
      </c>
      <c r="I41">
        <f>SUMIFS(OrderLines[Revenue],OrderLines[OrderID],Orders[[#This Row],[OrderID]])</f>
        <v>624.52289999999994</v>
      </c>
      <c r="J41" t="str">
        <f>IF(AND(COUNTIFS(OrderLines[OrderID],Orders[[#This Row],[OrderID]],OrderLines[Category],"Hot Meal")&gt;0,COUNTIFS(OrderLines[OrderID],Orders[[#This Row],[OrderID]],OrderLines[Category],"Beverage")&gt;0),"Combo","Single")</f>
        <v>Combo</v>
      </c>
      <c r="K41" s="17" t="str">
        <f>IF(SUMPRODUCT((OrderLines[OrderID]=Orders[[#This Row],[OrderID]])*OrderLines[Qty]*OrderLines[UnitPrice])*Orders[[#This Row],[DiscountPct]]&gt;40,"HighDisc","OK")</f>
        <v>HighDisc</v>
      </c>
      <c r="L41" s="11">
        <f>SUMIFS(OrderLines[Revenue],OrderLines[OrderID],Orders[[#This Row],[OrderID]])-SUMIFS(OrderLines[FoodCost],OrderLines[OrderID],Orders[[#This Row],[OrderID]])</f>
        <v>318.45289999999994</v>
      </c>
      <c r="M41" s="5">
        <f>Orders[[#This Row],[GrossProfit]]/Orders[[#This Row],[OrderTotal]]</f>
        <v>0.5099138878654409</v>
      </c>
      <c r="N41" s="17" t="b">
        <f>COUNTIFS(OrderLines[OrderID],Orders[[#This Row],[OrderID]],OrderLines[Category],"Hot Meal")&gt;0</f>
        <v>1</v>
      </c>
      <c r="O41" s="17" t="b">
        <f>COUNTIFS(OrderLines[OrderID],Orders[[#This Row],[OrderID]],OrderLines[Category],"Snack")&gt;0</f>
        <v>0</v>
      </c>
      <c r="P41" s="17" t="b">
        <f>COUNTIFS(OrderLines[OrderID],Orders[[#This Row],[OrderID]],OrderLines[Category],"Dessert")&gt;0</f>
        <v>0</v>
      </c>
      <c r="Q41" s="11">
        <f>Orders[[#This Row],[OrderTotal]]-Orders[[#This Row],[GrossProfit]]</f>
        <v>306.07</v>
      </c>
    </row>
    <row r="42" spans="1:17" x14ac:dyDescent="0.25">
      <c r="A42" t="s">
        <v>77</v>
      </c>
      <c r="B42" s="1">
        <v>45862.234907407408</v>
      </c>
      <c r="C42" t="s">
        <v>27</v>
      </c>
      <c r="D42" t="s">
        <v>28</v>
      </c>
      <c r="E42" t="s">
        <v>21</v>
      </c>
      <c r="F42" t="s">
        <v>12</v>
      </c>
      <c r="G42" s="5">
        <v>0.12</v>
      </c>
      <c r="H42" t="b">
        <f>COUNTIFS(OrderLines[OrderID],Orders[[#This Row],[OrderID]],OrderLines[Category],"Beverage")&gt;0</f>
        <v>1</v>
      </c>
      <c r="I42">
        <f>SUMIFS(OrderLines[Revenue],OrderLines[OrderID],Orders[[#This Row],[OrderID]])</f>
        <v>149.14240000000001</v>
      </c>
      <c r="J42" t="str">
        <f>IF(AND(COUNTIFS(OrderLines[OrderID],Orders[[#This Row],[OrderID]],OrderLines[Category],"Hot Meal")&gt;0,COUNTIFS(OrderLines[OrderID],Orders[[#This Row],[OrderID]],OrderLines[Category],"Beverage")&gt;0),"Combo","Single")</f>
        <v>Single</v>
      </c>
      <c r="K42" s="17" t="str">
        <f>IF(SUMPRODUCT((OrderLines[OrderID]=Orders[[#This Row],[OrderID]])*OrderLines[Qty]*OrderLines[UnitPrice])*Orders[[#This Row],[DiscountPct]]&gt;40,"HighDisc","OK")</f>
        <v>OK</v>
      </c>
      <c r="L42" s="11">
        <f>SUMIFS(OrderLines[Revenue],OrderLines[OrderID],Orders[[#This Row],[OrderID]])-SUMIFS(OrderLines[FoodCost],OrderLines[OrderID],Orders[[#This Row],[OrderID]])</f>
        <v>77.812400000000011</v>
      </c>
      <c r="M42" s="5">
        <f>Orders[[#This Row],[GrossProfit]]/Orders[[#This Row],[OrderTotal]]</f>
        <v>0.52173225052030814</v>
      </c>
      <c r="N42" s="17" t="b">
        <f>COUNTIFS(OrderLines[OrderID],Orders[[#This Row],[OrderID]],OrderLines[Category],"Hot Meal")&gt;0</f>
        <v>0</v>
      </c>
      <c r="O42" s="17" t="b">
        <f>COUNTIFS(OrderLines[OrderID],Orders[[#This Row],[OrderID]],OrderLines[Category],"Snack")&gt;0</f>
        <v>1</v>
      </c>
      <c r="P42" s="17" t="b">
        <f>COUNTIFS(OrderLines[OrderID],Orders[[#This Row],[OrderID]],OrderLines[Category],"Dessert")&gt;0</f>
        <v>0</v>
      </c>
      <c r="Q42" s="11">
        <f>Orders[[#This Row],[OrderTotal]]-Orders[[#This Row],[GrossProfit]]</f>
        <v>71.33</v>
      </c>
    </row>
    <row r="43" spans="1:17" x14ac:dyDescent="0.25">
      <c r="A43" t="s">
        <v>78</v>
      </c>
      <c r="B43" s="1">
        <v>45856.664189814823</v>
      </c>
      <c r="C43" t="s">
        <v>9</v>
      </c>
      <c r="D43" t="s">
        <v>16</v>
      </c>
      <c r="E43" t="s">
        <v>21</v>
      </c>
      <c r="F43" t="s">
        <v>22</v>
      </c>
      <c r="G43" s="5">
        <v>0.04</v>
      </c>
      <c r="H43" t="b">
        <f>COUNTIFS(OrderLines[OrderID],Orders[[#This Row],[OrderID]],OrderLines[Category],"Beverage")&gt;0</f>
        <v>1</v>
      </c>
      <c r="I43">
        <f>SUMIFS(OrderLines[Revenue],OrderLines[OrderID],Orders[[#This Row],[OrderID]])</f>
        <v>346.63679999999999</v>
      </c>
      <c r="J43" t="str">
        <f>IF(AND(COUNTIFS(OrderLines[OrderID],Orders[[#This Row],[OrderID]],OrderLines[Category],"Hot Meal")&gt;0,COUNTIFS(OrderLines[OrderID],Orders[[#This Row],[OrderID]],OrderLines[Category],"Beverage")&gt;0),"Combo","Single")</f>
        <v>Combo</v>
      </c>
      <c r="K43" s="17" t="str">
        <f>IF(SUMPRODUCT((OrderLines[OrderID]=Orders[[#This Row],[OrderID]])*OrderLines[Qty]*OrderLines[UnitPrice])*Orders[[#This Row],[DiscountPct]]&gt;40,"HighDisc","OK")</f>
        <v>OK</v>
      </c>
      <c r="L43" s="11">
        <f>SUMIFS(OrderLines[Revenue],OrderLines[OrderID],Orders[[#This Row],[OrderID]])-SUMIFS(OrderLines[FoodCost],OrderLines[OrderID],Orders[[#This Row],[OrderID]])</f>
        <v>189.9468</v>
      </c>
      <c r="M43" s="5">
        <f>Orders[[#This Row],[GrossProfit]]/Orders[[#This Row],[OrderTotal]]</f>
        <v>0.54797067131937516</v>
      </c>
      <c r="N43" s="17" t="b">
        <f>COUNTIFS(OrderLines[OrderID],Orders[[#This Row],[OrderID]],OrderLines[Category],"Hot Meal")&gt;0</f>
        <v>1</v>
      </c>
      <c r="O43" s="17" t="b">
        <f>COUNTIFS(OrderLines[OrderID],Orders[[#This Row],[OrderID]],OrderLines[Category],"Snack")&gt;0</f>
        <v>0</v>
      </c>
      <c r="P43" s="17" t="b">
        <f>COUNTIFS(OrderLines[OrderID],Orders[[#This Row],[OrderID]],OrderLines[Category],"Dessert")&gt;0</f>
        <v>1</v>
      </c>
      <c r="Q43" s="11">
        <f>Orders[[#This Row],[OrderTotal]]-Orders[[#This Row],[GrossProfit]]</f>
        <v>156.69</v>
      </c>
    </row>
    <row r="44" spans="1:17" x14ac:dyDescent="0.25">
      <c r="A44" t="s">
        <v>79</v>
      </c>
      <c r="B44" s="1">
        <v>45865.15425925926</v>
      </c>
      <c r="C44" t="s">
        <v>27</v>
      </c>
      <c r="D44" t="s">
        <v>10</v>
      </c>
      <c r="E44" t="s">
        <v>17</v>
      </c>
      <c r="F44" t="s">
        <v>12</v>
      </c>
      <c r="G44" s="5">
        <v>0.03</v>
      </c>
      <c r="H44" t="b">
        <f>COUNTIFS(OrderLines[OrderID],Orders[[#This Row],[OrderID]],OrderLines[Category],"Beverage")&gt;0</f>
        <v>1</v>
      </c>
      <c r="I44">
        <f>SUMIFS(OrderLines[Revenue],OrderLines[OrderID],Orders[[#This Row],[OrderID]])</f>
        <v>21.533999999999999</v>
      </c>
      <c r="J44" t="str">
        <f>IF(AND(COUNTIFS(OrderLines[OrderID],Orders[[#This Row],[OrderID]],OrderLines[Category],"Hot Meal")&gt;0,COUNTIFS(OrderLines[OrderID],Orders[[#This Row],[OrderID]],OrderLines[Category],"Beverage")&gt;0),"Combo","Single")</f>
        <v>Single</v>
      </c>
      <c r="K44" s="17" t="str">
        <f>IF(SUMPRODUCT((OrderLines[OrderID]=Orders[[#This Row],[OrderID]])*OrderLines[Qty]*OrderLines[UnitPrice])*Orders[[#This Row],[DiscountPct]]&gt;40,"HighDisc","OK")</f>
        <v>OK</v>
      </c>
      <c r="L44" s="11">
        <f>SUMIFS(OrderLines[Revenue],OrderLines[OrderID],Orders[[#This Row],[OrderID]])-SUMIFS(OrderLines[FoodCost],OrderLines[OrderID],Orders[[#This Row],[OrderID]])</f>
        <v>12.153999999999998</v>
      </c>
      <c r="M44" s="5">
        <f>Orders[[#This Row],[GrossProfit]]/Orders[[#This Row],[OrderTotal]]</f>
        <v>0.56440977059533759</v>
      </c>
      <c r="N44" s="17" t="b">
        <f>COUNTIFS(OrderLines[OrderID],Orders[[#This Row],[OrderID]],OrderLines[Category],"Hot Meal")&gt;0</f>
        <v>0</v>
      </c>
      <c r="O44" s="17" t="b">
        <f>COUNTIFS(OrderLines[OrderID],Orders[[#This Row],[OrderID]],OrderLines[Category],"Snack")&gt;0</f>
        <v>0</v>
      </c>
      <c r="P44" s="17" t="b">
        <f>COUNTIFS(OrderLines[OrderID],Orders[[#This Row],[OrderID]],OrderLines[Category],"Dessert")&gt;0</f>
        <v>0</v>
      </c>
      <c r="Q44" s="11">
        <f>Orders[[#This Row],[OrderTotal]]-Orders[[#This Row],[GrossProfit]]</f>
        <v>9.3800000000000008</v>
      </c>
    </row>
    <row r="45" spans="1:17" x14ac:dyDescent="0.25">
      <c r="A45" t="s">
        <v>80</v>
      </c>
      <c r="B45" s="1">
        <v>45843.009780092587</v>
      </c>
      <c r="C45" t="s">
        <v>15</v>
      </c>
      <c r="D45" t="s">
        <v>28</v>
      </c>
      <c r="E45" t="s">
        <v>17</v>
      </c>
      <c r="F45" t="s">
        <v>12</v>
      </c>
      <c r="G45" s="5">
        <v>0.04</v>
      </c>
      <c r="H45" t="b">
        <f>COUNTIFS(OrderLines[OrderID],Orders[[#This Row],[OrderID]],OrderLines[Category],"Beverage")&gt;0</f>
        <v>1</v>
      </c>
      <c r="I45">
        <f>SUMIFS(OrderLines[Revenue],OrderLines[OrderID],Orders[[#This Row],[OrderID]])</f>
        <v>139.38240000000002</v>
      </c>
      <c r="J45" t="str">
        <f>IF(AND(COUNTIFS(OrderLines[OrderID],Orders[[#This Row],[OrderID]],OrderLines[Category],"Hot Meal")&gt;0,COUNTIFS(OrderLines[OrderID],Orders[[#This Row],[OrderID]],OrderLines[Category],"Beverage")&gt;0),"Combo","Single")</f>
        <v>Single</v>
      </c>
      <c r="K45" s="17" t="str">
        <f>IF(SUMPRODUCT((OrderLines[OrderID]=Orders[[#This Row],[OrderID]])*OrderLines[Qty]*OrderLines[UnitPrice])*Orders[[#This Row],[DiscountPct]]&gt;40,"HighDisc","OK")</f>
        <v>OK</v>
      </c>
      <c r="L45" s="11">
        <f>SUMIFS(OrderLines[Revenue],OrderLines[OrderID],Orders[[#This Row],[OrderID]])-SUMIFS(OrderLines[FoodCost],OrderLines[OrderID],Orders[[#This Row],[OrderID]])</f>
        <v>68.392400000000009</v>
      </c>
      <c r="M45" s="5">
        <f>Orders[[#This Row],[GrossProfit]]/Orders[[#This Row],[OrderTotal]]</f>
        <v>0.49068175035011596</v>
      </c>
      <c r="N45" s="17" t="b">
        <f>COUNTIFS(OrderLines[OrderID],Orders[[#This Row],[OrderID]],OrderLines[Category],"Hot Meal")&gt;0</f>
        <v>0</v>
      </c>
      <c r="O45" s="17" t="b">
        <f>COUNTIFS(OrderLines[OrderID],Orders[[#This Row],[OrderID]],OrderLines[Category],"Snack")&gt;0</f>
        <v>1</v>
      </c>
      <c r="P45" s="17" t="b">
        <f>COUNTIFS(OrderLines[OrderID],Orders[[#This Row],[OrderID]],OrderLines[Category],"Dessert")&gt;0</f>
        <v>0</v>
      </c>
      <c r="Q45" s="11">
        <f>Orders[[#This Row],[OrderTotal]]-Orders[[#This Row],[GrossProfit]]</f>
        <v>70.990000000000009</v>
      </c>
    </row>
    <row r="46" spans="1:17" x14ac:dyDescent="0.25">
      <c r="A46" t="s">
        <v>81</v>
      </c>
      <c r="B46" s="1">
        <v>45873.198460648149</v>
      </c>
      <c r="C46" t="s">
        <v>15</v>
      </c>
      <c r="D46" t="s">
        <v>28</v>
      </c>
      <c r="E46" t="s">
        <v>17</v>
      </c>
      <c r="F46" t="s">
        <v>12</v>
      </c>
      <c r="G46" s="5">
        <v>0.1</v>
      </c>
      <c r="H46" t="b">
        <f>COUNTIFS(OrderLines[OrderID],Orders[[#This Row],[OrderID]],OrderLines[Category],"Beverage")&gt;0</f>
        <v>1</v>
      </c>
      <c r="I46">
        <f>SUMIFS(OrderLines[Revenue],OrderLines[OrderID],Orders[[#This Row],[OrderID]])</f>
        <v>323.90100000000001</v>
      </c>
      <c r="J46" t="str">
        <f>IF(AND(COUNTIFS(OrderLines[OrderID],Orders[[#This Row],[OrderID]],OrderLines[Category],"Hot Meal")&gt;0,COUNTIFS(OrderLines[OrderID],Orders[[#This Row],[OrderID]],OrderLines[Category],"Beverage")&gt;0),"Combo","Single")</f>
        <v>Single</v>
      </c>
      <c r="K46" s="17" t="str">
        <f>IF(SUMPRODUCT((OrderLines[OrderID]=Orders[[#This Row],[OrderID]])*OrderLines[Qty]*OrderLines[UnitPrice])*Orders[[#This Row],[DiscountPct]]&gt;40,"HighDisc","OK")</f>
        <v>OK</v>
      </c>
      <c r="L46" s="11">
        <f>SUMIFS(OrderLines[Revenue],OrderLines[OrderID],Orders[[#This Row],[OrderID]])-SUMIFS(OrderLines[FoodCost],OrderLines[OrderID],Orders[[#This Row],[OrderID]])</f>
        <v>178.28100000000001</v>
      </c>
      <c r="M46" s="5">
        <f>Orders[[#This Row],[GrossProfit]]/Orders[[#This Row],[OrderTotal]]</f>
        <v>0.55041818333379644</v>
      </c>
      <c r="N46" s="17" t="b">
        <f>COUNTIFS(OrderLines[OrderID],Orders[[#This Row],[OrderID]],OrderLines[Category],"Hot Meal")&gt;0</f>
        <v>0</v>
      </c>
      <c r="O46" s="17" t="b">
        <f>COUNTIFS(OrderLines[OrderID],Orders[[#This Row],[OrderID]],OrderLines[Category],"Snack")&gt;0</f>
        <v>0</v>
      </c>
      <c r="P46" s="17" t="b">
        <f>COUNTIFS(OrderLines[OrderID],Orders[[#This Row],[OrderID]],OrderLines[Category],"Dessert")&gt;0</f>
        <v>1</v>
      </c>
      <c r="Q46" s="11">
        <f>Orders[[#This Row],[OrderTotal]]-Orders[[#This Row],[GrossProfit]]</f>
        <v>145.62</v>
      </c>
    </row>
    <row r="47" spans="1:17" x14ac:dyDescent="0.25">
      <c r="A47" t="s">
        <v>82</v>
      </c>
      <c r="B47" s="1">
        <v>45858.00104166667</v>
      </c>
      <c r="C47" t="s">
        <v>15</v>
      </c>
      <c r="D47" t="s">
        <v>16</v>
      </c>
      <c r="E47" t="s">
        <v>21</v>
      </c>
      <c r="F47" t="s">
        <v>12</v>
      </c>
      <c r="G47" s="5">
        <v>7.0000000000000007E-2</v>
      </c>
      <c r="H47" t="b">
        <f>COUNTIFS(OrderLines[OrderID],Orders[[#This Row],[OrderID]],OrderLines[Category],"Beverage")&gt;0</f>
        <v>0</v>
      </c>
      <c r="I47">
        <f>SUMIFS(OrderLines[Revenue],OrderLines[OrderID],Orders[[#This Row],[OrderID]])</f>
        <v>37.153500000000001</v>
      </c>
      <c r="J47" t="str">
        <f>IF(AND(COUNTIFS(OrderLines[OrderID],Orders[[#This Row],[OrderID]],OrderLines[Category],"Hot Meal")&gt;0,COUNTIFS(OrderLines[OrderID],Orders[[#This Row],[OrderID]],OrderLines[Category],"Beverage")&gt;0),"Combo","Single")</f>
        <v>Single</v>
      </c>
      <c r="K47" s="17" t="str">
        <f>IF(SUMPRODUCT((OrderLines[OrderID]=Orders[[#This Row],[OrderID]])*OrderLines[Qty]*OrderLines[UnitPrice])*Orders[[#This Row],[DiscountPct]]&gt;40,"HighDisc","OK")</f>
        <v>OK</v>
      </c>
      <c r="L47" s="11">
        <f>SUMIFS(OrderLines[Revenue],OrderLines[OrderID],Orders[[#This Row],[OrderID]])-SUMIFS(OrderLines[FoodCost],OrderLines[OrderID],Orders[[#This Row],[OrderID]])</f>
        <v>21.643500000000003</v>
      </c>
      <c r="M47" s="5">
        <f>Orders[[#This Row],[GrossProfit]]/Orders[[#This Row],[OrderTotal]]</f>
        <v>0.58254269449715379</v>
      </c>
      <c r="N47" s="17" t="b">
        <f>COUNTIFS(OrderLines[OrderID],Orders[[#This Row],[OrderID]],OrderLines[Category],"Hot Meal")&gt;0</f>
        <v>0</v>
      </c>
      <c r="O47" s="17" t="b">
        <f>COUNTIFS(OrderLines[OrderID],Orders[[#This Row],[OrderID]],OrderLines[Category],"Snack")&gt;0</f>
        <v>1</v>
      </c>
      <c r="P47" s="17" t="b">
        <f>COUNTIFS(OrderLines[OrderID],Orders[[#This Row],[OrderID]],OrderLines[Category],"Dessert")&gt;0</f>
        <v>0</v>
      </c>
      <c r="Q47" s="11">
        <f>Orders[[#This Row],[OrderTotal]]-Orders[[#This Row],[GrossProfit]]</f>
        <v>15.509999999999998</v>
      </c>
    </row>
    <row r="48" spans="1:17" x14ac:dyDescent="0.25">
      <c r="A48" t="s">
        <v>83</v>
      </c>
      <c r="B48" s="1">
        <v>45866.350347222222</v>
      </c>
      <c r="C48" t="s">
        <v>15</v>
      </c>
      <c r="D48" t="s">
        <v>10</v>
      </c>
      <c r="E48" t="s">
        <v>11</v>
      </c>
      <c r="F48" t="s">
        <v>12</v>
      </c>
      <c r="G48" s="5">
        <v>0.04</v>
      </c>
      <c r="H48" t="b">
        <f>COUNTIFS(OrderLines[OrderID],Orders[[#This Row],[OrderID]],OrderLines[Category],"Beverage")&gt;0</f>
        <v>0</v>
      </c>
      <c r="I48">
        <f>SUMIFS(OrderLines[Revenue],OrderLines[OrderID],Orders[[#This Row],[OrderID]])</f>
        <v>595.65120000000002</v>
      </c>
      <c r="J48" t="str">
        <f>IF(AND(COUNTIFS(OrderLines[OrderID],Orders[[#This Row],[OrderID]],OrderLines[Category],"Hot Meal")&gt;0,COUNTIFS(OrderLines[OrderID],Orders[[#This Row],[OrderID]],OrderLines[Category],"Beverage")&gt;0),"Combo","Single")</f>
        <v>Single</v>
      </c>
      <c r="K48" s="17" t="str">
        <f>IF(SUMPRODUCT((OrderLines[OrderID]=Orders[[#This Row],[OrderID]])*OrderLines[Qty]*OrderLines[UnitPrice])*Orders[[#This Row],[DiscountPct]]&gt;40,"HighDisc","OK")</f>
        <v>OK</v>
      </c>
      <c r="L48" s="11">
        <f>SUMIFS(OrderLines[Revenue],OrderLines[OrderID],Orders[[#This Row],[OrderID]])-SUMIFS(OrderLines[FoodCost],OrderLines[OrderID],Orders[[#This Row],[OrderID]])</f>
        <v>305.42120000000006</v>
      </c>
      <c r="M48" s="5">
        <f>Orders[[#This Row],[GrossProfit]]/Orders[[#This Row],[OrderTotal]]</f>
        <v>0.51275175807586726</v>
      </c>
      <c r="N48" s="17" t="b">
        <f>COUNTIFS(OrderLines[OrderID],Orders[[#This Row],[OrderID]],OrderLines[Category],"Hot Meal")&gt;0</f>
        <v>1</v>
      </c>
      <c r="O48" s="17" t="b">
        <f>COUNTIFS(OrderLines[OrderID],Orders[[#This Row],[OrderID]],OrderLines[Category],"Snack")&gt;0</f>
        <v>1</v>
      </c>
      <c r="P48" s="17" t="b">
        <f>COUNTIFS(OrderLines[OrderID],Orders[[#This Row],[OrderID]],OrderLines[Category],"Dessert")&gt;0</f>
        <v>1</v>
      </c>
      <c r="Q48" s="11">
        <f>Orders[[#This Row],[OrderTotal]]-Orders[[#This Row],[GrossProfit]]</f>
        <v>290.22999999999996</v>
      </c>
    </row>
    <row r="49" spans="1:17" x14ac:dyDescent="0.25">
      <c r="A49" t="s">
        <v>84</v>
      </c>
      <c r="B49" s="1">
        <v>45891.311377314807</v>
      </c>
      <c r="C49" t="s">
        <v>15</v>
      </c>
      <c r="D49" t="s">
        <v>28</v>
      </c>
      <c r="E49" t="s">
        <v>17</v>
      </c>
      <c r="F49" t="s">
        <v>12</v>
      </c>
      <c r="G49" s="5">
        <v>0.08</v>
      </c>
      <c r="H49" t="b">
        <f>COUNTIFS(OrderLines[OrderID],Orders[[#This Row],[OrderID]],OrderLines[Category],"Beverage")&gt;0</f>
        <v>1</v>
      </c>
      <c r="I49">
        <f>SUMIFS(OrderLines[Revenue],OrderLines[OrderID],Orders[[#This Row],[OrderID]])</f>
        <v>179.67599999999999</v>
      </c>
      <c r="J49" t="str">
        <f>IF(AND(COUNTIFS(OrderLines[OrderID],Orders[[#This Row],[OrderID]],OrderLines[Category],"Hot Meal")&gt;0,COUNTIFS(OrderLines[OrderID],Orders[[#This Row],[OrderID]],OrderLines[Category],"Beverage")&gt;0),"Combo","Single")</f>
        <v>Single</v>
      </c>
      <c r="K49" s="17" t="str">
        <f>IF(SUMPRODUCT((OrderLines[OrderID]=Orders[[#This Row],[OrderID]])*OrderLines[Qty]*OrderLines[UnitPrice])*Orders[[#This Row],[DiscountPct]]&gt;40,"HighDisc","OK")</f>
        <v>OK</v>
      </c>
      <c r="L49" s="11">
        <f>SUMIFS(OrderLines[Revenue],OrderLines[OrderID],Orders[[#This Row],[OrderID]])-SUMIFS(OrderLines[FoodCost],OrderLines[OrderID],Orders[[#This Row],[OrderID]])</f>
        <v>87.125999999999991</v>
      </c>
      <c r="M49" s="5">
        <f>Orders[[#This Row],[GrossProfit]]/Orders[[#This Row],[OrderTotal]]</f>
        <v>0.48490616442930606</v>
      </c>
      <c r="N49" s="17" t="b">
        <f>COUNTIFS(OrderLines[OrderID],Orders[[#This Row],[OrderID]],OrderLines[Category],"Hot Meal")&gt;0</f>
        <v>0</v>
      </c>
      <c r="O49" s="17" t="b">
        <f>COUNTIFS(OrderLines[OrderID],Orders[[#This Row],[OrderID]],OrderLines[Category],"Snack")&gt;0</f>
        <v>1</v>
      </c>
      <c r="P49" s="17" t="b">
        <f>COUNTIFS(OrderLines[OrderID],Orders[[#This Row],[OrderID]],OrderLines[Category],"Dessert")&gt;0</f>
        <v>0</v>
      </c>
      <c r="Q49" s="11">
        <f>Orders[[#This Row],[OrderTotal]]-Orders[[#This Row],[GrossProfit]]</f>
        <v>92.55</v>
      </c>
    </row>
    <row r="50" spans="1:17" x14ac:dyDescent="0.25">
      <c r="A50" t="s">
        <v>85</v>
      </c>
      <c r="B50" s="1">
        <v>45856.587210648147</v>
      </c>
      <c r="C50" t="s">
        <v>9</v>
      </c>
      <c r="D50" t="s">
        <v>16</v>
      </c>
      <c r="E50" t="s">
        <v>17</v>
      </c>
      <c r="F50" t="s">
        <v>22</v>
      </c>
      <c r="G50" s="5">
        <v>0.06</v>
      </c>
      <c r="H50" t="b">
        <f>COUNTIFS(OrderLines[OrderID],Orders[[#This Row],[OrderID]],OrderLines[Category],"Beverage")&gt;0</f>
        <v>1</v>
      </c>
      <c r="I50">
        <f>SUMIFS(OrderLines[Revenue],OrderLines[OrderID],Orders[[#This Row],[OrderID]])</f>
        <v>275.95579999999995</v>
      </c>
      <c r="J50" t="str">
        <f>IF(AND(COUNTIFS(OrderLines[OrderID],Orders[[#This Row],[OrderID]],OrderLines[Category],"Hot Meal")&gt;0,COUNTIFS(OrderLines[OrderID],Orders[[#This Row],[OrderID]],OrderLines[Category],"Beverage")&gt;0),"Combo","Single")</f>
        <v>Combo</v>
      </c>
      <c r="K50" s="17" t="str">
        <f>IF(SUMPRODUCT((OrderLines[OrderID]=Orders[[#This Row],[OrderID]])*OrderLines[Qty]*OrderLines[UnitPrice])*Orders[[#This Row],[DiscountPct]]&gt;40,"HighDisc","OK")</f>
        <v>OK</v>
      </c>
      <c r="L50" s="11">
        <f>SUMIFS(OrderLines[Revenue],OrderLines[OrderID],Orders[[#This Row],[OrderID]])-SUMIFS(OrderLines[FoodCost],OrderLines[OrderID],Orders[[#This Row],[OrderID]])</f>
        <v>156.05579999999995</v>
      </c>
      <c r="M50" s="5">
        <f>Orders[[#This Row],[GrossProfit]]/Orders[[#This Row],[OrderTotal]]</f>
        <v>0.56551012879598828</v>
      </c>
      <c r="N50" s="17" t="b">
        <f>COUNTIFS(OrderLines[OrderID],Orders[[#This Row],[OrderID]],OrderLines[Category],"Hot Meal")&gt;0</f>
        <v>1</v>
      </c>
      <c r="O50" s="17" t="b">
        <f>COUNTIFS(OrderLines[OrderID],Orders[[#This Row],[OrderID]],OrderLines[Category],"Snack")&gt;0</f>
        <v>0</v>
      </c>
      <c r="P50" s="17" t="b">
        <f>COUNTIFS(OrderLines[OrderID],Orders[[#This Row],[OrderID]],OrderLines[Category],"Dessert")&gt;0</f>
        <v>0</v>
      </c>
      <c r="Q50" s="11">
        <f>Orders[[#This Row],[OrderTotal]]-Orders[[#This Row],[GrossProfit]]</f>
        <v>119.9</v>
      </c>
    </row>
    <row r="51" spans="1:17" x14ac:dyDescent="0.25">
      <c r="A51" t="s">
        <v>86</v>
      </c>
      <c r="B51" s="1">
        <v>45897.171319444453</v>
      </c>
      <c r="C51" t="s">
        <v>15</v>
      </c>
      <c r="D51" t="s">
        <v>16</v>
      </c>
      <c r="E51" t="s">
        <v>11</v>
      </c>
      <c r="F51" t="s">
        <v>12</v>
      </c>
      <c r="G51" s="5">
        <v>0.1</v>
      </c>
      <c r="H51" t="b">
        <f>COUNTIFS(OrderLines[OrderID],Orders[[#This Row],[OrderID]],OrderLines[Category],"Beverage")&gt;0</f>
        <v>1</v>
      </c>
      <c r="I51">
        <f>SUMIFS(OrderLines[Revenue],OrderLines[OrderID],Orders[[#This Row],[OrderID]])</f>
        <v>98.576999999999998</v>
      </c>
      <c r="J51" t="str">
        <f>IF(AND(COUNTIFS(OrderLines[OrderID],Orders[[#This Row],[OrderID]],OrderLines[Category],"Hot Meal")&gt;0,COUNTIFS(OrderLines[OrderID],Orders[[#This Row],[OrderID]],OrderLines[Category],"Beverage")&gt;0),"Combo","Single")</f>
        <v>Single</v>
      </c>
      <c r="K51" s="17" t="str">
        <f>IF(SUMPRODUCT((OrderLines[OrderID]=Orders[[#This Row],[OrderID]])*OrderLines[Qty]*OrderLines[UnitPrice])*Orders[[#This Row],[DiscountPct]]&gt;40,"HighDisc","OK")</f>
        <v>OK</v>
      </c>
      <c r="L51" s="11">
        <f>SUMIFS(OrderLines[Revenue],OrderLines[OrderID],Orders[[#This Row],[OrderID]])-SUMIFS(OrderLines[FoodCost],OrderLines[OrderID],Orders[[#This Row],[OrderID]])</f>
        <v>48.507000000000005</v>
      </c>
      <c r="M51" s="5">
        <f>Orders[[#This Row],[GrossProfit]]/Orders[[#This Row],[OrderTotal]]</f>
        <v>0.49207218722420043</v>
      </c>
      <c r="N51" s="17" t="b">
        <f>COUNTIFS(OrderLines[OrderID],Orders[[#This Row],[OrderID]],OrderLines[Category],"Hot Meal")&gt;0</f>
        <v>0</v>
      </c>
      <c r="O51" s="17" t="b">
        <f>COUNTIFS(OrderLines[OrderID],Orders[[#This Row],[OrderID]],OrderLines[Category],"Snack")&gt;0</f>
        <v>0</v>
      </c>
      <c r="P51" s="17" t="b">
        <f>COUNTIFS(OrderLines[OrderID],Orders[[#This Row],[OrderID]],OrderLines[Category],"Dessert")&gt;0</f>
        <v>1</v>
      </c>
      <c r="Q51" s="11">
        <f>Orders[[#This Row],[OrderTotal]]-Orders[[#This Row],[GrossProfit]]</f>
        <v>50.069999999999993</v>
      </c>
    </row>
    <row r="52" spans="1:17" x14ac:dyDescent="0.25">
      <c r="A52" t="s">
        <v>87</v>
      </c>
      <c r="B52" s="1">
        <v>45881.619641203702</v>
      </c>
      <c r="C52" t="s">
        <v>9</v>
      </c>
      <c r="D52" t="s">
        <v>10</v>
      </c>
      <c r="E52" t="s">
        <v>17</v>
      </c>
      <c r="F52" t="s">
        <v>22</v>
      </c>
      <c r="G52" s="5">
        <v>0.03</v>
      </c>
      <c r="H52" t="b">
        <f>COUNTIFS(OrderLines[OrderID],Orders[[#This Row],[OrderID]],OrderLines[Category],"Beverage")&gt;0</f>
        <v>0</v>
      </c>
      <c r="I52">
        <f>SUMIFS(OrderLines[Revenue],OrderLines[OrderID],Orders[[#This Row],[OrderID]])</f>
        <v>574.76379999999995</v>
      </c>
      <c r="J52" t="str">
        <f>IF(AND(COUNTIFS(OrderLines[OrderID],Orders[[#This Row],[OrderID]],OrderLines[Category],"Hot Meal")&gt;0,COUNTIFS(OrderLines[OrderID],Orders[[#This Row],[OrderID]],OrderLines[Category],"Beverage")&gt;0),"Combo","Single")</f>
        <v>Single</v>
      </c>
      <c r="K52" s="17" t="str">
        <f>IF(SUMPRODUCT((OrderLines[OrderID]=Orders[[#This Row],[OrderID]])*OrderLines[Qty]*OrderLines[UnitPrice])*Orders[[#This Row],[DiscountPct]]&gt;40,"HighDisc","OK")</f>
        <v>OK</v>
      </c>
      <c r="L52" s="11">
        <f>SUMIFS(OrderLines[Revenue],OrderLines[OrderID],Orders[[#This Row],[OrderID]])-SUMIFS(OrderLines[FoodCost],OrderLines[OrderID],Orders[[#This Row],[OrderID]])</f>
        <v>299.02379999999994</v>
      </c>
      <c r="M52" s="5">
        <f>Orders[[#This Row],[GrossProfit]]/Orders[[#This Row],[OrderTotal]]</f>
        <v>0.52025510305276701</v>
      </c>
      <c r="N52" s="17" t="b">
        <f>COUNTIFS(OrderLines[OrderID],Orders[[#This Row],[OrderID]],OrderLines[Category],"Hot Meal")&gt;0</f>
        <v>1</v>
      </c>
      <c r="O52" s="17" t="b">
        <f>COUNTIFS(OrderLines[OrderID],Orders[[#This Row],[OrderID]],OrderLines[Category],"Snack")&gt;0</f>
        <v>0</v>
      </c>
      <c r="P52" s="17" t="b">
        <f>COUNTIFS(OrderLines[OrderID],Orders[[#This Row],[OrderID]],OrderLines[Category],"Dessert")&gt;0</f>
        <v>1</v>
      </c>
      <c r="Q52" s="11">
        <f>Orders[[#This Row],[OrderTotal]]-Orders[[#This Row],[GrossProfit]]</f>
        <v>275.74</v>
      </c>
    </row>
    <row r="53" spans="1:17" x14ac:dyDescent="0.25">
      <c r="A53" t="s">
        <v>88</v>
      </c>
      <c r="B53" s="1">
        <v>45895.231145833342</v>
      </c>
      <c r="C53" t="s">
        <v>27</v>
      </c>
      <c r="D53" t="s">
        <v>16</v>
      </c>
      <c r="E53" t="s">
        <v>17</v>
      </c>
      <c r="F53" t="s">
        <v>12</v>
      </c>
      <c r="G53" s="5">
        <v>0.05</v>
      </c>
      <c r="H53" t="b">
        <f>COUNTIFS(OrderLines[OrderID],Orders[[#This Row],[OrderID]],OrderLines[Category],"Beverage")&gt;0</f>
        <v>0</v>
      </c>
      <c r="I53">
        <f>SUMIFS(OrderLines[Revenue],OrderLines[OrderID],Orders[[#This Row],[OrderID]])</f>
        <v>183.8535</v>
      </c>
      <c r="J53" t="str">
        <f>IF(AND(COUNTIFS(OrderLines[OrderID],Orders[[#This Row],[OrderID]],OrderLines[Category],"Hot Meal")&gt;0,COUNTIFS(OrderLines[OrderID],Orders[[#This Row],[OrderID]],OrderLines[Category],"Beverage")&gt;0),"Combo","Single")</f>
        <v>Single</v>
      </c>
      <c r="K53" s="17" t="str">
        <f>IF(SUMPRODUCT((OrderLines[OrderID]=Orders[[#This Row],[OrderID]])*OrderLines[Qty]*OrderLines[UnitPrice])*Orders[[#This Row],[DiscountPct]]&gt;40,"HighDisc","OK")</f>
        <v>OK</v>
      </c>
      <c r="L53" s="11">
        <f>SUMIFS(OrderLines[Revenue],OrderLines[OrderID],Orders[[#This Row],[OrderID]])-SUMIFS(OrderLines[FoodCost],OrderLines[OrderID],Orders[[#This Row],[OrderID]])</f>
        <v>86.433499999999995</v>
      </c>
      <c r="M53" s="5">
        <f>Orders[[#This Row],[GrossProfit]]/Orders[[#This Row],[OrderTotal]]</f>
        <v>0.47012159137574205</v>
      </c>
      <c r="N53" s="17" t="b">
        <f>COUNTIFS(OrderLines[OrderID],Orders[[#This Row],[OrderID]],OrderLines[Category],"Hot Meal")&gt;0</f>
        <v>0</v>
      </c>
      <c r="O53" s="17" t="b">
        <f>COUNTIFS(OrderLines[OrderID],Orders[[#This Row],[OrderID]],OrderLines[Category],"Snack")&gt;0</f>
        <v>1</v>
      </c>
      <c r="P53" s="17" t="b">
        <f>COUNTIFS(OrderLines[OrderID],Orders[[#This Row],[OrderID]],OrderLines[Category],"Dessert")&gt;0</f>
        <v>0</v>
      </c>
      <c r="Q53" s="11">
        <f>Orders[[#This Row],[OrderTotal]]-Orders[[#This Row],[GrossProfit]]</f>
        <v>97.42</v>
      </c>
    </row>
    <row r="54" spans="1:17" x14ac:dyDescent="0.25">
      <c r="A54" t="s">
        <v>89</v>
      </c>
      <c r="B54" s="1">
        <v>45839.414201388892</v>
      </c>
      <c r="C54" t="s">
        <v>9</v>
      </c>
      <c r="D54" t="s">
        <v>10</v>
      </c>
      <c r="E54" t="s">
        <v>11</v>
      </c>
      <c r="F54" t="s">
        <v>12</v>
      </c>
      <c r="G54" s="5">
        <v>0.04</v>
      </c>
      <c r="H54" t="b">
        <f>COUNTIFS(OrderLines[OrderID],Orders[[#This Row],[OrderID]],OrderLines[Category],"Beverage")&gt;0</f>
        <v>0</v>
      </c>
      <c r="I54">
        <f>SUMIFS(OrderLines[Revenue],OrderLines[OrderID],Orders[[#This Row],[OrderID]])</f>
        <v>100.70400000000001</v>
      </c>
      <c r="J54" t="str">
        <f>IF(AND(COUNTIFS(OrderLines[OrderID],Orders[[#This Row],[OrderID]],OrderLines[Category],"Hot Meal")&gt;0,COUNTIFS(OrderLines[OrderID],Orders[[#This Row],[OrderID]],OrderLines[Category],"Beverage")&gt;0),"Combo","Single")</f>
        <v>Single</v>
      </c>
      <c r="K54" s="17" t="str">
        <f>IF(SUMPRODUCT((OrderLines[OrderID]=Orders[[#This Row],[OrderID]])*OrderLines[Qty]*OrderLines[UnitPrice])*Orders[[#This Row],[DiscountPct]]&gt;40,"HighDisc","OK")</f>
        <v>OK</v>
      </c>
      <c r="L54" s="11">
        <f>SUMIFS(OrderLines[Revenue],OrderLines[OrderID],Orders[[#This Row],[OrderID]])-SUMIFS(OrderLines[FoodCost],OrderLines[OrderID],Orders[[#This Row],[OrderID]])</f>
        <v>49.104000000000006</v>
      </c>
      <c r="M54" s="5">
        <f>Orders[[#This Row],[GrossProfit]]/Orders[[#This Row],[OrderTotal]]</f>
        <v>0.48760724499523356</v>
      </c>
      <c r="N54" s="17" t="b">
        <f>COUNTIFS(OrderLines[OrderID],Orders[[#This Row],[OrderID]],OrderLines[Category],"Hot Meal")&gt;0</f>
        <v>0</v>
      </c>
      <c r="O54" s="17" t="b">
        <f>COUNTIFS(OrderLines[OrderID],Orders[[#This Row],[OrderID]],OrderLines[Category],"Snack")&gt;0</f>
        <v>1</v>
      </c>
      <c r="P54" s="17" t="b">
        <f>COUNTIFS(OrderLines[OrderID],Orders[[#This Row],[OrderID]],OrderLines[Category],"Dessert")&gt;0</f>
        <v>0</v>
      </c>
      <c r="Q54" s="11">
        <f>Orders[[#This Row],[OrderTotal]]-Orders[[#This Row],[GrossProfit]]</f>
        <v>51.6</v>
      </c>
    </row>
    <row r="55" spans="1:17" x14ac:dyDescent="0.25">
      <c r="A55" t="s">
        <v>90</v>
      </c>
      <c r="B55" s="1">
        <v>45874.612395833326</v>
      </c>
      <c r="C55" t="s">
        <v>15</v>
      </c>
      <c r="D55" t="s">
        <v>28</v>
      </c>
      <c r="E55" t="s">
        <v>11</v>
      </c>
      <c r="F55" t="s">
        <v>22</v>
      </c>
      <c r="G55" s="5">
        <v>0</v>
      </c>
      <c r="H55" t="b">
        <f>COUNTIFS(OrderLines[OrderID],Orders[[#This Row],[OrderID]],OrderLines[Category],"Beverage")&gt;0</f>
        <v>0</v>
      </c>
      <c r="I55">
        <f>SUMIFS(OrderLines[Revenue],OrderLines[OrderID],Orders[[#This Row],[OrderID]])</f>
        <v>271.65999999999997</v>
      </c>
      <c r="J55" t="str">
        <f>IF(AND(COUNTIFS(OrderLines[OrderID],Orders[[#This Row],[OrderID]],OrderLines[Category],"Hot Meal")&gt;0,COUNTIFS(OrderLines[OrderID],Orders[[#This Row],[OrderID]],OrderLines[Category],"Beverage")&gt;0),"Combo","Single")</f>
        <v>Single</v>
      </c>
      <c r="K55" s="17" t="str">
        <f>IF(SUMPRODUCT((OrderLines[OrderID]=Orders[[#This Row],[OrderID]])*OrderLines[Qty]*OrderLines[UnitPrice])*Orders[[#This Row],[DiscountPct]]&gt;40,"HighDisc","OK")</f>
        <v>OK</v>
      </c>
      <c r="L55" s="11">
        <f>SUMIFS(OrderLines[Revenue],OrderLines[OrderID],Orders[[#This Row],[OrderID]])-SUMIFS(OrderLines[FoodCost],OrderLines[OrderID],Orders[[#This Row],[OrderID]])</f>
        <v>154.16999999999996</v>
      </c>
      <c r="M55" s="5">
        <f>Orders[[#This Row],[GrossProfit]]/Orders[[#This Row],[OrderTotal]]</f>
        <v>0.56751085916218791</v>
      </c>
      <c r="N55" s="17" t="b">
        <f>COUNTIFS(OrderLines[OrderID],Orders[[#This Row],[OrderID]],OrderLines[Category],"Hot Meal")&gt;0</f>
        <v>0</v>
      </c>
      <c r="O55" s="17" t="b">
        <f>COUNTIFS(OrderLines[OrderID],Orders[[#This Row],[OrderID]],OrderLines[Category],"Snack")&gt;0</f>
        <v>1</v>
      </c>
      <c r="P55" s="17" t="b">
        <f>COUNTIFS(OrderLines[OrderID],Orders[[#This Row],[OrderID]],OrderLines[Category],"Dessert")&gt;0</f>
        <v>1</v>
      </c>
      <c r="Q55" s="11">
        <f>Orders[[#This Row],[OrderTotal]]-Orders[[#This Row],[GrossProfit]]</f>
        <v>117.49000000000001</v>
      </c>
    </row>
    <row r="56" spans="1:17" x14ac:dyDescent="0.25">
      <c r="A56" t="s">
        <v>91</v>
      </c>
      <c r="B56" s="1">
        <v>45869.728182870371</v>
      </c>
      <c r="C56" t="s">
        <v>9</v>
      </c>
      <c r="D56" t="s">
        <v>28</v>
      </c>
      <c r="E56" t="s">
        <v>11</v>
      </c>
      <c r="F56" t="s">
        <v>18</v>
      </c>
      <c r="G56" s="5">
        <v>7.0000000000000007E-2</v>
      </c>
      <c r="H56" t="b">
        <f>COUNTIFS(OrderLines[OrderID],Orders[[#This Row],[OrderID]],OrderLines[Category],"Beverage")&gt;0</f>
        <v>0</v>
      </c>
      <c r="I56">
        <f>SUMIFS(OrderLines[Revenue],OrderLines[OrderID],Orders[[#This Row],[OrderID]])</f>
        <v>706.71630000000005</v>
      </c>
      <c r="J56" t="str">
        <f>IF(AND(COUNTIFS(OrderLines[OrderID],Orders[[#This Row],[OrderID]],OrderLines[Category],"Hot Meal")&gt;0,COUNTIFS(OrderLines[OrderID],Orders[[#This Row],[OrderID]],OrderLines[Category],"Beverage")&gt;0),"Combo","Single")</f>
        <v>Single</v>
      </c>
      <c r="K56" s="17" t="str">
        <f>IF(SUMPRODUCT((OrderLines[OrderID]=Orders[[#This Row],[OrderID]])*OrderLines[Qty]*OrderLines[UnitPrice])*Orders[[#This Row],[DiscountPct]]&gt;40,"HighDisc","OK")</f>
        <v>HighDisc</v>
      </c>
      <c r="L56" s="11">
        <f>SUMIFS(OrderLines[Revenue],OrderLines[OrderID],Orders[[#This Row],[OrderID]])-SUMIFS(OrderLines[FoodCost],OrderLines[OrderID],Orders[[#This Row],[OrderID]])</f>
        <v>352.15630000000004</v>
      </c>
      <c r="M56" s="5">
        <f>Orders[[#This Row],[GrossProfit]]/Orders[[#This Row],[OrderTotal]]</f>
        <v>0.4982993883118304</v>
      </c>
      <c r="N56" s="17" t="b">
        <f>COUNTIFS(OrderLines[OrderID],Orders[[#This Row],[OrderID]],OrderLines[Category],"Hot Meal")&gt;0</f>
        <v>1</v>
      </c>
      <c r="O56" s="17" t="b">
        <f>COUNTIFS(OrderLines[OrderID],Orders[[#This Row],[OrderID]],OrderLines[Category],"Snack")&gt;0</f>
        <v>0</v>
      </c>
      <c r="P56" s="17" t="b">
        <f>COUNTIFS(OrderLines[OrderID],Orders[[#This Row],[OrderID]],OrderLines[Category],"Dessert")&gt;0</f>
        <v>0</v>
      </c>
      <c r="Q56" s="11">
        <f>Orders[[#This Row],[OrderTotal]]-Orders[[#This Row],[GrossProfit]]</f>
        <v>354.56</v>
      </c>
    </row>
    <row r="57" spans="1:17" x14ac:dyDescent="0.25">
      <c r="A57" t="s">
        <v>92</v>
      </c>
      <c r="B57" s="1">
        <v>45888.486701388887</v>
      </c>
      <c r="C57" t="s">
        <v>15</v>
      </c>
      <c r="D57" t="s">
        <v>10</v>
      </c>
      <c r="E57" t="s">
        <v>21</v>
      </c>
      <c r="F57" t="s">
        <v>22</v>
      </c>
      <c r="G57" s="5">
        <v>7.0000000000000007E-2</v>
      </c>
      <c r="H57" t="b">
        <f>COUNTIFS(OrderLines[OrderID],Orders[[#This Row],[OrderID]],OrderLines[Category],"Beverage")&gt;0</f>
        <v>0</v>
      </c>
      <c r="I57">
        <f>SUMIFS(OrderLines[Revenue],OrderLines[OrderID],Orders[[#This Row],[OrderID]])</f>
        <v>462.02399999999994</v>
      </c>
      <c r="J57" t="str">
        <f>IF(AND(COUNTIFS(OrderLines[OrderID],Orders[[#This Row],[OrderID]],OrderLines[Category],"Hot Meal")&gt;0,COUNTIFS(OrderLines[OrderID],Orders[[#This Row],[OrderID]],OrderLines[Category],"Beverage")&gt;0),"Combo","Single")</f>
        <v>Single</v>
      </c>
      <c r="K57" s="17" t="str">
        <f>IF(SUMPRODUCT((OrderLines[OrderID]=Orders[[#This Row],[OrderID]])*OrderLines[Qty]*OrderLines[UnitPrice])*Orders[[#This Row],[DiscountPct]]&gt;40,"HighDisc","OK")</f>
        <v>OK</v>
      </c>
      <c r="L57" s="11">
        <f>SUMIFS(OrderLines[Revenue],OrderLines[OrderID],Orders[[#This Row],[OrderID]])-SUMIFS(OrderLines[FoodCost],OrderLines[OrderID],Orders[[#This Row],[OrderID]])</f>
        <v>234.19399999999996</v>
      </c>
      <c r="M57" s="5">
        <f>Orders[[#This Row],[GrossProfit]]/Orders[[#This Row],[OrderTotal]]</f>
        <v>0.50688708811663463</v>
      </c>
      <c r="N57" s="17" t="b">
        <f>COUNTIFS(OrderLines[OrderID],Orders[[#This Row],[OrderID]],OrderLines[Category],"Hot Meal")&gt;0</f>
        <v>1</v>
      </c>
      <c r="O57" s="17" t="b">
        <f>COUNTIFS(OrderLines[OrderID],Orders[[#This Row],[OrderID]],OrderLines[Category],"Snack")&gt;0</f>
        <v>0</v>
      </c>
      <c r="P57" s="17" t="b">
        <f>COUNTIFS(OrderLines[OrderID],Orders[[#This Row],[OrderID]],OrderLines[Category],"Dessert")&gt;0</f>
        <v>1</v>
      </c>
      <c r="Q57" s="11">
        <f>Orders[[#This Row],[OrderTotal]]-Orders[[#This Row],[GrossProfit]]</f>
        <v>227.82999999999998</v>
      </c>
    </row>
    <row r="58" spans="1:17" x14ac:dyDescent="0.25">
      <c r="A58" t="s">
        <v>93</v>
      </c>
      <c r="B58" s="1">
        <v>45878.319201388891</v>
      </c>
      <c r="C58" t="s">
        <v>9</v>
      </c>
      <c r="D58" t="s">
        <v>16</v>
      </c>
      <c r="E58" t="s">
        <v>11</v>
      </c>
      <c r="F58" t="s">
        <v>12</v>
      </c>
      <c r="G58" s="5">
        <v>0.06</v>
      </c>
      <c r="H58" t="b">
        <f>COUNTIFS(OrderLines[OrderID],Orders[[#This Row],[OrderID]],OrderLines[Category],"Beverage")&gt;0</f>
        <v>1</v>
      </c>
      <c r="I58">
        <f>SUMIFS(OrderLines[Revenue],OrderLines[OrderID],Orders[[#This Row],[OrderID]])</f>
        <v>240.47079999999997</v>
      </c>
      <c r="J58" t="str">
        <f>IF(AND(COUNTIFS(OrderLines[OrderID],Orders[[#This Row],[OrderID]],OrderLines[Category],"Hot Meal")&gt;0,COUNTIFS(OrderLines[OrderID],Orders[[#This Row],[OrderID]],OrderLines[Category],"Beverage")&gt;0),"Combo","Single")</f>
        <v>Single</v>
      </c>
      <c r="K58" s="17" t="str">
        <f>IF(SUMPRODUCT((OrderLines[OrderID]=Orders[[#This Row],[OrderID]])*OrderLines[Qty]*OrderLines[UnitPrice])*Orders[[#This Row],[DiscountPct]]&gt;40,"HighDisc","OK")</f>
        <v>OK</v>
      </c>
      <c r="L58" s="11">
        <f>SUMIFS(OrderLines[Revenue],OrderLines[OrderID],Orders[[#This Row],[OrderID]])-SUMIFS(OrderLines[FoodCost],OrderLines[OrderID],Orders[[#This Row],[OrderID]])</f>
        <v>117.54079999999996</v>
      </c>
      <c r="M58" s="5">
        <f>Orders[[#This Row],[GrossProfit]]/Orders[[#This Row],[OrderTotal]]</f>
        <v>0.4887944814921395</v>
      </c>
      <c r="N58" s="17" t="b">
        <f>COUNTIFS(OrderLines[OrderID],Orders[[#This Row],[OrderID]],OrderLines[Category],"Hot Meal")&gt;0</f>
        <v>0</v>
      </c>
      <c r="O58" s="17" t="b">
        <f>COUNTIFS(OrderLines[OrderID],Orders[[#This Row],[OrderID]],OrderLines[Category],"Snack")&gt;0</f>
        <v>1</v>
      </c>
      <c r="P58" s="17" t="b">
        <f>COUNTIFS(OrderLines[OrderID],Orders[[#This Row],[OrderID]],OrderLines[Category],"Dessert")&gt;0</f>
        <v>1</v>
      </c>
      <c r="Q58" s="11">
        <f>Orders[[#This Row],[OrderTotal]]-Orders[[#This Row],[GrossProfit]]</f>
        <v>122.93</v>
      </c>
    </row>
    <row r="59" spans="1:17" x14ac:dyDescent="0.25">
      <c r="A59" t="s">
        <v>94</v>
      </c>
      <c r="B59" s="1">
        <v>45857.875821759262</v>
      </c>
      <c r="C59" t="s">
        <v>15</v>
      </c>
      <c r="D59" t="s">
        <v>10</v>
      </c>
      <c r="E59" t="s">
        <v>21</v>
      </c>
      <c r="F59" t="s">
        <v>18</v>
      </c>
      <c r="G59" s="5">
        <v>0.05</v>
      </c>
      <c r="H59" t="b">
        <f>COUNTIFS(OrderLines[OrderID],Orders[[#This Row],[OrderID]],OrderLines[Category],"Beverage")&gt;0</f>
        <v>0</v>
      </c>
      <c r="I59">
        <f>SUMIFS(OrderLines[Revenue],OrderLines[OrderID],Orders[[#This Row],[OrderID]])</f>
        <v>233.78549999999998</v>
      </c>
      <c r="J59" t="str">
        <f>IF(AND(COUNTIFS(OrderLines[OrderID],Orders[[#This Row],[OrderID]],OrderLines[Category],"Hot Meal")&gt;0,COUNTIFS(OrderLines[OrderID],Orders[[#This Row],[OrderID]],OrderLines[Category],"Beverage")&gt;0),"Combo","Single")</f>
        <v>Single</v>
      </c>
      <c r="K59" s="17" t="str">
        <f>IF(SUMPRODUCT((OrderLines[OrderID]=Orders[[#This Row],[OrderID]])*OrderLines[Qty]*OrderLines[UnitPrice])*Orders[[#This Row],[DiscountPct]]&gt;40,"HighDisc","OK")</f>
        <v>OK</v>
      </c>
      <c r="L59" s="11">
        <f>SUMIFS(OrderLines[Revenue],OrderLines[OrderID],Orders[[#This Row],[OrderID]])-SUMIFS(OrderLines[FoodCost],OrderLines[OrderID],Orders[[#This Row],[OrderID]])</f>
        <v>121.70549999999999</v>
      </c>
      <c r="M59" s="5">
        <f>Orders[[#This Row],[GrossProfit]]/Orders[[#This Row],[OrderTotal]]</f>
        <v>0.52058617835580046</v>
      </c>
      <c r="N59" s="17" t="b">
        <f>COUNTIFS(OrderLines[OrderID],Orders[[#This Row],[OrderID]],OrderLines[Category],"Hot Meal")&gt;0</f>
        <v>1</v>
      </c>
      <c r="O59" s="17" t="b">
        <f>COUNTIFS(OrderLines[OrderID],Orders[[#This Row],[OrderID]],OrderLines[Category],"Snack")&gt;0</f>
        <v>0</v>
      </c>
      <c r="P59" s="17" t="b">
        <f>COUNTIFS(OrderLines[OrderID],Orders[[#This Row],[OrderID]],OrderLines[Category],"Dessert")&gt;0</f>
        <v>0</v>
      </c>
      <c r="Q59" s="11">
        <f>Orders[[#This Row],[OrderTotal]]-Orders[[#This Row],[GrossProfit]]</f>
        <v>112.08</v>
      </c>
    </row>
    <row r="60" spans="1:17" x14ac:dyDescent="0.25">
      <c r="A60" t="s">
        <v>96</v>
      </c>
      <c r="B60" s="1">
        <v>45894.504629629628</v>
      </c>
      <c r="C60" t="s">
        <v>15</v>
      </c>
      <c r="D60" t="s">
        <v>16</v>
      </c>
      <c r="E60" t="s">
        <v>11</v>
      </c>
      <c r="F60" t="s">
        <v>22</v>
      </c>
      <c r="G60" s="5">
        <v>0</v>
      </c>
      <c r="H60" t="b">
        <f>COUNTIFS(OrderLines[OrderID],Orders[[#This Row],[OrderID]],OrderLines[Category],"Beverage")&gt;0</f>
        <v>0</v>
      </c>
      <c r="I60">
        <f>SUMIFS(OrderLines[Revenue],OrderLines[OrderID],Orders[[#This Row],[OrderID]])</f>
        <v>662.52</v>
      </c>
      <c r="J60" t="str">
        <f>IF(AND(COUNTIFS(OrderLines[OrderID],Orders[[#This Row],[OrderID]],OrderLines[Category],"Hot Meal")&gt;0,COUNTIFS(OrderLines[OrderID],Orders[[#This Row],[OrderID]],OrderLines[Category],"Beverage")&gt;0),"Combo","Single")</f>
        <v>Single</v>
      </c>
      <c r="K60" s="17" t="str">
        <f>IF(SUMPRODUCT((OrderLines[OrderID]=Orders[[#This Row],[OrderID]])*OrderLines[Qty]*OrderLines[UnitPrice])*Orders[[#This Row],[DiscountPct]]&gt;40,"HighDisc","OK")</f>
        <v>OK</v>
      </c>
      <c r="L60" s="11">
        <f>SUMIFS(OrderLines[Revenue],OrderLines[OrderID],Orders[[#This Row],[OrderID]])-SUMIFS(OrderLines[FoodCost],OrderLines[OrderID],Orders[[#This Row],[OrderID]])</f>
        <v>371.66999999999996</v>
      </c>
      <c r="M60" s="5">
        <f>Orders[[#This Row],[GrossProfit]]/Orders[[#This Row],[OrderTotal]]</f>
        <v>0.56099438507516752</v>
      </c>
      <c r="N60" s="17" t="b">
        <f>COUNTIFS(OrderLines[OrderID],Orders[[#This Row],[OrderID]],OrderLines[Category],"Hot Meal")&gt;0</f>
        <v>1</v>
      </c>
      <c r="O60" s="17" t="b">
        <f>COUNTIFS(OrderLines[OrderID],Orders[[#This Row],[OrderID]],OrderLines[Category],"Snack")&gt;0</f>
        <v>0</v>
      </c>
      <c r="P60" s="17" t="b">
        <f>COUNTIFS(OrderLines[OrderID],Orders[[#This Row],[OrderID]],OrderLines[Category],"Dessert")&gt;0</f>
        <v>1</v>
      </c>
      <c r="Q60" s="11">
        <f>Orders[[#This Row],[OrderTotal]]-Orders[[#This Row],[GrossProfit]]</f>
        <v>290.85000000000002</v>
      </c>
    </row>
    <row r="61" spans="1:17" x14ac:dyDescent="0.25">
      <c r="A61" t="s">
        <v>97</v>
      </c>
      <c r="B61" s="1">
        <v>45868.753321759257</v>
      </c>
      <c r="C61" t="s">
        <v>15</v>
      </c>
      <c r="D61" t="s">
        <v>28</v>
      </c>
      <c r="E61" t="s">
        <v>21</v>
      </c>
      <c r="F61" t="s">
        <v>18</v>
      </c>
      <c r="G61" s="5">
        <v>0.04</v>
      </c>
      <c r="H61" t="b">
        <f>COUNTIFS(OrderLines[OrderID],Orders[[#This Row],[OrderID]],OrderLines[Category],"Beverage")&gt;0</f>
        <v>0</v>
      </c>
      <c r="I61">
        <f>SUMIFS(OrderLines[Revenue],OrderLines[OrderID],Orders[[#This Row],[OrderID]])</f>
        <v>710.06400000000008</v>
      </c>
      <c r="J61" t="str">
        <f>IF(AND(COUNTIFS(OrderLines[OrderID],Orders[[#This Row],[OrderID]],OrderLines[Category],"Hot Meal")&gt;0,COUNTIFS(OrderLines[OrderID],Orders[[#This Row],[OrderID]],OrderLines[Category],"Beverage")&gt;0),"Combo","Single")</f>
        <v>Single</v>
      </c>
      <c r="K61" s="17" t="str">
        <f>IF(SUMPRODUCT((OrderLines[OrderID]=Orders[[#This Row],[OrderID]])*OrderLines[Qty]*OrderLines[UnitPrice])*Orders[[#This Row],[DiscountPct]]&gt;40,"HighDisc","OK")</f>
        <v>OK</v>
      </c>
      <c r="L61" s="11">
        <f>SUMIFS(OrderLines[Revenue],OrderLines[OrderID],Orders[[#This Row],[OrderID]])-SUMIFS(OrderLines[FoodCost],OrderLines[OrderID],Orders[[#This Row],[OrderID]])</f>
        <v>369.06400000000008</v>
      </c>
      <c r="M61" s="5">
        <f>Orders[[#This Row],[GrossProfit]]/Orders[[#This Row],[OrderTotal]]</f>
        <v>0.5197615989544605</v>
      </c>
      <c r="N61" s="17" t="b">
        <f>COUNTIFS(OrderLines[OrderID],Orders[[#This Row],[OrderID]],OrderLines[Category],"Hot Meal")&gt;0</f>
        <v>1</v>
      </c>
      <c r="O61" s="17" t="b">
        <f>COUNTIFS(OrderLines[OrderID],Orders[[#This Row],[OrderID]],OrderLines[Category],"Snack")&gt;0</f>
        <v>1</v>
      </c>
      <c r="P61" s="17" t="b">
        <f>COUNTIFS(OrderLines[OrderID],Orders[[#This Row],[OrderID]],OrderLines[Category],"Dessert")&gt;0</f>
        <v>0</v>
      </c>
      <c r="Q61" s="11">
        <f>Orders[[#This Row],[OrderTotal]]-Orders[[#This Row],[GrossProfit]]</f>
        <v>341</v>
      </c>
    </row>
    <row r="62" spans="1:17" x14ac:dyDescent="0.25">
      <c r="A62" t="s">
        <v>98</v>
      </c>
      <c r="B62" s="1">
        <v>45884.395868055559</v>
      </c>
      <c r="C62" t="s">
        <v>15</v>
      </c>
      <c r="D62" t="s">
        <v>16</v>
      </c>
      <c r="E62" t="s">
        <v>11</v>
      </c>
      <c r="F62" t="s">
        <v>12</v>
      </c>
      <c r="G62" s="5">
        <v>0.05</v>
      </c>
      <c r="H62" t="b">
        <f>COUNTIFS(OrderLines[OrderID],Orders[[#This Row],[OrderID]],OrderLines[Category],"Beverage")&gt;0</f>
        <v>1</v>
      </c>
      <c r="I62">
        <f>SUMIFS(OrderLines[Revenue],OrderLines[OrderID],Orders[[#This Row],[OrderID]])</f>
        <v>252.66200000000001</v>
      </c>
      <c r="J62" t="str">
        <f>IF(AND(COUNTIFS(OrderLines[OrderID],Orders[[#This Row],[OrderID]],OrderLines[Category],"Hot Meal")&gt;0,COUNTIFS(OrderLines[OrderID],Orders[[#This Row],[OrderID]],OrderLines[Category],"Beverage")&gt;0),"Combo","Single")</f>
        <v>Single</v>
      </c>
      <c r="K62" s="17" t="str">
        <f>IF(SUMPRODUCT((OrderLines[OrderID]=Orders[[#This Row],[OrderID]])*OrderLines[Qty]*OrderLines[UnitPrice])*Orders[[#This Row],[DiscountPct]]&gt;40,"HighDisc","OK")</f>
        <v>OK</v>
      </c>
      <c r="L62" s="11">
        <f>SUMIFS(OrderLines[Revenue],OrderLines[OrderID],Orders[[#This Row],[OrderID]])-SUMIFS(OrderLines[FoodCost],OrderLines[OrderID],Orders[[#This Row],[OrderID]])</f>
        <v>140.13200000000001</v>
      </c>
      <c r="M62" s="5">
        <f>Orders[[#This Row],[GrossProfit]]/Orders[[#This Row],[OrderTotal]]</f>
        <v>0.5546223808883014</v>
      </c>
      <c r="N62" s="17" t="b">
        <f>COUNTIFS(OrderLines[OrderID],Orders[[#This Row],[OrderID]],OrderLines[Category],"Hot Meal")&gt;0</f>
        <v>0</v>
      </c>
      <c r="O62" s="17" t="b">
        <f>COUNTIFS(OrderLines[OrderID],Orders[[#This Row],[OrderID]],OrderLines[Category],"Snack")&gt;0</f>
        <v>1</v>
      </c>
      <c r="P62" s="17" t="b">
        <f>COUNTIFS(OrderLines[OrderID],Orders[[#This Row],[OrderID]],OrderLines[Category],"Dessert")&gt;0</f>
        <v>0</v>
      </c>
      <c r="Q62" s="11">
        <f>Orders[[#This Row],[OrderTotal]]-Orders[[#This Row],[GrossProfit]]</f>
        <v>112.53</v>
      </c>
    </row>
    <row r="63" spans="1:17" x14ac:dyDescent="0.25">
      <c r="A63" t="s">
        <v>99</v>
      </c>
      <c r="B63" s="1">
        <v>45888.880069444444</v>
      </c>
      <c r="C63" t="s">
        <v>15</v>
      </c>
      <c r="D63" t="s">
        <v>10</v>
      </c>
      <c r="E63" t="s">
        <v>17</v>
      </c>
      <c r="F63" t="s">
        <v>18</v>
      </c>
      <c r="G63" s="5">
        <v>0.03</v>
      </c>
      <c r="H63" t="b">
        <f>COUNTIFS(OrderLines[OrderID],Orders[[#This Row],[OrderID]],OrderLines[Category],"Beverage")&gt;0</f>
        <v>1</v>
      </c>
      <c r="I63">
        <f>SUMIFS(OrderLines[Revenue],OrderLines[OrderID],Orders[[#This Row],[OrderID]])</f>
        <v>285.45159999999998</v>
      </c>
      <c r="J63" t="str">
        <f>IF(AND(COUNTIFS(OrderLines[OrderID],Orders[[#This Row],[OrderID]],OrderLines[Category],"Hot Meal")&gt;0,COUNTIFS(OrderLines[OrderID],Orders[[#This Row],[OrderID]],OrderLines[Category],"Beverage")&gt;0),"Combo","Single")</f>
        <v>Single</v>
      </c>
      <c r="K63" s="17" t="str">
        <f>IF(SUMPRODUCT((OrderLines[OrderID]=Orders[[#This Row],[OrderID]])*OrderLines[Qty]*OrderLines[UnitPrice])*Orders[[#This Row],[DiscountPct]]&gt;40,"HighDisc","OK")</f>
        <v>OK</v>
      </c>
      <c r="L63" s="11">
        <f>SUMIFS(OrderLines[Revenue],OrderLines[OrderID],Orders[[#This Row],[OrderID]])-SUMIFS(OrderLines[FoodCost],OrderLines[OrderID],Orders[[#This Row],[OrderID]])</f>
        <v>159.15159999999997</v>
      </c>
      <c r="M63" s="5">
        <f>Orders[[#This Row],[GrossProfit]]/Orders[[#This Row],[OrderTotal]]</f>
        <v>0.55754320522288181</v>
      </c>
      <c r="N63" s="17" t="b">
        <f>COUNTIFS(OrderLines[OrderID],Orders[[#This Row],[OrderID]],OrderLines[Category],"Hot Meal")&gt;0</f>
        <v>0</v>
      </c>
      <c r="O63" s="17" t="b">
        <f>COUNTIFS(OrderLines[OrderID],Orders[[#This Row],[OrderID]],OrderLines[Category],"Snack")&gt;0</f>
        <v>0</v>
      </c>
      <c r="P63" s="17" t="b">
        <f>COUNTIFS(OrderLines[OrderID],Orders[[#This Row],[OrderID]],OrderLines[Category],"Dessert")&gt;0</f>
        <v>1</v>
      </c>
      <c r="Q63" s="11">
        <f>Orders[[#This Row],[OrderTotal]]-Orders[[#This Row],[GrossProfit]]</f>
        <v>126.30000000000001</v>
      </c>
    </row>
    <row r="64" spans="1:17" x14ac:dyDescent="0.25">
      <c r="A64" t="s">
        <v>100</v>
      </c>
      <c r="B64" s="1">
        <v>45866.802916666667</v>
      </c>
      <c r="C64" t="s">
        <v>9</v>
      </c>
      <c r="D64" t="s">
        <v>10</v>
      </c>
      <c r="E64" t="s">
        <v>11</v>
      </c>
      <c r="F64" t="s">
        <v>18</v>
      </c>
      <c r="G64" s="5">
        <v>0.05</v>
      </c>
      <c r="H64" t="b">
        <f>COUNTIFS(OrderLines[OrderID],Orders[[#This Row],[OrderID]],OrderLines[Category],"Beverage")&gt;0</f>
        <v>0</v>
      </c>
      <c r="I64">
        <f>SUMIFS(OrderLines[Revenue],OrderLines[OrderID],Orders[[#This Row],[OrderID]])</f>
        <v>145.44499999999999</v>
      </c>
      <c r="J64" t="str">
        <f>IF(AND(COUNTIFS(OrderLines[OrderID],Orders[[#This Row],[OrderID]],OrderLines[Category],"Hot Meal")&gt;0,COUNTIFS(OrderLines[OrderID],Orders[[#This Row],[OrderID]],OrderLines[Category],"Beverage")&gt;0),"Combo","Single")</f>
        <v>Single</v>
      </c>
      <c r="K64" s="17" t="str">
        <f>IF(SUMPRODUCT((OrderLines[OrderID]=Orders[[#This Row],[OrderID]])*OrderLines[Qty]*OrderLines[UnitPrice])*Orders[[#This Row],[DiscountPct]]&gt;40,"HighDisc","OK")</f>
        <v>OK</v>
      </c>
      <c r="L64" s="11">
        <f>SUMIFS(OrderLines[Revenue],OrderLines[OrderID],Orders[[#This Row],[OrderID]])-SUMIFS(OrderLines[FoodCost],OrderLines[OrderID],Orders[[#This Row],[OrderID]])</f>
        <v>68.984999999999999</v>
      </c>
      <c r="M64" s="5">
        <f>Orders[[#This Row],[GrossProfit]]/Orders[[#This Row],[OrderTotal]]</f>
        <v>0.47430300113444945</v>
      </c>
      <c r="N64" s="17" t="b">
        <f>COUNTIFS(OrderLines[OrderID],Orders[[#This Row],[OrderID]],OrderLines[Category],"Hot Meal")&gt;0</f>
        <v>0</v>
      </c>
      <c r="O64" s="17" t="b">
        <f>COUNTIFS(OrderLines[OrderID],Orders[[#This Row],[OrderID]],OrderLines[Category],"Snack")&gt;0</f>
        <v>0</v>
      </c>
      <c r="P64" s="17" t="b">
        <f>COUNTIFS(OrderLines[OrderID],Orders[[#This Row],[OrderID]],OrderLines[Category],"Dessert")&gt;0</f>
        <v>1</v>
      </c>
      <c r="Q64" s="11">
        <f>Orders[[#This Row],[OrderTotal]]-Orders[[#This Row],[GrossProfit]]</f>
        <v>76.459999999999994</v>
      </c>
    </row>
    <row r="65" spans="1:17" x14ac:dyDescent="0.25">
      <c r="A65" t="s">
        <v>101</v>
      </c>
      <c r="B65" s="1">
        <v>45848.316990740743</v>
      </c>
      <c r="C65" t="s">
        <v>27</v>
      </c>
      <c r="D65" t="s">
        <v>10</v>
      </c>
      <c r="E65" t="s">
        <v>21</v>
      </c>
      <c r="F65" t="s">
        <v>12</v>
      </c>
      <c r="G65" s="5">
        <v>0.08</v>
      </c>
      <c r="H65" t="b">
        <f>COUNTIFS(OrderLines[OrderID],Orders[[#This Row],[OrderID]],OrderLines[Category],"Beverage")&gt;0</f>
        <v>1</v>
      </c>
      <c r="I65">
        <f>SUMIFS(OrderLines[Revenue],OrderLines[OrderID],Orders[[#This Row],[OrderID]])</f>
        <v>18.501200000000001</v>
      </c>
      <c r="J65" t="str">
        <f>IF(AND(COUNTIFS(OrderLines[OrderID],Orders[[#This Row],[OrderID]],OrderLines[Category],"Hot Meal")&gt;0,COUNTIFS(OrderLines[OrderID],Orders[[#This Row],[OrderID]],OrderLines[Category],"Beverage")&gt;0),"Combo","Single")</f>
        <v>Single</v>
      </c>
      <c r="K65" s="17" t="str">
        <f>IF(SUMPRODUCT((OrderLines[OrderID]=Orders[[#This Row],[OrderID]])*OrderLines[Qty]*OrderLines[UnitPrice])*Orders[[#This Row],[DiscountPct]]&gt;40,"HighDisc","OK")</f>
        <v>OK</v>
      </c>
      <c r="L65" s="11">
        <f>SUMIFS(OrderLines[Revenue],OrderLines[OrderID],Orders[[#This Row],[OrderID]])-SUMIFS(OrderLines[FoodCost],OrderLines[OrderID],Orders[[#This Row],[OrderID]])</f>
        <v>10.501200000000001</v>
      </c>
      <c r="M65" s="5">
        <f>Orders[[#This Row],[GrossProfit]]/Orders[[#This Row],[OrderTotal]]</f>
        <v>0.5675956154195404</v>
      </c>
      <c r="N65" s="17" t="b">
        <f>COUNTIFS(OrderLines[OrderID],Orders[[#This Row],[OrderID]],OrderLines[Category],"Hot Meal")&gt;0</f>
        <v>0</v>
      </c>
      <c r="O65" s="17" t="b">
        <f>COUNTIFS(OrderLines[OrderID],Orders[[#This Row],[OrderID]],OrderLines[Category],"Snack")&gt;0</f>
        <v>0</v>
      </c>
      <c r="P65" s="17" t="b">
        <f>COUNTIFS(OrderLines[OrderID],Orders[[#This Row],[OrderID]],OrderLines[Category],"Dessert")&gt;0</f>
        <v>0</v>
      </c>
      <c r="Q65" s="11">
        <f>Orders[[#This Row],[OrderTotal]]-Orders[[#This Row],[GrossProfit]]</f>
        <v>8</v>
      </c>
    </row>
    <row r="66" spans="1:17" x14ac:dyDescent="0.25">
      <c r="A66" t="s">
        <v>102</v>
      </c>
      <c r="B66" s="1">
        <v>45858.583587962959</v>
      </c>
      <c r="C66" t="s">
        <v>27</v>
      </c>
      <c r="D66" t="s">
        <v>28</v>
      </c>
      <c r="E66" t="s">
        <v>17</v>
      </c>
      <c r="F66" t="s">
        <v>22</v>
      </c>
      <c r="G66" s="5">
        <v>0.14000000000000001</v>
      </c>
      <c r="H66" t="b">
        <f>COUNTIFS(OrderLines[OrderID],Orders[[#This Row],[OrderID]],OrderLines[Category],"Beverage")&gt;0</f>
        <v>1</v>
      </c>
      <c r="I66">
        <f>SUMIFS(OrderLines[Revenue],OrderLines[OrderID],Orders[[#This Row],[OrderID]])</f>
        <v>587.66380000000004</v>
      </c>
      <c r="J66" t="str">
        <f>IF(AND(COUNTIFS(OrderLines[OrderID],Orders[[#This Row],[OrderID]],OrderLines[Category],"Hot Meal")&gt;0,COUNTIFS(OrderLines[OrderID],Orders[[#This Row],[OrderID]],OrderLines[Category],"Beverage")&gt;0),"Combo","Single")</f>
        <v>Combo</v>
      </c>
      <c r="K66" s="17" t="str">
        <f>IF(SUMPRODUCT((OrderLines[OrderID]=Orders[[#This Row],[OrderID]])*OrderLines[Qty]*OrderLines[UnitPrice])*Orders[[#This Row],[DiscountPct]]&gt;40,"HighDisc","OK")</f>
        <v>HighDisc</v>
      </c>
      <c r="L66" s="11">
        <f>SUMIFS(OrderLines[Revenue],OrderLines[OrderID],Orders[[#This Row],[OrderID]])-SUMIFS(OrderLines[FoodCost],OrderLines[OrderID],Orders[[#This Row],[OrderID]])</f>
        <v>259.67380000000003</v>
      </c>
      <c r="M66" s="5">
        <f>Orders[[#This Row],[GrossProfit]]/Orders[[#This Row],[OrderTotal]]</f>
        <v>0.44187475900336215</v>
      </c>
      <c r="N66" s="17" t="b">
        <f>COUNTIFS(OrderLines[OrderID],Orders[[#This Row],[OrderID]],OrderLines[Category],"Hot Meal")&gt;0</f>
        <v>1</v>
      </c>
      <c r="O66" s="17" t="b">
        <f>COUNTIFS(OrderLines[OrderID],Orders[[#This Row],[OrderID]],OrderLines[Category],"Snack")&gt;0</f>
        <v>1</v>
      </c>
      <c r="P66" s="17" t="b">
        <f>COUNTIFS(OrderLines[OrderID],Orders[[#This Row],[OrderID]],OrderLines[Category],"Dessert")&gt;0</f>
        <v>0</v>
      </c>
      <c r="Q66" s="11">
        <f>Orders[[#This Row],[OrderTotal]]-Orders[[#This Row],[GrossProfit]]</f>
        <v>327.99</v>
      </c>
    </row>
    <row r="67" spans="1:17" x14ac:dyDescent="0.25">
      <c r="A67" t="s">
        <v>103</v>
      </c>
      <c r="B67" s="1">
        <v>45885.381157407413</v>
      </c>
      <c r="C67" t="s">
        <v>9</v>
      </c>
      <c r="D67" t="s">
        <v>28</v>
      </c>
      <c r="E67" t="s">
        <v>21</v>
      </c>
      <c r="F67" t="s">
        <v>12</v>
      </c>
      <c r="G67" s="5">
        <v>7.0000000000000007E-2</v>
      </c>
      <c r="H67" t="b">
        <f>COUNTIFS(OrderLines[OrderID],Orders[[#This Row],[OrderID]],OrderLines[Category],"Beverage")&gt;0</f>
        <v>0</v>
      </c>
      <c r="I67">
        <f>SUMIFS(OrderLines[Revenue],OrderLines[OrderID],Orders[[#This Row],[OrderID]])</f>
        <v>1009.5894</v>
      </c>
      <c r="J67" t="str">
        <f>IF(AND(COUNTIFS(OrderLines[OrderID],Orders[[#This Row],[OrderID]],OrderLines[Category],"Hot Meal")&gt;0,COUNTIFS(OrderLines[OrderID],Orders[[#This Row],[OrderID]],OrderLines[Category],"Beverage")&gt;0),"Combo","Single")</f>
        <v>Single</v>
      </c>
      <c r="K67" s="17" t="str">
        <f>IF(SUMPRODUCT((OrderLines[OrderID]=Orders[[#This Row],[OrderID]])*OrderLines[Qty]*OrderLines[UnitPrice])*Orders[[#This Row],[DiscountPct]]&gt;40,"HighDisc","OK")</f>
        <v>HighDisc</v>
      </c>
      <c r="L67" s="11">
        <f>SUMIFS(OrderLines[Revenue],OrderLines[OrderID],Orders[[#This Row],[OrderID]])-SUMIFS(OrderLines[FoodCost],OrderLines[OrderID],Orders[[#This Row],[OrderID]])</f>
        <v>478.37939999999992</v>
      </c>
      <c r="M67" s="5">
        <f>Orders[[#This Row],[GrossProfit]]/Orders[[#This Row],[OrderTotal]]</f>
        <v>0.47383560088883653</v>
      </c>
      <c r="N67" s="17" t="b">
        <f>COUNTIFS(OrderLines[OrderID],Orders[[#This Row],[OrderID]],OrderLines[Category],"Hot Meal")&gt;0</f>
        <v>1</v>
      </c>
      <c r="O67" s="17" t="b">
        <f>COUNTIFS(OrderLines[OrderID],Orders[[#This Row],[OrderID]],OrderLines[Category],"Snack")&gt;0</f>
        <v>1</v>
      </c>
      <c r="P67" s="17" t="b">
        <f>COUNTIFS(OrderLines[OrderID],Orders[[#This Row],[OrderID]],OrderLines[Category],"Dessert")&gt;0</f>
        <v>1</v>
      </c>
      <c r="Q67" s="11">
        <f>Orders[[#This Row],[OrderTotal]]-Orders[[#This Row],[GrossProfit]]</f>
        <v>531.21</v>
      </c>
    </row>
    <row r="68" spans="1:17" x14ac:dyDescent="0.25">
      <c r="A68" t="s">
        <v>104</v>
      </c>
      <c r="B68" s="1">
        <v>45895.142094907409</v>
      </c>
      <c r="C68" t="s">
        <v>27</v>
      </c>
      <c r="D68" t="s">
        <v>10</v>
      </c>
      <c r="E68" t="s">
        <v>11</v>
      </c>
      <c r="F68" t="s">
        <v>12</v>
      </c>
      <c r="G68" s="5">
        <v>7.0000000000000007E-2</v>
      </c>
      <c r="H68" t="b">
        <f>COUNTIFS(OrderLines[OrderID],Orders[[#This Row],[OrderID]],OrderLines[Category],"Beverage")&gt;0</f>
        <v>1</v>
      </c>
      <c r="I68">
        <f>SUMIFS(OrderLines[Revenue],OrderLines[OrderID],Orders[[#This Row],[OrderID]])</f>
        <v>337.50630000000001</v>
      </c>
      <c r="J68" t="str">
        <f>IF(AND(COUNTIFS(OrderLines[OrderID],Orders[[#This Row],[OrderID]],OrderLines[Category],"Hot Meal")&gt;0,COUNTIFS(OrderLines[OrderID],Orders[[#This Row],[OrderID]],OrderLines[Category],"Beverage")&gt;0),"Combo","Single")</f>
        <v>Single</v>
      </c>
      <c r="K68" s="17" t="str">
        <f>IF(SUMPRODUCT((OrderLines[OrderID]=Orders[[#This Row],[OrderID]])*OrderLines[Qty]*OrderLines[UnitPrice])*Orders[[#This Row],[DiscountPct]]&gt;40,"HighDisc","OK")</f>
        <v>OK</v>
      </c>
      <c r="L68" s="11">
        <f>SUMIFS(OrderLines[Revenue],OrderLines[OrderID],Orders[[#This Row],[OrderID]])-SUMIFS(OrderLines[FoodCost],OrderLines[OrderID],Orders[[#This Row],[OrderID]])</f>
        <v>175.68630000000002</v>
      </c>
      <c r="M68" s="5">
        <f>Orders[[#This Row],[GrossProfit]]/Orders[[#This Row],[OrderTotal]]</f>
        <v>0.52054228321071339</v>
      </c>
      <c r="N68" s="17" t="b">
        <f>COUNTIFS(OrderLines[OrderID],Orders[[#This Row],[OrderID]],OrderLines[Category],"Hot Meal")&gt;0</f>
        <v>0</v>
      </c>
      <c r="O68" s="17" t="b">
        <f>COUNTIFS(OrderLines[OrderID],Orders[[#This Row],[OrderID]],OrderLines[Category],"Snack")&gt;0</f>
        <v>1</v>
      </c>
      <c r="P68" s="17" t="b">
        <f>COUNTIFS(OrderLines[OrderID],Orders[[#This Row],[OrderID]],OrderLines[Category],"Dessert")&gt;0</f>
        <v>1</v>
      </c>
      <c r="Q68" s="11">
        <f>Orders[[#This Row],[OrderTotal]]-Orders[[#This Row],[GrossProfit]]</f>
        <v>161.82</v>
      </c>
    </row>
    <row r="69" spans="1:17" x14ac:dyDescent="0.25">
      <c r="A69" t="s">
        <v>105</v>
      </c>
      <c r="B69" s="1">
        <v>45887.249259259261</v>
      </c>
      <c r="C69" t="s">
        <v>15</v>
      </c>
      <c r="D69" t="s">
        <v>28</v>
      </c>
      <c r="E69" t="s">
        <v>17</v>
      </c>
      <c r="F69" t="s">
        <v>12</v>
      </c>
      <c r="G69" s="5">
        <v>0.06</v>
      </c>
      <c r="H69" t="b">
        <f>COUNTIFS(OrderLines[OrderID],Orders[[#This Row],[OrderID]],OrderLines[Category],"Beverage")&gt;0</f>
        <v>1</v>
      </c>
      <c r="I69">
        <f>SUMIFS(OrderLines[Revenue],OrderLines[OrderID],Orders[[#This Row],[OrderID]])</f>
        <v>373.89439999999996</v>
      </c>
      <c r="J69" t="str">
        <f>IF(AND(COUNTIFS(OrderLines[OrderID],Orders[[#This Row],[OrderID]],OrderLines[Category],"Hot Meal")&gt;0,COUNTIFS(OrderLines[OrderID],Orders[[#This Row],[OrderID]],OrderLines[Category],"Beverage")&gt;0),"Combo","Single")</f>
        <v>Combo</v>
      </c>
      <c r="K69" s="17" t="str">
        <f>IF(SUMPRODUCT((OrderLines[OrderID]=Orders[[#This Row],[OrderID]])*OrderLines[Qty]*OrderLines[UnitPrice])*Orders[[#This Row],[DiscountPct]]&gt;40,"HighDisc","OK")</f>
        <v>OK</v>
      </c>
      <c r="L69" s="11">
        <f>SUMIFS(OrderLines[Revenue],OrderLines[OrderID],Orders[[#This Row],[OrderID]])-SUMIFS(OrderLines[FoodCost],OrderLines[OrderID],Orders[[#This Row],[OrderID]])</f>
        <v>182.11439999999999</v>
      </c>
      <c r="M69" s="5">
        <f>Orders[[#This Row],[GrossProfit]]/Orders[[#This Row],[OrderTotal]]</f>
        <v>0.48707442529227507</v>
      </c>
      <c r="N69" s="17" t="b">
        <f>COUNTIFS(OrderLines[OrderID],Orders[[#This Row],[OrderID]],OrderLines[Category],"Hot Meal")&gt;0</f>
        <v>1</v>
      </c>
      <c r="O69" s="17" t="b">
        <f>COUNTIFS(OrderLines[OrderID],Orders[[#This Row],[OrderID]],OrderLines[Category],"Snack")&gt;0</f>
        <v>1</v>
      </c>
      <c r="P69" s="17" t="b">
        <f>COUNTIFS(OrderLines[OrderID],Orders[[#This Row],[OrderID]],OrderLines[Category],"Dessert")&gt;0</f>
        <v>0</v>
      </c>
      <c r="Q69" s="11">
        <f>Orders[[#This Row],[OrderTotal]]-Orders[[#This Row],[GrossProfit]]</f>
        <v>191.77999999999997</v>
      </c>
    </row>
    <row r="70" spans="1:17" x14ac:dyDescent="0.25">
      <c r="A70" t="s">
        <v>106</v>
      </c>
      <c r="B70" s="1">
        <v>45849.598599537043</v>
      </c>
      <c r="C70" t="s">
        <v>15</v>
      </c>
      <c r="D70" t="s">
        <v>28</v>
      </c>
      <c r="E70" t="s">
        <v>17</v>
      </c>
      <c r="F70" t="s">
        <v>22</v>
      </c>
      <c r="G70" s="5">
        <v>0</v>
      </c>
      <c r="H70" t="b">
        <f>COUNTIFS(OrderLines[OrderID],Orders[[#This Row],[OrderID]],OrderLines[Category],"Beverage")&gt;0</f>
        <v>0</v>
      </c>
      <c r="I70">
        <f>SUMIFS(OrderLines[Revenue],OrderLines[OrderID],Orders[[#This Row],[OrderID]])</f>
        <v>1539.5700000000002</v>
      </c>
      <c r="J70" t="str">
        <f>IF(AND(COUNTIFS(OrderLines[OrderID],Orders[[#This Row],[OrderID]],OrderLines[Category],"Hot Meal")&gt;0,COUNTIFS(OrderLines[OrderID],Orders[[#This Row],[OrderID]],OrderLines[Category],"Beverage")&gt;0),"Combo","Single")</f>
        <v>Single</v>
      </c>
      <c r="K70" s="17" t="str">
        <f>IF(SUMPRODUCT((OrderLines[OrderID]=Orders[[#This Row],[OrderID]])*OrderLines[Qty]*OrderLines[UnitPrice])*Orders[[#This Row],[DiscountPct]]&gt;40,"HighDisc","OK")</f>
        <v>OK</v>
      </c>
      <c r="L70" s="11">
        <f>SUMIFS(OrderLines[Revenue],OrderLines[OrderID],Orders[[#This Row],[OrderID]])-SUMIFS(OrderLines[FoodCost],OrderLines[OrderID],Orders[[#This Row],[OrderID]])</f>
        <v>808.31000000000017</v>
      </c>
      <c r="M70" s="5">
        <f>Orders[[#This Row],[GrossProfit]]/Orders[[#This Row],[OrderTotal]]</f>
        <v>0.52502322076943564</v>
      </c>
      <c r="N70" s="17" t="b">
        <f>COUNTIFS(OrderLines[OrderID],Orders[[#This Row],[OrderID]],OrderLines[Category],"Hot Meal")&gt;0</f>
        <v>1</v>
      </c>
      <c r="O70" s="17" t="b">
        <f>COUNTIFS(OrderLines[OrderID],Orders[[#This Row],[OrderID]],OrderLines[Category],"Snack")&gt;0</f>
        <v>1</v>
      </c>
      <c r="P70" s="17" t="b">
        <f>COUNTIFS(OrderLines[OrderID],Orders[[#This Row],[OrderID]],OrderLines[Category],"Dessert")&gt;0</f>
        <v>0</v>
      </c>
      <c r="Q70" s="11">
        <f>Orders[[#This Row],[OrderTotal]]-Orders[[#This Row],[GrossProfit]]</f>
        <v>731.26</v>
      </c>
    </row>
    <row r="71" spans="1:17" x14ac:dyDescent="0.25">
      <c r="A71" t="s">
        <v>107</v>
      </c>
      <c r="B71" s="1">
        <v>45884.353310185194</v>
      </c>
      <c r="C71" t="s">
        <v>27</v>
      </c>
      <c r="D71" t="s">
        <v>10</v>
      </c>
      <c r="E71" t="s">
        <v>17</v>
      </c>
      <c r="F71" t="s">
        <v>12</v>
      </c>
      <c r="G71" s="5">
        <v>0.06</v>
      </c>
      <c r="H71" t="b">
        <f>COUNTIFS(OrderLines[OrderID],Orders[[#This Row],[OrderID]],OrderLines[Category],"Beverage")&gt;0</f>
        <v>1</v>
      </c>
      <c r="I71">
        <f>SUMIFS(OrderLines[Revenue],OrderLines[OrderID],Orders[[#This Row],[OrderID]])</f>
        <v>56.710199999999993</v>
      </c>
      <c r="J71" t="str">
        <f>IF(AND(COUNTIFS(OrderLines[OrderID],Orders[[#This Row],[OrderID]],OrderLines[Category],"Hot Meal")&gt;0,COUNTIFS(OrderLines[OrderID],Orders[[#This Row],[OrderID]],OrderLines[Category],"Beverage")&gt;0),"Combo","Single")</f>
        <v>Single</v>
      </c>
      <c r="K71" s="17" t="str">
        <f>IF(SUMPRODUCT((OrderLines[OrderID]=Orders[[#This Row],[OrderID]])*OrderLines[Qty]*OrderLines[UnitPrice])*Orders[[#This Row],[DiscountPct]]&gt;40,"HighDisc","OK")</f>
        <v>OK</v>
      </c>
      <c r="L71" s="11">
        <f>SUMIFS(OrderLines[Revenue],OrderLines[OrderID],Orders[[#This Row],[OrderID]])-SUMIFS(OrderLines[FoodCost],OrderLines[OrderID],Orders[[#This Row],[OrderID]])</f>
        <v>32.710199999999993</v>
      </c>
      <c r="M71" s="5">
        <f>Orders[[#This Row],[GrossProfit]]/Orders[[#This Row],[OrderTotal]]</f>
        <v>0.57679570870848629</v>
      </c>
      <c r="N71" s="17" t="b">
        <f>COUNTIFS(OrderLines[OrderID],Orders[[#This Row],[OrderID]],OrderLines[Category],"Hot Meal")&gt;0</f>
        <v>0</v>
      </c>
      <c r="O71" s="17" t="b">
        <f>COUNTIFS(OrderLines[OrderID],Orders[[#This Row],[OrderID]],OrderLines[Category],"Snack")&gt;0</f>
        <v>0</v>
      </c>
      <c r="P71" s="17" t="b">
        <f>COUNTIFS(OrderLines[OrderID],Orders[[#This Row],[OrderID]],OrderLines[Category],"Dessert")&gt;0</f>
        <v>0</v>
      </c>
      <c r="Q71" s="11">
        <f>Orders[[#This Row],[OrderTotal]]-Orders[[#This Row],[GrossProfit]]</f>
        <v>24</v>
      </c>
    </row>
    <row r="72" spans="1:17" x14ac:dyDescent="0.25">
      <c r="A72" t="s">
        <v>108</v>
      </c>
      <c r="B72" s="1">
        <v>45883.568043981482</v>
      </c>
      <c r="C72" t="s">
        <v>27</v>
      </c>
      <c r="D72" t="s">
        <v>16</v>
      </c>
      <c r="E72" t="s">
        <v>11</v>
      </c>
      <c r="F72" t="s">
        <v>22</v>
      </c>
      <c r="G72" s="5">
        <v>0.06</v>
      </c>
      <c r="H72" t="b">
        <f>COUNTIFS(OrderLines[OrderID],Orders[[#This Row],[OrderID]],OrderLines[Category],"Beverage")&gt;0</f>
        <v>0</v>
      </c>
      <c r="I72">
        <f>SUMIFS(OrderLines[Revenue],OrderLines[OrderID],Orders[[#This Row],[OrderID]])</f>
        <v>304.49419999999998</v>
      </c>
      <c r="J72" t="str">
        <f>IF(AND(COUNTIFS(OrderLines[OrderID],Orders[[#This Row],[OrderID]],OrderLines[Category],"Hot Meal")&gt;0,COUNTIFS(OrderLines[OrderID],Orders[[#This Row],[OrderID]],OrderLines[Category],"Beverage")&gt;0),"Combo","Single")</f>
        <v>Single</v>
      </c>
      <c r="K72" s="17" t="str">
        <f>IF(SUMPRODUCT((OrderLines[OrderID]=Orders[[#This Row],[OrderID]])*OrderLines[Qty]*OrderLines[UnitPrice])*Orders[[#This Row],[DiscountPct]]&gt;40,"HighDisc","OK")</f>
        <v>OK</v>
      </c>
      <c r="L72" s="11">
        <f>SUMIFS(OrderLines[Revenue],OrderLines[OrderID],Orders[[#This Row],[OrderID]])-SUMIFS(OrderLines[FoodCost],OrderLines[OrderID],Orders[[#This Row],[OrderID]])</f>
        <v>153.96420000000001</v>
      </c>
      <c r="M72" s="5">
        <f>Orders[[#This Row],[GrossProfit]]/Orders[[#This Row],[OrderTotal]]</f>
        <v>0.50563918787287254</v>
      </c>
      <c r="N72" s="17" t="b">
        <f>COUNTIFS(OrderLines[OrderID],Orders[[#This Row],[OrderID]],OrderLines[Category],"Hot Meal")&gt;0</f>
        <v>1</v>
      </c>
      <c r="O72" s="17" t="b">
        <f>COUNTIFS(OrderLines[OrderID],Orders[[#This Row],[OrderID]],OrderLines[Category],"Snack")&gt;0</f>
        <v>0</v>
      </c>
      <c r="P72" s="17" t="b">
        <f>COUNTIFS(OrderLines[OrderID],Orders[[#This Row],[OrderID]],OrderLines[Category],"Dessert")&gt;0</f>
        <v>1</v>
      </c>
      <c r="Q72" s="11">
        <f>Orders[[#This Row],[OrderTotal]]-Orders[[#This Row],[GrossProfit]]</f>
        <v>150.52999999999997</v>
      </c>
    </row>
    <row r="73" spans="1:17" x14ac:dyDescent="0.25">
      <c r="A73" t="s">
        <v>109</v>
      </c>
      <c r="B73" s="1">
        <v>45893.516261574077</v>
      </c>
      <c r="C73" t="s">
        <v>9</v>
      </c>
      <c r="D73" t="s">
        <v>16</v>
      </c>
      <c r="E73" t="s">
        <v>21</v>
      </c>
      <c r="F73" t="s">
        <v>22</v>
      </c>
      <c r="G73" s="5">
        <v>0.16</v>
      </c>
      <c r="H73" t="b">
        <f>COUNTIFS(OrderLines[OrderID],Orders[[#This Row],[OrderID]],OrderLines[Category],"Beverage")&gt;0</f>
        <v>1</v>
      </c>
      <c r="I73">
        <f>SUMIFS(OrderLines[Revenue],OrderLines[OrderID],Orders[[#This Row],[OrderID]])</f>
        <v>336.36119999999994</v>
      </c>
      <c r="J73" t="str">
        <f>IF(AND(COUNTIFS(OrderLines[OrderID],Orders[[#This Row],[OrderID]],OrderLines[Category],"Hot Meal")&gt;0,COUNTIFS(OrderLines[OrderID],Orders[[#This Row],[OrderID]],OrderLines[Category],"Beverage")&gt;0),"Combo","Single")</f>
        <v>Combo</v>
      </c>
      <c r="K73" s="17" t="str">
        <f>IF(SUMPRODUCT((OrderLines[OrderID]=Orders[[#This Row],[OrderID]])*OrderLines[Qty]*OrderLines[UnitPrice])*Orders[[#This Row],[DiscountPct]]&gt;40,"HighDisc","OK")</f>
        <v>HighDisc</v>
      </c>
      <c r="L73" s="11">
        <f>SUMIFS(OrderLines[Revenue],OrderLines[OrderID],Orders[[#This Row],[OrderID]])-SUMIFS(OrderLines[FoodCost],OrderLines[OrderID],Orders[[#This Row],[OrderID]])</f>
        <v>160.15119999999996</v>
      </c>
      <c r="M73" s="5">
        <f>Orders[[#This Row],[GrossProfit]]/Orders[[#This Row],[OrderTotal]]</f>
        <v>0.47612863790472859</v>
      </c>
      <c r="N73" s="17" t="b">
        <f>COUNTIFS(OrderLines[OrderID],Orders[[#This Row],[OrderID]],OrderLines[Category],"Hot Meal")&gt;0</f>
        <v>1</v>
      </c>
      <c r="O73" s="17" t="b">
        <f>COUNTIFS(OrderLines[OrderID],Orders[[#This Row],[OrderID]],OrderLines[Category],"Snack")&gt;0</f>
        <v>0</v>
      </c>
      <c r="P73" s="17" t="b">
        <f>COUNTIFS(OrderLines[OrderID],Orders[[#This Row],[OrderID]],OrderLines[Category],"Dessert")&gt;0</f>
        <v>0</v>
      </c>
      <c r="Q73" s="11">
        <f>Orders[[#This Row],[OrderTotal]]-Orders[[#This Row],[GrossProfit]]</f>
        <v>176.20999999999998</v>
      </c>
    </row>
    <row r="74" spans="1:17" x14ac:dyDescent="0.25">
      <c r="A74" t="s">
        <v>110</v>
      </c>
      <c r="B74" s="1">
        <v>45880.68240740741</v>
      </c>
      <c r="C74" t="s">
        <v>9</v>
      </c>
      <c r="D74" t="s">
        <v>16</v>
      </c>
      <c r="E74" t="s">
        <v>17</v>
      </c>
      <c r="F74" t="s">
        <v>18</v>
      </c>
      <c r="G74" s="5">
        <v>0.05</v>
      </c>
      <c r="H74" t="b">
        <f>COUNTIFS(OrderLines[OrderID],Orders[[#This Row],[OrderID]],OrderLines[Category],"Beverage")&gt;0</f>
        <v>0</v>
      </c>
      <c r="I74">
        <f>SUMIFS(OrderLines[Revenue],OrderLines[OrderID],Orders[[#This Row],[OrderID]])</f>
        <v>95.36099999999999</v>
      </c>
      <c r="J74" t="str">
        <f>IF(AND(COUNTIFS(OrderLines[OrderID],Orders[[#This Row],[OrderID]],OrderLines[Category],"Hot Meal")&gt;0,COUNTIFS(OrderLines[OrderID],Orders[[#This Row],[OrderID]],OrderLines[Category],"Beverage")&gt;0),"Combo","Single")</f>
        <v>Single</v>
      </c>
      <c r="K74" s="17" t="str">
        <f>IF(SUMPRODUCT((OrderLines[OrderID]=Orders[[#This Row],[OrderID]])*OrderLines[Qty]*OrderLines[UnitPrice])*Orders[[#This Row],[DiscountPct]]&gt;40,"HighDisc","OK")</f>
        <v>OK</v>
      </c>
      <c r="L74" s="11">
        <f>SUMIFS(OrderLines[Revenue],OrderLines[OrderID],Orders[[#This Row],[OrderID]])-SUMIFS(OrderLines[FoodCost],OrderLines[OrderID],Orders[[#This Row],[OrderID]])</f>
        <v>50.140999999999991</v>
      </c>
      <c r="M74" s="5">
        <f>Orders[[#This Row],[GrossProfit]]/Orders[[#This Row],[OrderTotal]]</f>
        <v>0.52580195258019524</v>
      </c>
      <c r="N74" s="17" t="b">
        <f>COUNTIFS(OrderLines[OrderID],Orders[[#This Row],[OrderID]],OrderLines[Category],"Hot Meal")&gt;0</f>
        <v>0</v>
      </c>
      <c r="O74" s="17" t="b">
        <f>COUNTIFS(OrderLines[OrderID],Orders[[#This Row],[OrderID]],OrderLines[Category],"Snack")&gt;0</f>
        <v>1</v>
      </c>
      <c r="P74" s="17" t="b">
        <f>COUNTIFS(OrderLines[OrderID],Orders[[#This Row],[OrderID]],OrderLines[Category],"Dessert")&gt;0</f>
        <v>0</v>
      </c>
      <c r="Q74" s="11">
        <f>Orders[[#This Row],[OrderTotal]]-Orders[[#This Row],[GrossProfit]]</f>
        <v>45.22</v>
      </c>
    </row>
    <row r="75" spans="1:17" x14ac:dyDescent="0.25">
      <c r="A75" t="s">
        <v>111</v>
      </c>
      <c r="B75" s="1">
        <v>45882.947430555563</v>
      </c>
      <c r="C75" t="s">
        <v>15</v>
      </c>
      <c r="D75" t="s">
        <v>28</v>
      </c>
      <c r="E75" t="s">
        <v>11</v>
      </c>
      <c r="F75" t="s">
        <v>18</v>
      </c>
      <c r="G75" s="5">
        <v>7.0000000000000007E-2</v>
      </c>
      <c r="H75" t="b">
        <f>COUNTIFS(OrderLines[OrderID],Orders[[#This Row],[OrderID]],OrderLines[Category],"Beverage")&gt;0</f>
        <v>1</v>
      </c>
      <c r="I75">
        <f>SUMIFS(OrderLines[Revenue],OrderLines[OrderID],Orders[[#This Row],[OrderID]])</f>
        <v>835.66079999999988</v>
      </c>
      <c r="J75" t="str">
        <f>IF(AND(COUNTIFS(OrderLines[OrderID],Orders[[#This Row],[OrderID]],OrderLines[Category],"Hot Meal")&gt;0,COUNTIFS(OrderLines[OrderID],Orders[[#This Row],[OrderID]],OrderLines[Category],"Beverage")&gt;0),"Combo","Single")</f>
        <v>Combo</v>
      </c>
      <c r="K75" s="17" t="str">
        <f>IF(SUMPRODUCT((OrderLines[OrderID]=Orders[[#This Row],[OrderID]])*OrderLines[Qty]*OrderLines[UnitPrice])*Orders[[#This Row],[DiscountPct]]&gt;40,"HighDisc","OK")</f>
        <v>HighDisc</v>
      </c>
      <c r="L75" s="11">
        <f>SUMIFS(OrderLines[Revenue],OrderLines[OrderID],Orders[[#This Row],[OrderID]])-SUMIFS(OrderLines[FoodCost],OrderLines[OrderID],Orders[[#This Row],[OrderID]])</f>
        <v>440.2007999999999</v>
      </c>
      <c r="M75" s="5">
        <f>Orders[[#This Row],[GrossProfit]]/Orders[[#This Row],[OrderTotal]]</f>
        <v>0.52676971326164868</v>
      </c>
      <c r="N75" s="17" t="b">
        <f>COUNTIFS(OrderLines[OrderID],Orders[[#This Row],[OrderID]],OrderLines[Category],"Hot Meal")&gt;0</f>
        <v>1</v>
      </c>
      <c r="O75" s="17" t="b">
        <f>COUNTIFS(OrderLines[OrderID],Orders[[#This Row],[OrderID]],OrderLines[Category],"Snack")&gt;0</f>
        <v>1</v>
      </c>
      <c r="P75" s="17" t="b">
        <f>COUNTIFS(OrderLines[OrderID],Orders[[#This Row],[OrderID]],OrderLines[Category],"Dessert")&gt;0</f>
        <v>0</v>
      </c>
      <c r="Q75" s="11">
        <f>Orders[[#This Row],[OrderTotal]]-Orders[[#This Row],[GrossProfit]]</f>
        <v>395.46</v>
      </c>
    </row>
    <row r="76" spans="1:17" x14ac:dyDescent="0.25">
      <c r="A76" t="s">
        <v>112</v>
      </c>
      <c r="B76" s="1">
        <v>45889.863182870373</v>
      </c>
      <c r="C76" t="s">
        <v>15</v>
      </c>
      <c r="D76" t="s">
        <v>10</v>
      </c>
      <c r="E76" t="s">
        <v>17</v>
      </c>
      <c r="F76" t="s">
        <v>18</v>
      </c>
      <c r="G76" s="5">
        <v>0.06</v>
      </c>
      <c r="H76" t="b">
        <f>COUNTIFS(OrderLines[OrderID],Orders[[#This Row],[OrderID]],OrderLines[Category],"Beverage")&gt;0</f>
        <v>1</v>
      </c>
      <c r="I76">
        <f>SUMIFS(OrderLines[Revenue],OrderLines[OrderID],Orders[[#This Row],[OrderID]])</f>
        <v>512.8922</v>
      </c>
      <c r="J76" t="str">
        <f>IF(AND(COUNTIFS(OrderLines[OrderID],Orders[[#This Row],[OrderID]],OrderLines[Category],"Hot Meal")&gt;0,COUNTIFS(OrderLines[OrderID],Orders[[#This Row],[OrderID]],OrderLines[Category],"Beverage")&gt;0),"Combo","Single")</f>
        <v>Combo</v>
      </c>
      <c r="K76" s="17" t="str">
        <f>IF(SUMPRODUCT((OrderLines[OrderID]=Orders[[#This Row],[OrderID]])*OrderLines[Qty]*OrderLines[UnitPrice])*Orders[[#This Row],[DiscountPct]]&gt;40,"HighDisc","OK")</f>
        <v>OK</v>
      </c>
      <c r="L76" s="11">
        <f>SUMIFS(OrderLines[Revenue],OrderLines[OrderID],Orders[[#This Row],[OrderID]])-SUMIFS(OrderLines[FoodCost],OrderLines[OrderID],Orders[[#This Row],[OrderID]])</f>
        <v>237.6422</v>
      </c>
      <c r="M76" s="5">
        <f>Orders[[#This Row],[GrossProfit]]/Orders[[#This Row],[OrderTotal]]</f>
        <v>0.46333752004807249</v>
      </c>
      <c r="N76" s="17" t="b">
        <f>COUNTIFS(OrderLines[OrderID],Orders[[#This Row],[OrderID]],OrderLines[Category],"Hot Meal")&gt;0</f>
        <v>1</v>
      </c>
      <c r="O76" s="17" t="b">
        <f>COUNTIFS(OrderLines[OrderID],Orders[[#This Row],[OrderID]],OrderLines[Category],"Snack")&gt;0</f>
        <v>1</v>
      </c>
      <c r="P76" s="17" t="b">
        <f>COUNTIFS(OrderLines[OrderID],Orders[[#This Row],[OrderID]],OrderLines[Category],"Dessert")&gt;0</f>
        <v>0</v>
      </c>
      <c r="Q76" s="11">
        <f>Orders[[#This Row],[OrderTotal]]-Orders[[#This Row],[GrossProfit]]</f>
        <v>275.25</v>
      </c>
    </row>
    <row r="77" spans="1:17" x14ac:dyDescent="0.25">
      <c r="A77" t="s">
        <v>113</v>
      </c>
      <c r="B77" s="1">
        <v>45881.957384259258</v>
      </c>
      <c r="C77" t="s">
        <v>27</v>
      </c>
      <c r="D77" t="s">
        <v>10</v>
      </c>
      <c r="E77" t="s">
        <v>21</v>
      </c>
      <c r="F77" t="s">
        <v>18</v>
      </c>
      <c r="G77" s="5">
        <v>0.01</v>
      </c>
      <c r="H77" t="b">
        <f>COUNTIFS(OrderLines[OrderID],Orders[[#This Row],[OrderID]],OrderLines[Category],"Beverage")&gt;0</f>
        <v>0</v>
      </c>
      <c r="I77">
        <f>SUMIFS(OrderLines[Revenue],OrderLines[OrderID],Orders[[#This Row],[OrderID]])</f>
        <v>393.21810000000005</v>
      </c>
      <c r="J77" t="str">
        <f>IF(AND(COUNTIFS(OrderLines[OrderID],Orders[[#This Row],[OrderID]],OrderLines[Category],"Hot Meal")&gt;0,COUNTIFS(OrderLines[OrderID],Orders[[#This Row],[OrderID]],OrderLines[Category],"Beverage")&gt;0),"Combo","Single")</f>
        <v>Single</v>
      </c>
      <c r="K77" s="17" t="str">
        <f>IF(SUMPRODUCT((OrderLines[OrderID]=Orders[[#This Row],[OrderID]])*OrderLines[Qty]*OrderLines[UnitPrice])*Orders[[#This Row],[DiscountPct]]&gt;40,"HighDisc","OK")</f>
        <v>OK</v>
      </c>
      <c r="L77" s="11">
        <f>SUMIFS(OrderLines[Revenue],OrderLines[OrderID],Orders[[#This Row],[OrderID]])-SUMIFS(OrderLines[FoodCost],OrderLines[OrderID],Orders[[#This Row],[OrderID]])</f>
        <v>186.81810000000004</v>
      </c>
      <c r="M77" s="5">
        <f>Orders[[#This Row],[GrossProfit]]/Orders[[#This Row],[OrderTotal]]</f>
        <v>0.47510045951597857</v>
      </c>
      <c r="N77" s="17" t="b">
        <f>COUNTIFS(OrderLines[OrderID],Orders[[#This Row],[OrderID]],OrderLines[Category],"Hot Meal")&gt;0</f>
        <v>1</v>
      </c>
      <c r="O77" s="17" t="b">
        <f>COUNTIFS(OrderLines[OrderID],Orders[[#This Row],[OrderID]],OrderLines[Category],"Snack")&gt;0</f>
        <v>1</v>
      </c>
      <c r="P77" s="17" t="b">
        <f>COUNTIFS(OrderLines[OrderID],Orders[[#This Row],[OrderID]],OrderLines[Category],"Dessert")&gt;0</f>
        <v>1</v>
      </c>
      <c r="Q77" s="11">
        <f>Orders[[#This Row],[OrderTotal]]-Orders[[#This Row],[GrossProfit]]</f>
        <v>206.4</v>
      </c>
    </row>
    <row r="78" spans="1:17" x14ac:dyDescent="0.25">
      <c r="A78" t="s">
        <v>114</v>
      </c>
      <c r="B78" s="1">
        <v>45865.630914351852</v>
      </c>
      <c r="C78" t="s">
        <v>15</v>
      </c>
      <c r="D78" t="s">
        <v>16</v>
      </c>
      <c r="E78" t="s">
        <v>11</v>
      </c>
      <c r="F78" t="s">
        <v>22</v>
      </c>
      <c r="G78" s="5">
        <v>0.11</v>
      </c>
      <c r="H78" t="b">
        <f>COUNTIFS(OrderLines[OrderID],Orders[[#This Row],[OrderID]],OrderLines[Category],"Beverage")&gt;0</f>
        <v>1</v>
      </c>
      <c r="I78">
        <f>SUMIFS(OrderLines[Revenue],OrderLines[OrderID],Orders[[#This Row],[OrderID]])</f>
        <v>92.132800000000003</v>
      </c>
      <c r="J78" t="str">
        <f>IF(AND(COUNTIFS(OrderLines[OrderID],Orders[[#This Row],[OrderID]],OrderLines[Category],"Hot Meal")&gt;0,COUNTIFS(OrderLines[OrderID],Orders[[#This Row],[OrderID]],OrderLines[Category],"Beverage")&gt;0),"Combo","Single")</f>
        <v>Single</v>
      </c>
      <c r="K78" s="17" t="str">
        <f>IF(SUMPRODUCT((OrderLines[OrderID]=Orders[[#This Row],[OrderID]])*OrderLines[Qty]*OrderLines[UnitPrice])*Orders[[#This Row],[DiscountPct]]&gt;40,"HighDisc","OK")</f>
        <v>OK</v>
      </c>
      <c r="L78" s="11">
        <f>SUMIFS(OrderLines[Revenue],OrderLines[OrderID],Orders[[#This Row],[OrderID]])-SUMIFS(OrderLines[FoodCost],OrderLines[OrderID],Orders[[#This Row],[OrderID]])</f>
        <v>44.482799999999997</v>
      </c>
      <c r="M78" s="5">
        <f>Orders[[#This Row],[GrossProfit]]/Orders[[#This Row],[OrderTotal]]</f>
        <v>0.48281176736189496</v>
      </c>
      <c r="N78" s="17" t="b">
        <f>COUNTIFS(OrderLines[OrderID],Orders[[#This Row],[OrderID]],OrderLines[Category],"Hot Meal")&gt;0</f>
        <v>0</v>
      </c>
      <c r="O78" s="17" t="b">
        <f>COUNTIFS(OrderLines[OrderID],Orders[[#This Row],[OrderID]],OrderLines[Category],"Snack")&gt;0</f>
        <v>1</v>
      </c>
      <c r="P78" s="17" t="b">
        <f>COUNTIFS(OrderLines[OrderID],Orders[[#This Row],[OrderID]],OrderLines[Category],"Dessert")&gt;0</f>
        <v>0</v>
      </c>
      <c r="Q78" s="11">
        <f>Orders[[#This Row],[OrderTotal]]-Orders[[#This Row],[GrossProfit]]</f>
        <v>47.650000000000006</v>
      </c>
    </row>
    <row r="79" spans="1:17" x14ac:dyDescent="0.25">
      <c r="A79" t="s">
        <v>115</v>
      </c>
      <c r="B79" s="1">
        <v>45852.68478009259</v>
      </c>
      <c r="C79" t="s">
        <v>27</v>
      </c>
      <c r="D79" t="s">
        <v>28</v>
      </c>
      <c r="E79" t="s">
        <v>21</v>
      </c>
      <c r="F79" t="s">
        <v>18</v>
      </c>
      <c r="G79" s="5">
        <v>0.09</v>
      </c>
      <c r="H79" t="b">
        <f>COUNTIFS(OrderLines[OrderID],Orders[[#This Row],[OrderID]],OrderLines[Category],"Beverage")&gt;0</f>
        <v>1</v>
      </c>
      <c r="I79">
        <f>SUMIFS(OrderLines[Revenue],OrderLines[OrderID],Orders[[#This Row],[OrderID]])</f>
        <v>135.70830000000001</v>
      </c>
      <c r="J79" t="str">
        <f>IF(AND(COUNTIFS(OrderLines[OrderID],Orders[[#This Row],[OrderID]],OrderLines[Category],"Hot Meal")&gt;0,COUNTIFS(OrderLines[OrderID],Orders[[#This Row],[OrderID]],OrderLines[Category],"Beverage")&gt;0),"Combo","Single")</f>
        <v>Single</v>
      </c>
      <c r="K79" s="17" t="str">
        <f>IF(SUMPRODUCT((OrderLines[OrderID]=Orders[[#This Row],[OrderID]])*OrderLines[Qty]*OrderLines[UnitPrice])*Orders[[#This Row],[DiscountPct]]&gt;40,"HighDisc","OK")</f>
        <v>OK</v>
      </c>
      <c r="L79" s="11">
        <f>SUMIFS(OrderLines[Revenue],OrderLines[OrderID],Orders[[#This Row],[OrderID]])-SUMIFS(OrderLines[FoodCost],OrderLines[OrderID],Orders[[#This Row],[OrderID]])</f>
        <v>77.578300000000013</v>
      </c>
      <c r="M79" s="5">
        <f>Orders[[#This Row],[GrossProfit]]/Orders[[#This Row],[OrderTotal]]</f>
        <v>0.5716547919324021</v>
      </c>
      <c r="N79" s="17" t="b">
        <f>COUNTIFS(OrderLines[OrderID],Orders[[#This Row],[OrderID]],OrderLines[Category],"Hot Meal")&gt;0</f>
        <v>0</v>
      </c>
      <c r="O79" s="17" t="b">
        <f>COUNTIFS(OrderLines[OrderID],Orders[[#This Row],[OrderID]],OrderLines[Category],"Snack")&gt;0</f>
        <v>1</v>
      </c>
      <c r="P79" s="17" t="b">
        <f>COUNTIFS(OrderLines[OrderID],Orders[[#This Row],[OrderID]],OrderLines[Category],"Dessert")&gt;0</f>
        <v>0</v>
      </c>
      <c r="Q79" s="11">
        <f>Orders[[#This Row],[OrderTotal]]-Orders[[#This Row],[GrossProfit]]</f>
        <v>58.129999999999995</v>
      </c>
    </row>
    <row r="80" spans="1:17" x14ac:dyDescent="0.25">
      <c r="A80" t="s">
        <v>116</v>
      </c>
      <c r="B80" s="1">
        <v>45860.02275462963</v>
      </c>
      <c r="C80" t="s">
        <v>27</v>
      </c>
      <c r="D80" t="s">
        <v>16</v>
      </c>
      <c r="E80" t="s">
        <v>21</v>
      </c>
      <c r="F80" t="s">
        <v>12</v>
      </c>
      <c r="G80" s="5">
        <v>0.09</v>
      </c>
      <c r="H80" t="b">
        <f>COUNTIFS(OrderLines[OrderID],Orders[[#This Row],[OrderID]],OrderLines[Category],"Beverage")&gt;0</f>
        <v>1</v>
      </c>
      <c r="I80">
        <f>SUMIFS(OrderLines[Revenue],OrderLines[OrderID],Orders[[#This Row],[OrderID]])</f>
        <v>86.377200000000016</v>
      </c>
      <c r="J80" t="str">
        <f>IF(AND(COUNTIFS(OrderLines[OrderID],Orders[[#This Row],[OrderID]],OrderLines[Category],"Hot Meal")&gt;0,COUNTIFS(OrderLines[OrderID],Orders[[#This Row],[OrderID]],OrderLines[Category],"Beverage")&gt;0),"Combo","Single")</f>
        <v>Single</v>
      </c>
      <c r="K80" s="17" t="str">
        <f>IF(SUMPRODUCT((OrderLines[OrderID]=Orders[[#This Row],[OrderID]])*OrderLines[Qty]*OrderLines[UnitPrice])*Orders[[#This Row],[DiscountPct]]&gt;40,"HighDisc","OK")</f>
        <v>OK</v>
      </c>
      <c r="L80" s="11">
        <f>SUMIFS(OrderLines[Revenue],OrderLines[OrderID],Orders[[#This Row],[OrderID]])-SUMIFS(OrderLines[FoodCost],OrderLines[OrderID],Orders[[#This Row],[OrderID]])</f>
        <v>39.047200000000018</v>
      </c>
      <c r="M80" s="5">
        <f>Orders[[#This Row],[GrossProfit]]/Orders[[#This Row],[OrderTotal]]</f>
        <v>0.45205447733892751</v>
      </c>
      <c r="N80" s="17" t="b">
        <f>COUNTIFS(OrderLines[OrderID],Orders[[#This Row],[OrderID]],OrderLines[Category],"Hot Meal")&gt;0</f>
        <v>0</v>
      </c>
      <c r="O80" s="17" t="b">
        <f>COUNTIFS(OrderLines[OrderID],Orders[[#This Row],[OrderID]],OrderLines[Category],"Snack")&gt;0</f>
        <v>1</v>
      </c>
      <c r="P80" s="17" t="b">
        <f>COUNTIFS(OrderLines[OrderID],Orders[[#This Row],[OrderID]],OrderLines[Category],"Dessert")&gt;0</f>
        <v>0</v>
      </c>
      <c r="Q80" s="11">
        <f>Orders[[#This Row],[OrderTotal]]-Orders[[#This Row],[GrossProfit]]</f>
        <v>47.33</v>
      </c>
    </row>
    <row r="81" spans="1:17" x14ac:dyDescent="0.25">
      <c r="A81" t="s">
        <v>117</v>
      </c>
      <c r="B81" s="1">
        <v>45891.932314814818</v>
      </c>
      <c r="C81" t="s">
        <v>15</v>
      </c>
      <c r="D81" t="s">
        <v>16</v>
      </c>
      <c r="E81" t="s">
        <v>17</v>
      </c>
      <c r="F81" t="s">
        <v>18</v>
      </c>
      <c r="G81" s="5">
        <v>0.02</v>
      </c>
      <c r="H81" t="b">
        <f>COUNTIFS(OrderLines[OrderID],Orders[[#This Row],[OrderID]],OrderLines[Category],"Beverage")&gt;0</f>
        <v>1</v>
      </c>
      <c r="I81">
        <f>SUMIFS(OrderLines[Revenue],OrderLines[OrderID],Orders[[#This Row],[OrderID]])</f>
        <v>419.39100000000002</v>
      </c>
      <c r="J81" t="str">
        <f>IF(AND(COUNTIFS(OrderLines[OrderID],Orders[[#This Row],[OrderID]],OrderLines[Category],"Hot Meal")&gt;0,COUNTIFS(OrderLines[OrderID],Orders[[#This Row],[OrderID]],OrderLines[Category],"Beverage")&gt;0),"Combo","Single")</f>
        <v>Combo</v>
      </c>
      <c r="K81" s="17" t="str">
        <f>IF(SUMPRODUCT((OrderLines[OrderID]=Orders[[#This Row],[OrderID]])*OrderLines[Qty]*OrderLines[UnitPrice])*Orders[[#This Row],[DiscountPct]]&gt;40,"HighDisc","OK")</f>
        <v>OK</v>
      </c>
      <c r="L81" s="11">
        <f>SUMIFS(OrderLines[Revenue],OrderLines[OrderID],Orders[[#This Row],[OrderID]])-SUMIFS(OrderLines[FoodCost],OrderLines[OrderID],Orders[[#This Row],[OrderID]])</f>
        <v>227.351</v>
      </c>
      <c r="M81" s="5">
        <f>Orders[[#This Row],[GrossProfit]]/Orders[[#This Row],[OrderTotal]]</f>
        <v>0.54209794678474266</v>
      </c>
      <c r="N81" s="17" t="b">
        <f>COUNTIFS(OrderLines[OrderID],Orders[[#This Row],[OrderID]],OrderLines[Category],"Hot Meal")&gt;0</f>
        <v>1</v>
      </c>
      <c r="O81" s="17" t="b">
        <f>COUNTIFS(OrderLines[OrderID],Orders[[#This Row],[OrderID]],OrderLines[Category],"Snack")&gt;0</f>
        <v>0</v>
      </c>
      <c r="P81" s="17" t="b">
        <f>COUNTIFS(OrderLines[OrderID],Orders[[#This Row],[OrderID]],OrderLines[Category],"Dessert")&gt;0</f>
        <v>0</v>
      </c>
      <c r="Q81" s="11">
        <f>Orders[[#This Row],[OrderTotal]]-Orders[[#This Row],[GrossProfit]]</f>
        <v>192.04000000000002</v>
      </c>
    </row>
    <row r="82" spans="1:17" x14ac:dyDescent="0.25">
      <c r="A82" t="s">
        <v>118</v>
      </c>
      <c r="B82" s="1">
        <v>45880.041886574072</v>
      </c>
      <c r="C82" t="s">
        <v>15</v>
      </c>
      <c r="D82" t="s">
        <v>10</v>
      </c>
      <c r="E82" t="s">
        <v>11</v>
      </c>
      <c r="F82" t="s">
        <v>12</v>
      </c>
      <c r="G82" s="5">
        <v>0.12</v>
      </c>
      <c r="H82" t="b">
        <f>COUNTIFS(OrderLines[OrderID],Orders[[#This Row],[OrderID]],OrderLines[Category],"Beverage")&gt;0</f>
        <v>0</v>
      </c>
      <c r="I82">
        <f>SUMIFS(OrderLines[Revenue],OrderLines[OrderID],Orders[[#This Row],[OrderID]])</f>
        <v>44.167200000000001</v>
      </c>
      <c r="J82" t="str">
        <f>IF(AND(COUNTIFS(OrderLines[OrderID],Orders[[#This Row],[OrderID]],OrderLines[Category],"Hot Meal")&gt;0,COUNTIFS(OrderLines[OrderID],Orders[[#This Row],[OrderID]],OrderLines[Category],"Beverage")&gt;0),"Combo","Single")</f>
        <v>Single</v>
      </c>
      <c r="K82" s="17" t="str">
        <f>IF(SUMPRODUCT((OrderLines[OrderID]=Orders[[#This Row],[OrderID]])*OrderLines[Qty]*OrderLines[UnitPrice])*Orders[[#This Row],[DiscountPct]]&gt;40,"HighDisc","OK")</f>
        <v>OK</v>
      </c>
      <c r="L82" s="11">
        <f>SUMIFS(OrderLines[Revenue],OrderLines[OrderID],Orders[[#This Row],[OrderID]])-SUMIFS(OrderLines[FoodCost],OrderLines[OrderID],Orders[[#This Row],[OrderID]])</f>
        <v>21.557200000000002</v>
      </c>
      <c r="M82" s="5">
        <f>Orders[[#This Row],[GrossProfit]]/Orders[[#This Row],[OrderTotal]]</f>
        <v>0.48808165335361992</v>
      </c>
      <c r="N82" s="17" t="b">
        <f>COUNTIFS(OrderLines[OrderID],Orders[[#This Row],[OrderID]],OrderLines[Category],"Hot Meal")&gt;0</f>
        <v>0</v>
      </c>
      <c r="O82" s="17" t="b">
        <f>COUNTIFS(OrderLines[OrderID],Orders[[#This Row],[OrderID]],OrderLines[Category],"Snack")&gt;0</f>
        <v>1</v>
      </c>
      <c r="P82" s="17" t="b">
        <f>COUNTIFS(OrderLines[OrderID],Orders[[#This Row],[OrderID]],OrderLines[Category],"Dessert")&gt;0</f>
        <v>0</v>
      </c>
      <c r="Q82" s="11">
        <f>Orders[[#This Row],[OrderTotal]]-Orders[[#This Row],[GrossProfit]]</f>
        <v>22.61</v>
      </c>
    </row>
    <row r="83" spans="1:17" x14ac:dyDescent="0.25">
      <c r="A83" t="s">
        <v>119</v>
      </c>
      <c r="B83" s="1">
        <v>45895.14398148148</v>
      </c>
      <c r="C83" t="s">
        <v>15</v>
      </c>
      <c r="D83" t="s">
        <v>16</v>
      </c>
      <c r="E83" t="s">
        <v>17</v>
      </c>
      <c r="F83" t="s">
        <v>12</v>
      </c>
      <c r="G83" s="5">
        <v>0</v>
      </c>
      <c r="H83" t="b">
        <f>COUNTIFS(OrderLines[OrderID],Orders[[#This Row],[OrderID]],OrderLines[Category],"Beverage")&gt;0</f>
        <v>0</v>
      </c>
      <c r="I83">
        <f>SUMIFS(OrderLines[Revenue],OrderLines[OrderID],Orders[[#This Row],[OrderID]])</f>
        <v>119.85000000000001</v>
      </c>
      <c r="J83" t="str">
        <f>IF(AND(COUNTIFS(OrderLines[OrderID],Orders[[#This Row],[OrderID]],OrderLines[Category],"Hot Meal")&gt;0,COUNTIFS(OrderLines[OrderID],Orders[[#This Row],[OrderID]],OrderLines[Category],"Beverage")&gt;0),"Combo","Single")</f>
        <v>Single</v>
      </c>
      <c r="K83" s="17" t="str">
        <f>IF(SUMPRODUCT((OrderLines[OrderID]=Orders[[#This Row],[OrderID]])*OrderLines[Qty]*OrderLines[UnitPrice])*Orders[[#This Row],[DiscountPct]]&gt;40,"HighDisc","OK")</f>
        <v>OK</v>
      </c>
      <c r="L83" s="11">
        <f>SUMIFS(OrderLines[Revenue],OrderLines[OrderID],Orders[[#This Row],[OrderID]])-SUMIFS(OrderLines[FoodCost],OrderLines[OrderID],Orders[[#This Row],[OrderID]])</f>
        <v>73.320000000000007</v>
      </c>
      <c r="M83" s="5">
        <f>Orders[[#This Row],[GrossProfit]]/Orders[[#This Row],[OrderTotal]]</f>
        <v>0.61176470588235299</v>
      </c>
      <c r="N83" s="17" t="b">
        <f>COUNTIFS(OrderLines[OrderID],Orders[[#This Row],[OrderID]],OrderLines[Category],"Hot Meal")&gt;0</f>
        <v>0</v>
      </c>
      <c r="O83" s="17" t="b">
        <f>COUNTIFS(OrderLines[OrderID],Orders[[#This Row],[OrderID]],OrderLines[Category],"Snack")&gt;0</f>
        <v>1</v>
      </c>
      <c r="P83" s="17" t="b">
        <f>COUNTIFS(OrderLines[OrderID],Orders[[#This Row],[OrderID]],OrderLines[Category],"Dessert")&gt;0</f>
        <v>0</v>
      </c>
      <c r="Q83" s="11">
        <f>Orders[[#This Row],[OrderTotal]]-Orders[[#This Row],[GrossProfit]]</f>
        <v>46.53</v>
      </c>
    </row>
    <row r="84" spans="1:17" x14ac:dyDescent="0.25">
      <c r="A84" t="s">
        <v>120</v>
      </c>
      <c r="B84" s="1">
        <v>45868.242407407408</v>
      </c>
      <c r="C84" t="s">
        <v>15</v>
      </c>
      <c r="D84" t="s">
        <v>16</v>
      </c>
      <c r="E84" t="s">
        <v>11</v>
      </c>
      <c r="F84" t="s">
        <v>12</v>
      </c>
      <c r="G84" s="5">
        <v>0.08</v>
      </c>
      <c r="H84" t="b">
        <f>COUNTIFS(OrderLines[OrderID],Orders[[#This Row],[OrderID]],OrderLines[Category],"Beverage")&gt;0</f>
        <v>1</v>
      </c>
      <c r="I84">
        <f>SUMIFS(OrderLines[Revenue],OrderLines[OrderID],Orders[[#This Row],[OrderID]])</f>
        <v>297.28880000000004</v>
      </c>
      <c r="J84" t="str">
        <f>IF(AND(COUNTIFS(OrderLines[OrderID],Orders[[#This Row],[OrderID]],OrderLines[Category],"Hot Meal")&gt;0,COUNTIFS(OrderLines[OrderID],Orders[[#This Row],[OrderID]],OrderLines[Category],"Beverage")&gt;0),"Combo","Single")</f>
        <v>Combo</v>
      </c>
      <c r="K84" s="17" t="str">
        <f>IF(SUMPRODUCT((OrderLines[OrderID]=Orders[[#This Row],[OrderID]])*OrderLines[Qty]*OrderLines[UnitPrice])*Orders[[#This Row],[DiscountPct]]&gt;40,"HighDisc","OK")</f>
        <v>OK</v>
      </c>
      <c r="L84" s="11">
        <f>SUMIFS(OrderLines[Revenue],OrderLines[OrderID],Orders[[#This Row],[OrderID]])-SUMIFS(OrderLines[FoodCost],OrderLines[OrderID],Orders[[#This Row],[OrderID]])</f>
        <v>121.26880000000003</v>
      </c>
      <c r="M84" s="5">
        <f>Orders[[#This Row],[GrossProfit]]/Orders[[#This Row],[OrderTotal]]</f>
        <v>0.40791580442990122</v>
      </c>
      <c r="N84" s="17" t="b">
        <f>COUNTIFS(OrderLines[OrderID],Orders[[#This Row],[OrderID]],OrderLines[Category],"Hot Meal")&gt;0</f>
        <v>1</v>
      </c>
      <c r="O84" s="17" t="b">
        <f>COUNTIFS(OrderLines[OrderID],Orders[[#This Row],[OrderID]],OrderLines[Category],"Snack")&gt;0</f>
        <v>0</v>
      </c>
      <c r="P84" s="17" t="b">
        <f>COUNTIFS(OrderLines[OrderID],Orders[[#This Row],[OrderID]],OrderLines[Category],"Dessert")&gt;0</f>
        <v>0</v>
      </c>
      <c r="Q84" s="11">
        <f>Orders[[#This Row],[OrderTotal]]-Orders[[#This Row],[GrossProfit]]</f>
        <v>176.02</v>
      </c>
    </row>
    <row r="85" spans="1:17" x14ac:dyDescent="0.25">
      <c r="A85" t="s">
        <v>121</v>
      </c>
      <c r="B85" s="1">
        <v>45897.820011574076</v>
      </c>
      <c r="C85" t="s">
        <v>27</v>
      </c>
      <c r="D85" t="s">
        <v>16</v>
      </c>
      <c r="E85" t="s">
        <v>17</v>
      </c>
      <c r="F85" t="s">
        <v>18</v>
      </c>
      <c r="G85" s="5">
        <v>0.15</v>
      </c>
      <c r="H85" t="b">
        <f>COUNTIFS(OrderLines[OrderID],Orders[[#This Row],[OrderID]],OrderLines[Category],"Beverage")&gt;0</f>
        <v>1</v>
      </c>
      <c r="I85">
        <f>SUMIFS(OrderLines[Revenue],OrderLines[OrderID],Orders[[#This Row],[OrderID]])</f>
        <v>200.50649999999999</v>
      </c>
      <c r="J85" t="str">
        <f>IF(AND(COUNTIFS(OrderLines[OrderID],Orders[[#This Row],[OrderID]],OrderLines[Category],"Hot Meal")&gt;0,COUNTIFS(OrderLines[OrderID],Orders[[#This Row],[OrderID]],OrderLines[Category],"Beverage")&gt;0),"Combo","Single")</f>
        <v>Single</v>
      </c>
      <c r="K85" s="17" t="str">
        <f>IF(SUMPRODUCT((OrderLines[OrderID]=Orders[[#This Row],[OrderID]])*OrderLines[Qty]*OrderLines[UnitPrice])*Orders[[#This Row],[DiscountPct]]&gt;40,"HighDisc","OK")</f>
        <v>OK</v>
      </c>
      <c r="L85" s="11">
        <f>SUMIFS(OrderLines[Revenue],OrderLines[OrderID],Orders[[#This Row],[OrderID]])-SUMIFS(OrderLines[FoodCost],OrderLines[OrderID],Orders[[#This Row],[OrderID]])</f>
        <v>84.066500000000005</v>
      </c>
      <c r="M85" s="5">
        <f>Orders[[#This Row],[GrossProfit]]/Orders[[#This Row],[OrderTotal]]</f>
        <v>0.41927069695994895</v>
      </c>
      <c r="N85" s="17" t="b">
        <f>COUNTIFS(OrderLines[OrderID],Orders[[#This Row],[OrderID]],OrderLines[Category],"Hot Meal")&gt;0</f>
        <v>0</v>
      </c>
      <c r="O85" s="17" t="b">
        <f>COUNTIFS(OrderLines[OrderID],Orders[[#This Row],[OrderID]],OrderLines[Category],"Snack")&gt;0</f>
        <v>1</v>
      </c>
      <c r="P85" s="17" t="b">
        <f>COUNTIFS(OrderLines[OrderID],Orders[[#This Row],[OrderID]],OrderLines[Category],"Dessert")&gt;0</f>
        <v>1</v>
      </c>
      <c r="Q85" s="11">
        <f>Orders[[#This Row],[OrderTotal]]-Orders[[#This Row],[GrossProfit]]</f>
        <v>116.43999999999998</v>
      </c>
    </row>
    <row r="86" spans="1:17" x14ac:dyDescent="0.25">
      <c r="A86" t="s">
        <v>122</v>
      </c>
      <c r="B86" s="1">
        <v>45881.565474537027</v>
      </c>
      <c r="C86" t="s">
        <v>15</v>
      </c>
      <c r="D86" t="s">
        <v>28</v>
      </c>
      <c r="E86" t="s">
        <v>21</v>
      </c>
      <c r="F86" t="s">
        <v>22</v>
      </c>
      <c r="G86" s="5">
        <v>0.02</v>
      </c>
      <c r="H86" t="b">
        <f>COUNTIFS(OrderLines[OrderID],Orders[[#This Row],[OrderID]],OrderLines[Category],"Beverage")&gt;0</f>
        <v>0</v>
      </c>
      <c r="I86">
        <f>SUMIFS(OrderLines[Revenue],OrderLines[OrderID],Orders[[#This Row],[OrderID]])</f>
        <v>151.48840000000001</v>
      </c>
      <c r="J86" t="str">
        <f>IF(AND(COUNTIFS(OrderLines[OrderID],Orders[[#This Row],[OrderID]],OrderLines[Category],"Hot Meal")&gt;0,COUNTIFS(OrderLines[OrderID],Orders[[#This Row],[OrderID]],OrderLines[Category],"Beverage")&gt;0),"Combo","Single")</f>
        <v>Single</v>
      </c>
      <c r="K86" s="17" t="str">
        <f>IF(SUMPRODUCT((OrderLines[OrderID]=Orders[[#This Row],[OrderID]])*OrderLines[Qty]*OrderLines[UnitPrice])*Orders[[#This Row],[DiscountPct]]&gt;40,"HighDisc","OK")</f>
        <v>OK</v>
      </c>
      <c r="L86" s="11">
        <f>SUMIFS(OrderLines[Revenue],OrderLines[OrderID],Orders[[#This Row],[OrderID]])-SUMIFS(OrderLines[FoodCost],OrderLines[OrderID],Orders[[#This Row],[OrderID]])</f>
        <v>84.318400000000011</v>
      </c>
      <c r="M86" s="5">
        <f>Orders[[#This Row],[GrossProfit]]/Orders[[#This Row],[OrderTotal]]</f>
        <v>0.55659971324537061</v>
      </c>
      <c r="N86" s="17" t="b">
        <f>COUNTIFS(OrderLines[OrderID],Orders[[#This Row],[OrderID]],OrderLines[Category],"Hot Meal")&gt;0</f>
        <v>0</v>
      </c>
      <c r="O86" s="17" t="b">
        <f>COUNTIFS(OrderLines[OrderID],Orders[[#This Row],[OrderID]],OrderLines[Category],"Snack")&gt;0</f>
        <v>1</v>
      </c>
      <c r="P86" s="17" t="b">
        <f>COUNTIFS(OrderLines[OrderID],Orders[[#This Row],[OrderID]],OrderLines[Category],"Dessert")&gt;0</f>
        <v>1</v>
      </c>
      <c r="Q86" s="11">
        <f>Orders[[#This Row],[OrderTotal]]-Orders[[#This Row],[GrossProfit]]</f>
        <v>67.17</v>
      </c>
    </row>
    <row r="87" spans="1:17" x14ac:dyDescent="0.25">
      <c r="A87" t="s">
        <v>123</v>
      </c>
      <c r="B87" s="1">
        <v>45878.505254629628</v>
      </c>
      <c r="C87" t="s">
        <v>9</v>
      </c>
      <c r="D87" t="s">
        <v>28</v>
      </c>
      <c r="E87" t="s">
        <v>21</v>
      </c>
      <c r="F87" t="s">
        <v>22</v>
      </c>
      <c r="G87" s="5">
        <v>0.04</v>
      </c>
      <c r="H87" t="b">
        <f>COUNTIFS(OrderLines[OrderID],Orders[[#This Row],[OrderID]],OrderLines[Category],"Beverage")&gt;0</f>
        <v>1</v>
      </c>
      <c r="I87">
        <f>SUMIFS(OrderLines[Revenue],OrderLines[OrderID],Orders[[#This Row],[OrderID]])</f>
        <v>178.63679999999999</v>
      </c>
      <c r="J87" t="str">
        <f>IF(AND(COUNTIFS(OrderLines[OrderID],Orders[[#This Row],[OrderID]],OrderLines[Category],"Hot Meal")&gt;0,COUNTIFS(OrderLines[OrderID],Orders[[#This Row],[OrderID]],OrderLines[Category],"Beverage")&gt;0),"Combo","Single")</f>
        <v>Single</v>
      </c>
      <c r="K87" s="17" t="str">
        <f>IF(SUMPRODUCT((OrderLines[OrderID]=Orders[[#This Row],[OrderID]])*OrderLines[Qty]*OrderLines[UnitPrice])*Orders[[#This Row],[DiscountPct]]&gt;40,"HighDisc","OK")</f>
        <v>OK</v>
      </c>
      <c r="L87" s="11">
        <f>SUMIFS(OrderLines[Revenue],OrderLines[OrderID],Orders[[#This Row],[OrderID]])-SUMIFS(OrderLines[FoodCost],OrderLines[OrderID],Orders[[#This Row],[OrderID]])</f>
        <v>90.336799999999997</v>
      </c>
      <c r="M87" s="5">
        <f>Orders[[#This Row],[GrossProfit]]/Orders[[#This Row],[OrderTotal]]</f>
        <v>0.50570095299512752</v>
      </c>
      <c r="N87" s="17" t="b">
        <f>COUNTIFS(OrderLines[OrderID],Orders[[#This Row],[OrderID]],OrderLines[Category],"Hot Meal")&gt;0</f>
        <v>0</v>
      </c>
      <c r="O87" s="17" t="b">
        <f>COUNTIFS(OrderLines[OrderID],Orders[[#This Row],[OrderID]],OrderLines[Category],"Snack")&gt;0</f>
        <v>0</v>
      </c>
      <c r="P87" s="17" t="b">
        <f>COUNTIFS(OrderLines[OrderID],Orders[[#This Row],[OrderID]],OrderLines[Category],"Dessert")&gt;0</f>
        <v>1</v>
      </c>
      <c r="Q87" s="11">
        <f>Orders[[#This Row],[OrderTotal]]-Orders[[#This Row],[GrossProfit]]</f>
        <v>88.3</v>
      </c>
    </row>
    <row r="88" spans="1:17" x14ac:dyDescent="0.25">
      <c r="A88" t="s">
        <v>124</v>
      </c>
      <c r="B88" s="1">
        <v>45891.108252314807</v>
      </c>
      <c r="C88" t="s">
        <v>27</v>
      </c>
      <c r="D88" t="s">
        <v>16</v>
      </c>
      <c r="E88" t="s">
        <v>11</v>
      </c>
      <c r="F88" t="s">
        <v>12</v>
      </c>
      <c r="G88" s="5">
        <v>0.06</v>
      </c>
      <c r="H88" t="b">
        <f>COUNTIFS(OrderLines[OrderID],Orders[[#This Row],[OrderID]],OrderLines[Category],"Beverage")&gt;0</f>
        <v>1</v>
      </c>
      <c r="I88">
        <f>SUMIFS(OrderLines[Revenue],OrderLines[OrderID],Orders[[#This Row],[OrderID]])</f>
        <v>252.08920000000001</v>
      </c>
      <c r="J88" t="str">
        <f>IF(AND(COUNTIFS(OrderLines[OrderID],Orders[[#This Row],[OrderID]],OrderLines[Category],"Hot Meal")&gt;0,COUNTIFS(OrderLines[OrderID],Orders[[#This Row],[OrderID]],OrderLines[Category],"Beverage")&gt;0),"Combo","Single")</f>
        <v>Single</v>
      </c>
      <c r="K88" s="17" t="str">
        <f>IF(SUMPRODUCT((OrderLines[OrderID]=Orders[[#This Row],[OrderID]])*OrderLines[Qty]*OrderLines[UnitPrice])*Orders[[#This Row],[DiscountPct]]&gt;40,"HighDisc","OK")</f>
        <v>OK</v>
      </c>
      <c r="L88" s="11">
        <f>SUMIFS(OrderLines[Revenue],OrderLines[OrderID],Orders[[#This Row],[OrderID]])-SUMIFS(OrderLines[FoodCost],OrderLines[OrderID],Orders[[#This Row],[OrderID]])</f>
        <v>119.48919999999998</v>
      </c>
      <c r="M88" s="5">
        <f>Orders[[#This Row],[GrossProfit]]/Orders[[#This Row],[OrderTotal]]</f>
        <v>0.47399571262870438</v>
      </c>
      <c r="N88" s="17" t="b">
        <f>COUNTIFS(OrderLines[OrderID],Orders[[#This Row],[OrderID]],OrderLines[Category],"Hot Meal")&gt;0</f>
        <v>0</v>
      </c>
      <c r="O88" s="17" t="b">
        <f>COUNTIFS(OrderLines[OrderID],Orders[[#This Row],[OrderID]],OrderLines[Category],"Snack")&gt;0</f>
        <v>1</v>
      </c>
      <c r="P88" s="17" t="b">
        <f>COUNTIFS(OrderLines[OrderID],Orders[[#This Row],[OrderID]],OrderLines[Category],"Dessert")&gt;0</f>
        <v>0</v>
      </c>
      <c r="Q88" s="11">
        <f>Orders[[#This Row],[OrderTotal]]-Orders[[#This Row],[GrossProfit]]</f>
        <v>132.60000000000002</v>
      </c>
    </row>
    <row r="89" spans="1:17" x14ac:dyDescent="0.25">
      <c r="A89" t="s">
        <v>125</v>
      </c>
      <c r="B89" s="1">
        <v>45847.40048611111</v>
      </c>
      <c r="C89" t="s">
        <v>9</v>
      </c>
      <c r="D89" t="s">
        <v>16</v>
      </c>
      <c r="E89" t="s">
        <v>17</v>
      </c>
      <c r="F89" t="s">
        <v>12</v>
      </c>
      <c r="G89" s="5">
        <v>0.04</v>
      </c>
      <c r="H89" t="b">
        <f>COUNTIFS(OrderLines[OrderID],Orders[[#This Row],[OrderID]],OrderLines[Category],"Beverage")&gt;0</f>
        <v>0</v>
      </c>
      <c r="I89">
        <f>SUMIFS(OrderLines[Revenue],OrderLines[OrderID],Orders[[#This Row],[OrderID]])</f>
        <v>291.99360000000001</v>
      </c>
      <c r="J89" t="str">
        <f>IF(AND(COUNTIFS(OrderLines[OrderID],Orders[[#This Row],[OrderID]],OrderLines[Category],"Hot Meal")&gt;0,COUNTIFS(OrderLines[OrderID],Orders[[#This Row],[OrderID]],OrderLines[Category],"Beverage")&gt;0),"Combo","Single")</f>
        <v>Single</v>
      </c>
      <c r="K89" s="17" t="str">
        <f>IF(SUMPRODUCT((OrderLines[OrderID]=Orders[[#This Row],[OrderID]])*OrderLines[Qty]*OrderLines[UnitPrice])*Orders[[#This Row],[DiscountPct]]&gt;40,"HighDisc","OK")</f>
        <v>OK</v>
      </c>
      <c r="L89" s="11">
        <f>SUMIFS(OrderLines[Revenue],OrderLines[OrderID],Orders[[#This Row],[OrderID]])-SUMIFS(OrderLines[FoodCost],OrderLines[OrderID],Orders[[#This Row],[OrderID]])</f>
        <v>157.54360000000003</v>
      </c>
      <c r="M89" s="5">
        <f>Orders[[#This Row],[GrossProfit]]/Orders[[#This Row],[OrderTotal]]</f>
        <v>0.53954470234964058</v>
      </c>
      <c r="N89" s="17" t="b">
        <f>COUNTIFS(OrderLines[OrderID],Orders[[#This Row],[OrderID]],OrderLines[Category],"Hot Meal")&gt;0</f>
        <v>1</v>
      </c>
      <c r="O89" s="17" t="b">
        <f>COUNTIFS(OrderLines[OrderID],Orders[[#This Row],[OrderID]],OrderLines[Category],"Snack")&gt;0</f>
        <v>0</v>
      </c>
      <c r="P89" s="17" t="b">
        <f>COUNTIFS(OrderLines[OrderID],Orders[[#This Row],[OrderID]],OrderLines[Category],"Dessert")&gt;0</f>
        <v>1</v>
      </c>
      <c r="Q89" s="11">
        <f>Orders[[#This Row],[OrderTotal]]-Orders[[#This Row],[GrossProfit]]</f>
        <v>134.44999999999999</v>
      </c>
    </row>
    <row r="90" spans="1:17" x14ac:dyDescent="0.25">
      <c r="A90" t="s">
        <v>126</v>
      </c>
      <c r="B90" s="1">
        <v>45856.894131944442</v>
      </c>
      <c r="C90" t="s">
        <v>27</v>
      </c>
      <c r="D90" t="s">
        <v>16</v>
      </c>
      <c r="E90" t="s">
        <v>21</v>
      </c>
      <c r="F90" t="s">
        <v>18</v>
      </c>
      <c r="G90" s="5">
        <v>0</v>
      </c>
      <c r="H90" t="b">
        <f>COUNTIFS(OrderLines[OrderID],Orders[[#This Row],[OrderID]],OrderLines[Category],"Beverage")&gt;0</f>
        <v>0</v>
      </c>
      <c r="I90">
        <f>SUMIFS(OrderLines[Revenue],OrderLines[OrderID],Orders[[#This Row],[OrderID]])</f>
        <v>658.67000000000007</v>
      </c>
      <c r="J90" t="str">
        <f>IF(AND(COUNTIFS(OrderLines[OrderID],Orders[[#This Row],[OrderID]],OrderLines[Category],"Hot Meal")&gt;0,COUNTIFS(OrderLines[OrderID],Orders[[#This Row],[OrderID]],OrderLines[Category],"Beverage")&gt;0),"Combo","Single")</f>
        <v>Single</v>
      </c>
      <c r="K90" s="17" t="str">
        <f>IF(SUMPRODUCT((OrderLines[OrderID]=Orders[[#This Row],[OrderID]])*OrderLines[Qty]*OrderLines[UnitPrice])*Orders[[#This Row],[DiscountPct]]&gt;40,"HighDisc","OK")</f>
        <v>OK</v>
      </c>
      <c r="L90" s="11">
        <f>SUMIFS(OrderLines[Revenue],OrderLines[OrderID],Orders[[#This Row],[OrderID]])-SUMIFS(OrderLines[FoodCost],OrderLines[OrderID],Orders[[#This Row],[OrderID]])</f>
        <v>349.08000000000004</v>
      </c>
      <c r="M90" s="5">
        <f>Orders[[#This Row],[GrossProfit]]/Orders[[#This Row],[OrderTotal]]</f>
        <v>0.52997707501480251</v>
      </c>
      <c r="N90" s="17" t="b">
        <f>COUNTIFS(OrderLines[OrderID],Orders[[#This Row],[OrderID]],OrderLines[Category],"Hot Meal")&gt;0</f>
        <v>1</v>
      </c>
      <c r="O90" s="17" t="b">
        <f>COUNTIFS(OrderLines[OrderID],Orders[[#This Row],[OrderID]],OrderLines[Category],"Snack")&gt;0</f>
        <v>1</v>
      </c>
      <c r="P90" s="17" t="b">
        <f>COUNTIFS(OrderLines[OrderID],Orders[[#This Row],[OrderID]],OrderLines[Category],"Dessert")&gt;0</f>
        <v>0</v>
      </c>
      <c r="Q90" s="11">
        <f>Orders[[#This Row],[OrderTotal]]-Orders[[#This Row],[GrossProfit]]</f>
        <v>309.59000000000003</v>
      </c>
    </row>
    <row r="91" spans="1:17" x14ac:dyDescent="0.25">
      <c r="A91" t="s">
        <v>127</v>
      </c>
      <c r="B91" s="1">
        <v>45859.800173611111</v>
      </c>
      <c r="C91" t="s">
        <v>15</v>
      </c>
      <c r="D91" t="s">
        <v>16</v>
      </c>
      <c r="E91" t="s">
        <v>21</v>
      </c>
      <c r="F91" t="s">
        <v>18</v>
      </c>
      <c r="G91" s="5">
        <v>0.06</v>
      </c>
      <c r="H91" t="b">
        <f>COUNTIFS(OrderLines[OrderID],Orders[[#This Row],[OrderID]],OrderLines[Category],"Beverage")&gt;0</f>
        <v>1</v>
      </c>
      <c r="I91">
        <f>SUMIFS(OrderLines[Revenue],OrderLines[OrderID],Orders[[#This Row],[OrderID]])</f>
        <v>714.59739999999999</v>
      </c>
      <c r="J91" t="str">
        <f>IF(AND(COUNTIFS(OrderLines[OrderID],Orders[[#This Row],[OrderID]],OrderLines[Category],"Hot Meal")&gt;0,COUNTIFS(OrderLines[OrderID],Orders[[#This Row],[OrderID]],OrderLines[Category],"Beverage")&gt;0),"Combo","Single")</f>
        <v>Combo</v>
      </c>
      <c r="K91" s="17" t="str">
        <f>IF(SUMPRODUCT((OrderLines[OrderID]=Orders[[#This Row],[OrderID]])*OrderLines[Qty]*OrderLines[UnitPrice])*Orders[[#This Row],[DiscountPct]]&gt;40,"HighDisc","OK")</f>
        <v>HighDisc</v>
      </c>
      <c r="L91" s="11">
        <f>SUMIFS(OrderLines[Revenue],OrderLines[OrderID],Orders[[#This Row],[OrderID]])-SUMIFS(OrderLines[FoodCost],OrderLines[OrderID],Orders[[#This Row],[OrderID]])</f>
        <v>395.33740000000006</v>
      </c>
      <c r="M91" s="5">
        <f>Orders[[#This Row],[GrossProfit]]/Orders[[#This Row],[OrderTotal]]</f>
        <v>0.55323095214172358</v>
      </c>
      <c r="N91" s="17" t="b">
        <f>COUNTIFS(OrderLines[OrderID],Orders[[#This Row],[OrderID]],OrderLines[Category],"Hot Meal")&gt;0</f>
        <v>1</v>
      </c>
      <c r="O91" s="17" t="b">
        <f>COUNTIFS(OrderLines[OrderID],Orders[[#This Row],[OrderID]],OrderLines[Category],"Snack")&gt;0</f>
        <v>0</v>
      </c>
      <c r="P91" s="17" t="b">
        <f>COUNTIFS(OrderLines[OrderID],Orders[[#This Row],[OrderID]],OrderLines[Category],"Dessert")&gt;0</f>
        <v>0</v>
      </c>
      <c r="Q91" s="11">
        <f>Orders[[#This Row],[OrderTotal]]-Orders[[#This Row],[GrossProfit]]</f>
        <v>319.25999999999993</v>
      </c>
    </row>
    <row r="92" spans="1:17" x14ac:dyDescent="0.25">
      <c r="A92" t="s">
        <v>128</v>
      </c>
      <c r="B92" s="1">
        <v>45866.266030092593</v>
      </c>
      <c r="C92" t="s">
        <v>15</v>
      </c>
      <c r="D92" t="s">
        <v>16</v>
      </c>
      <c r="E92" t="s">
        <v>17</v>
      </c>
      <c r="F92" t="s">
        <v>12</v>
      </c>
      <c r="G92" s="5">
        <v>0.02</v>
      </c>
      <c r="H92" t="b">
        <f>COUNTIFS(OrderLines[OrderID],Orders[[#This Row],[OrderID]],OrderLines[Category],"Beverage")&gt;0</f>
        <v>0</v>
      </c>
      <c r="I92">
        <f>SUMIFS(OrderLines[Revenue],OrderLines[OrderID],Orders[[#This Row],[OrderID]])</f>
        <v>286.94400000000002</v>
      </c>
      <c r="J92" t="str">
        <f>IF(AND(COUNTIFS(OrderLines[OrderID],Orders[[#This Row],[OrderID]],OrderLines[Category],"Hot Meal")&gt;0,COUNTIFS(OrderLines[OrderID],Orders[[#This Row],[OrderID]],OrderLines[Category],"Beverage")&gt;0),"Combo","Single")</f>
        <v>Single</v>
      </c>
      <c r="K92" s="17" t="str">
        <f>IF(SUMPRODUCT((OrderLines[OrderID]=Orders[[#This Row],[OrderID]])*OrderLines[Qty]*OrderLines[UnitPrice])*Orders[[#This Row],[DiscountPct]]&gt;40,"HighDisc","OK")</f>
        <v>OK</v>
      </c>
      <c r="L92" s="11">
        <f>SUMIFS(OrderLines[Revenue],OrderLines[OrderID],Orders[[#This Row],[OrderID]])-SUMIFS(OrderLines[FoodCost],OrderLines[OrderID],Orders[[#This Row],[OrderID]])</f>
        <v>125.10400000000001</v>
      </c>
      <c r="M92" s="5">
        <f>Orders[[#This Row],[GrossProfit]]/Orders[[#This Row],[OrderTotal]]</f>
        <v>0.4359875097580016</v>
      </c>
      <c r="N92" s="17" t="b">
        <f>COUNTIFS(OrderLines[OrderID],Orders[[#This Row],[OrderID]],OrderLines[Category],"Hot Meal")&gt;0</f>
        <v>1</v>
      </c>
      <c r="O92" s="17" t="b">
        <f>COUNTIFS(OrderLines[OrderID],Orders[[#This Row],[OrderID]],OrderLines[Category],"Snack")&gt;0</f>
        <v>0</v>
      </c>
      <c r="P92" s="17" t="b">
        <f>COUNTIFS(OrderLines[OrderID],Orders[[#This Row],[OrderID]],OrderLines[Category],"Dessert")&gt;0</f>
        <v>0</v>
      </c>
      <c r="Q92" s="11">
        <f>Orders[[#This Row],[OrderTotal]]-Orders[[#This Row],[GrossProfit]]</f>
        <v>161.84</v>
      </c>
    </row>
    <row r="93" spans="1:17" x14ac:dyDescent="0.25">
      <c r="A93" t="s">
        <v>129</v>
      </c>
      <c r="B93" s="1">
        <v>45841.131921296299</v>
      </c>
      <c r="C93" t="s">
        <v>9</v>
      </c>
      <c r="D93" t="s">
        <v>10</v>
      </c>
      <c r="E93" t="s">
        <v>17</v>
      </c>
      <c r="F93" t="s">
        <v>12</v>
      </c>
      <c r="G93" s="5">
        <v>0.08</v>
      </c>
      <c r="H93" t="b">
        <f>COUNTIFS(OrderLines[OrderID],Orders[[#This Row],[OrderID]],OrderLines[Category],"Beverage")&gt;0</f>
        <v>1</v>
      </c>
      <c r="I93">
        <f>SUMIFS(OrderLines[Revenue],OrderLines[OrderID],Orders[[#This Row],[OrderID]])</f>
        <v>686.02560000000005</v>
      </c>
      <c r="J93" t="str">
        <f>IF(AND(COUNTIFS(OrderLines[OrderID],Orders[[#This Row],[OrderID]],OrderLines[Category],"Hot Meal")&gt;0,COUNTIFS(OrderLines[OrderID],Orders[[#This Row],[OrderID]],OrderLines[Category],"Beverage")&gt;0),"Combo","Single")</f>
        <v>Combo</v>
      </c>
      <c r="K93" s="17" t="str">
        <f>IF(SUMPRODUCT((OrderLines[OrderID]=Orders[[#This Row],[OrderID]])*OrderLines[Qty]*OrderLines[UnitPrice])*Orders[[#This Row],[DiscountPct]]&gt;40,"HighDisc","OK")</f>
        <v>HighDisc</v>
      </c>
      <c r="L93" s="11">
        <f>SUMIFS(OrderLines[Revenue],OrderLines[OrderID],Orders[[#This Row],[OrderID]])-SUMIFS(OrderLines[FoodCost],OrderLines[OrderID],Orders[[#This Row],[OrderID]])</f>
        <v>367.86560000000009</v>
      </c>
      <c r="M93" s="5">
        <f>Orders[[#This Row],[GrossProfit]]/Orders[[#This Row],[OrderTotal]]</f>
        <v>0.53622721950900964</v>
      </c>
      <c r="N93" s="17" t="b">
        <f>COUNTIFS(OrderLines[OrderID],Orders[[#This Row],[OrderID]],OrderLines[Category],"Hot Meal")&gt;0</f>
        <v>1</v>
      </c>
      <c r="O93" s="17" t="b">
        <f>COUNTIFS(OrderLines[OrderID],Orders[[#This Row],[OrderID]],OrderLines[Category],"Snack")&gt;0</f>
        <v>0</v>
      </c>
      <c r="P93" s="17" t="b">
        <f>COUNTIFS(OrderLines[OrderID],Orders[[#This Row],[OrderID]],OrderLines[Category],"Dessert")&gt;0</f>
        <v>1</v>
      </c>
      <c r="Q93" s="11">
        <f>Orders[[#This Row],[OrderTotal]]-Orders[[#This Row],[GrossProfit]]</f>
        <v>318.15999999999997</v>
      </c>
    </row>
    <row r="94" spans="1:17" x14ac:dyDescent="0.25">
      <c r="A94" t="s">
        <v>130</v>
      </c>
      <c r="B94" s="1">
        <v>45861.019803240742</v>
      </c>
      <c r="C94" t="s">
        <v>9</v>
      </c>
      <c r="D94" t="s">
        <v>28</v>
      </c>
      <c r="E94" t="s">
        <v>11</v>
      </c>
      <c r="F94" t="s">
        <v>12</v>
      </c>
      <c r="G94" s="5">
        <v>0.02</v>
      </c>
      <c r="H94" t="b">
        <f>COUNTIFS(OrderLines[OrderID],Orders[[#This Row],[OrderID]],OrderLines[Category],"Beverage")&gt;0</f>
        <v>0</v>
      </c>
      <c r="I94">
        <f>SUMIFS(OrderLines[Revenue],OrderLines[OrderID],Orders[[#This Row],[OrderID]])</f>
        <v>398.80119999999999</v>
      </c>
      <c r="J94" t="str">
        <f>IF(AND(COUNTIFS(OrderLines[OrderID],Orders[[#This Row],[OrderID]],OrderLines[Category],"Hot Meal")&gt;0,COUNTIFS(OrderLines[OrderID],Orders[[#This Row],[OrderID]],OrderLines[Category],"Beverage")&gt;0),"Combo","Single")</f>
        <v>Single</v>
      </c>
      <c r="K94" s="17" t="str">
        <f>IF(SUMPRODUCT((OrderLines[OrderID]=Orders[[#This Row],[OrderID]])*OrderLines[Qty]*OrderLines[UnitPrice])*Orders[[#This Row],[DiscountPct]]&gt;40,"HighDisc","OK")</f>
        <v>OK</v>
      </c>
      <c r="L94" s="11">
        <f>SUMIFS(OrderLines[Revenue],OrderLines[OrderID],Orders[[#This Row],[OrderID]])-SUMIFS(OrderLines[FoodCost],OrderLines[OrderID],Orders[[#This Row],[OrderID]])</f>
        <v>178.68119999999999</v>
      </c>
      <c r="M94" s="5">
        <f>Orders[[#This Row],[GrossProfit]]/Orders[[#This Row],[OrderTotal]]</f>
        <v>0.44804579324234728</v>
      </c>
      <c r="N94" s="17" t="b">
        <f>COUNTIFS(OrderLines[OrderID],Orders[[#This Row],[OrderID]],OrderLines[Category],"Hot Meal")&gt;0</f>
        <v>1</v>
      </c>
      <c r="O94" s="17" t="b">
        <f>COUNTIFS(OrderLines[OrderID],Orders[[#This Row],[OrderID]],OrderLines[Category],"Snack")&gt;0</f>
        <v>0</v>
      </c>
      <c r="P94" s="17" t="b">
        <f>COUNTIFS(OrderLines[OrderID],Orders[[#This Row],[OrderID]],OrderLines[Category],"Dessert")&gt;0</f>
        <v>1</v>
      </c>
      <c r="Q94" s="11">
        <f>Orders[[#This Row],[OrderTotal]]-Orders[[#This Row],[GrossProfit]]</f>
        <v>220.12</v>
      </c>
    </row>
    <row r="95" spans="1:17" x14ac:dyDescent="0.25">
      <c r="A95" t="s">
        <v>131</v>
      </c>
      <c r="B95" s="1">
        <v>45842.262708333343</v>
      </c>
      <c r="C95" t="s">
        <v>27</v>
      </c>
      <c r="D95" t="s">
        <v>28</v>
      </c>
      <c r="E95" t="s">
        <v>17</v>
      </c>
      <c r="F95" t="s">
        <v>12</v>
      </c>
      <c r="G95" s="5">
        <v>0.12</v>
      </c>
      <c r="H95" t="b">
        <f>COUNTIFS(OrderLines[OrderID],Orders[[#This Row],[OrderID]],OrderLines[Category],"Beverage")&gt;0</f>
        <v>1</v>
      </c>
      <c r="I95">
        <f>SUMIFS(OrderLines[Revenue],OrderLines[OrderID],Orders[[#This Row],[OrderID]])</f>
        <v>171.96960000000001</v>
      </c>
      <c r="J95" t="str">
        <f>IF(AND(COUNTIFS(OrderLines[OrderID],Orders[[#This Row],[OrderID]],OrderLines[Category],"Hot Meal")&gt;0,COUNTIFS(OrderLines[OrderID],Orders[[#This Row],[OrderID]],OrderLines[Category],"Beverage")&gt;0),"Combo","Single")</f>
        <v>Single</v>
      </c>
      <c r="K95" s="17" t="str">
        <f>IF(SUMPRODUCT((OrderLines[OrderID]=Orders[[#This Row],[OrderID]])*OrderLines[Qty]*OrderLines[UnitPrice])*Orders[[#This Row],[DiscountPct]]&gt;40,"HighDisc","OK")</f>
        <v>OK</v>
      </c>
      <c r="L95" s="11">
        <f>SUMIFS(OrderLines[Revenue],OrderLines[OrderID],Orders[[#This Row],[OrderID]])-SUMIFS(OrderLines[FoodCost],OrderLines[OrderID],Orders[[#This Row],[OrderID]])</f>
        <v>86.499600000000015</v>
      </c>
      <c r="M95" s="5">
        <f>Orders[[#This Row],[GrossProfit]]/Orders[[#This Row],[OrderTotal]]</f>
        <v>0.50299355234878729</v>
      </c>
      <c r="N95" s="17" t="b">
        <f>COUNTIFS(OrderLines[OrderID],Orders[[#This Row],[OrderID]],OrderLines[Category],"Hot Meal")&gt;0</f>
        <v>0</v>
      </c>
      <c r="O95" s="17" t="b">
        <f>COUNTIFS(OrderLines[OrderID],Orders[[#This Row],[OrderID]],OrderLines[Category],"Snack")&gt;0</f>
        <v>1</v>
      </c>
      <c r="P95" s="17" t="b">
        <f>COUNTIFS(OrderLines[OrderID],Orders[[#This Row],[OrderID]],OrderLines[Category],"Dessert")&gt;0</f>
        <v>1</v>
      </c>
      <c r="Q95" s="11">
        <f>Orders[[#This Row],[OrderTotal]]-Orders[[#This Row],[GrossProfit]]</f>
        <v>85.47</v>
      </c>
    </row>
    <row r="96" spans="1:17" x14ac:dyDescent="0.25">
      <c r="A96" t="s">
        <v>132</v>
      </c>
      <c r="B96" s="1">
        <v>45862.410416666673</v>
      </c>
      <c r="C96" t="s">
        <v>27</v>
      </c>
      <c r="D96" t="s">
        <v>16</v>
      </c>
      <c r="E96" t="s">
        <v>11</v>
      </c>
      <c r="F96" t="s">
        <v>12</v>
      </c>
      <c r="G96" s="5">
        <v>0.03</v>
      </c>
      <c r="H96" t="b">
        <f>COUNTIFS(OrderLines[OrderID],Orders[[#This Row],[OrderID]],OrderLines[Category],"Beverage")&gt;0</f>
        <v>0</v>
      </c>
      <c r="I96">
        <f>SUMIFS(OrderLines[Revenue],OrderLines[OrderID],Orders[[#This Row],[OrderID]])</f>
        <v>739.84810000000004</v>
      </c>
      <c r="J96" t="str">
        <f>IF(AND(COUNTIFS(OrderLines[OrderID],Orders[[#This Row],[OrderID]],OrderLines[Category],"Hot Meal")&gt;0,COUNTIFS(OrderLines[OrderID],Orders[[#This Row],[OrderID]],OrderLines[Category],"Beverage")&gt;0),"Combo","Single")</f>
        <v>Single</v>
      </c>
      <c r="K96" s="17" t="str">
        <f>IF(SUMPRODUCT((OrderLines[OrderID]=Orders[[#This Row],[OrderID]])*OrderLines[Qty]*OrderLines[UnitPrice])*Orders[[#This Row],[DiscountPct]]&gt;40,"HighDisc","OK")</f>
        <v>OK</v>
      </c>
      <c r="L96" s="11">
        <f>SUMIFS(OrderLines[Revenue],OrderLines[OrderID],Orders[[#This Row],[OrderID]])-SUMIFS(OrderLines[FoodCost],OrderLines[OrderID],Orders[[#This Row],[OrderID]])</f>
        <v>420.16810000000009</v>
      </c>
      <c r="M96" s="5">
        <f>Orders[[#This Row],[GrossProfit]]/Orders[[#This Row],[OrderTotal]]</f>
        <v>0.56791130503680431</v>
      </c>
      <c r="N96" s="17" t="b">
        <f>COUNTIFS(OrderLines[OrderID],Orders[[#This Row],[OrderID]],OrderLines[Category],"Hot Meal")&gt;0</f>
        <v>1</v>
      </c>
      <c r="O96" s="17" t="b">
        <f>COUNTIFS(OrderLines[OrderID],Orders[[#This Row],[OrderID]],OrderLines[Category],"Snack")&gt;0</f>
        <v>1</v>
      </c>
      <c r="P96" s="17" t="b">
        <f>COUNTIFS(OrderLines[OrderID],Orders[[#This Row],[OrderID]],OrderLines[Category],"Dessert")&gt;0</f>
        <v>0</v>
      </c>
      <c r="Q96" s="11">
        <f>Orders[[#This Row],[OrderTotal]]-Orders[[#This Row],[GrossProfit]]</f>
        <v>319.67999999999995</v>
      </c>
    </row>
    <row r="97" spans="1:17" x14ac:dyDescent="0.25">
      <c r="A97" t="s">
        <v>133</v>
      </c>
      <c r="B97" s="1">
        <v>45894.006006944437</v>
      </c>
      <c r="C97" t="s">
        <v>27</v>
      </c>
      <c r="D97" t="s">
        <v>16</v>
      </c>
      <c r="E97" t="s">
        <v>11</v>
      </c>
      <c r="F97" t="s">
        <v>12</v>
      </c>
      <c r="G97" s="5">
        <v>0.05</v>
      </c>
      <c r="H97" t="b">
        <f>COUNTIFS(OrderLines[OrderID],Orders[[#This Row],[OrderID]],OrderLines[Category],"Beverage")&gt;0</f>
        <v>0</v>
      </c>
      <c r="I97">
        <f>SUMIFS(OrderLines[Revenue],OrderLines[OrderID],Orders[[#This Row],[OrderID]])</f>
        <v>825.56899999999996</v>
      </c>
      <c r="J97" t="str">
        <f>IF(AND(COUNTIFS(OrderLines[OrderID],Orders[[#This Row],[OrderID]],OrderLines[Category],"Hot Meal")&gt;0,COUNTIFS(OrderLines[OrderID],Orders[[#This Row],[OrderID]],OrderLines[Category],"Beverage")&gt;0),"Combo","Single")</f>
        <v>Single</v>
      </c>
      <c r="K97" s="17" t="str">
        <f>IF(SUMPRODUCT((OrderLines[OrderID]=Orders[[#This Row],[OrderID]])*OrderLines[Qty]*OrderLines[UnitPrice])*Orders[[#This Row],[DiscountPct]]&gt;40,"HighDisc","OK")</f>
        <v>HighDisc</v>
      </c>
      <c r="L97" s="11">
        <f>SUMIFS(OrderLines[Revenue],OrderLines[OrderID],Orders[[#This Row],[OrderID]])-SUMIFS(OrderLines[FoodCost],OrderLines[OrderID],Orders[[#This Row],[OrderID]])</f>
        <v>429.14899999999994</v>
      </c>
      <c r="M97" s="5">
        <f>Orders[[#This Row],[GrossProfit]]/Orders[[#This Row],[OrderTotal]]</f>
        <v>0.51982208634287375</v>
      </c>
      <c r="N97" s="17" t="b">
        <f>COUNTIFS(OrderLines[OrderID],Orders[[#This Row],[OrderID]],OrderLines[Category],"Hot Meal")&gt;0</f>
        <v>1</v>
      </c>
      <c r="O97" s="17" t="b">
        <f>COUNTIFS(OrderLines[OrderID],Orders[[#This Row],[OrderID]],OrderLines[Category],"Snack")&gt;0</f>
        <v>0</v>
      </c>
      <c r="P97" s="17" t="b">
        <f>COUNTIFS(OrderLines[OrderID],Orders[[#This Row],[OrderID]],OrderLines[Category],"Dessert")&gt;0</f>
        <v>1</v>
      </c>
      <c r="Q97" s="11">
        <f>Orders[[#This Row],[OrderTotal]]-Orders[[#This Row],[GrossProfit]]</f>
        <v>396.42</v>
      </c>
    </row>
    <row r="98" spans="1:17" x14ac:dyDescent="0.25">
      <c r="A98" t="s">
        <v>134</v>
      </c>
      <c r="B98" s="1">
        <v>45875.066168981481</v>
      </c>
      <c r="C98" t="s">
        <v>27</v>
      </c>
      <c r="D98" t="s">
        <v>10</v>
      </c>
      <c r="E98" t="s">
        <v>11</v>
      </c>
      <c r="F98" t="s">
        <v>12</v>
      </c>
      <c r="G98" s="5">
        <v>0.09</v>
      </c>
      <c r="H98" t="b">
        <f>COUNTIFS(OrderLines[OrderID],Orders[[#This Row],[OrderID]],OrderLines[Category],"Beverage")&gt;0</f>
        <v>1</v>
      </c>
      <c r="I98">
        <f>SUMIFS(OrderLines[Revenue],OrderLines[OrderID],Orders[[#This Row],[OrderID]])</f>
        <v>51.742600000000003</v>
      </c>
      <c r="J98" t="str">
        <f>IF(AND(COUNTIFS(OrderLines[OrderID],Orders[[#This Row],[OrderID]],OrderLines[Category],"Hot Meal")&gt;0,COUNTIFS(OrderLines[OrderID],Orders[[#This Row],[OrderID]],OrderLines[Category],"Beverage")&gt;0),"Combo","Single")</f>
        <v>Single</v>
      </c>
      <c r="K98" s="17" t="str">
        <f>IF(SUMPRODUCT((OrderLines[OrderID]=Orders[[#This Row],[OrderID]])*OrderLines[Qty]*OrderLines[UnitPrice])*Orders[[#This Row],[DiscountPct]]&gt;40,"HighDisc","OK")</f>
        <v>OK</v>
      </c>
      <c r="L98" s="11">
        <f>SUMIFS(OrderLines[Revenue],OrderLines[OrderID],Orders[[#This Row],[OrderID]])-SUMIFS(OrderLines[FoodCost],OrderLines[OrderID],Orders[[#This Row],[OrderID]])</f>
        <v>23.962600000000002</v>
      </c>
      <c r="M98" s="5">
        <f>Orders[[#This Row],[GrossProfit]]/Orders[[#This Row],[OrderTotal]]</f>
        <v>0.46311163335433475</v>
      </c>
      <c r="N98" s="17" t="b">
        <f>COUNTIFS(OrderLines[OrderID],Orders[[#This Row],[OrderID]],OrderLines[Category],"Hot Meal")&gt;0</f>
        <v>0</v>
      </c>
      <c r="O98" s="17" t="b">
        <f>COUNTIFS(OrderLines[OrderID],Orders[[#This Row],[OrderID]],OrderLines[Category],"Snack")&gt;0</f>
        <v>0</v>
      </c>
      <c r="P98" s="17" t="b">
        <f>COUNTIFS(OrderLines[OrderID],Orders[[#This Row],[OrderID]],OrderLines[Category],"Dessert")&gt;0</f>
        <v>0</v>
      </c>
      <c r="Q98" s="11">
        <f>Orders[[#This Row],[OrderTotal]]-Orders[[#This Row],[GrossProfit]]</f>
        <v>27.78</v>
      </c>
    </row>
    <row r="99" spans="1:17" x14ac:dyDescent="0.25">
      <c r="A99" t="s">
        <v>135</v>
      </c>
      <c r="B99" s="1">
        <v>45855.150081018517</v>
      </c>
      <c r="C99" t="s">
        <v>15</v>
      </c>
      <c r="D99" t="s">
        <v>28</v>
      </c>
      <c r="E99" t="s">
        <v>11</v>
      </c>
      <c r="F99" t="s">
        <v>12</v>
      </c>
      <c r="G99" s="5">
        <v>0.01</v>
      </c>
      <c r="H99" t="b">
        <f>COUNTIFS(OrderLines[OrderID],Orders[[#This Row],[OrderID]],OrderLines[Category],"Beverage")&gt;0</f>
        <v>1</v>
      </c>
      <c r="I99">
        <f>SUMIFS(OrderLines[Revenue],OrderLines[OrderID],Orders[[#This Row],[OrderID]])</f>
        <v>182.3877</v>
      </c>
      <c r="J99" t="str">
        <f>IF(AND(COUNTIFS(OrderLines[OrderID],Orders[[#This Row],[OrderID]],OrderLines[Category],"Hot Meal")&gt;0,COUNTIFS(OrderLines[OrderID],Orders[[#This Row],[OrderID]],OrderLines[Category],"Beverage")&gt;0),"Combo","Single")</f>
        <v>Single</v>
      </c>
      <c r="K99" s="17" t="str">
        <f>IF(SUMPRODUCT((OrderLines[OrderID]=Orders[[#This Row],[OrderID]])*OrderLines[Qty]*OrderLines[UnitPrice])*Orders[[#This Row],[DiscountPct]]&gt;40,"HighDisc","OK")</f>
        <v>OK</v>
      </c>
      <c r="L99" s="11">
        <f>SUMIFS(OrderLines[Revenue],OrderLines[OrderID],Orders[[#This Row],[OrderID]])-SUMIFS(OrderLines[FoodCost],OrderLines[OrderID],Orders[[#This Row],[OrderID]])</f>
        <v>105.1977</v>
      </c>
      <c r="M99" s="5">
        <f>Orders[[#This Row],[GrossProfit]]/Orders[[#This Row],[OrderTotal]]</f>
        <v>0.57678067106498954</v>
      </c>
      <c r="N99" s="17" t="b">
        <f>COUNTIFS(OrderLines[OrderID],Orders[[#This Row],[OrderID]],OrderLines[Category],"Hot Meal")&gt;0</f>
        <v>0</v>
      </c>
      <c r="O99" s="17" t="b">
        <f>COUNTIFS(OrderLines[OrderID],Orders[[#This Row],[OrderID]],OrderLines[Category],"Snack")&gt;0</f>
        <v>0</v>
      </c>
      <c r="P99" s="17" t="b">
        <f>COUNTIFS(OrderLines[OrderID],Orders[[#This Row],[OrderID]],OrderLines[Category],"Dessert")&gt;0</f>
        <v>0</v>
      </c>
      <c r="Q99" s="11">
        <f>Orders[[#This Row],[OrderTotal]]-Orders[[#This Row],[GrossProfit]]</f>
        <v>77.19</v>
      </c>
    </row>
    <row r="100" spans="1:17" x14ac:dyDescent="0.25">
      <c r="A100" t="s">
        <v>136</v>
      </c>
      <c r="B100" s="1">
        <v>45869.538043981483</v>
      </c>
      <c r="C100" t="s">
        <v>9</v>
      </c>
      <c r="D100" t="s">
        <v>10</v>
      </c>
      <c r="E100" t="s">
        <v>21</v>
      </c>
      <c r="F100" t="s">
        <v>22</v>
      </c>
      <c r="G100" s="5">
        <v>7.0000000000000007E-2</v>
      </c>
      <c r="H100" t="b">
        <f>COUNTIFS(OrderLines[OrderID],Orders[[#This Row],[OrderID]],OrderLines[Category],"Beverage")&gt;0</f>
        <v>0</v>
      </c>
      <c r="I100">
        <f>SUMIFS(OrderLines[Revenue],OrderLines[OrderID],Orders[[#This Row],[OrderID]])</f>
        <v>242.30219999999997</v>
      </c>
      <c r="J100" t="str">
        <f>IF(AND(COUNTIFS(OrderLines[OrderID],Orders[[#This Row],[OrderID]],OrderLines[Category],"Hot Meal")&gt;0,COUNTIFS(OrderLines[OrderID],Orders[[#This Row],[OrderID]],OrderLines[Category],"Beverage")&gt;0),"Combo","Single")</f>
        <v>Single</v>
      </c>
      <c r="K100" s="17" t="str">
        <f>IF(SUMPRODUCT((OrderLines[OrderID]=Orders[[#This Row],[OrderID]])*OrderLines[Qty]*OrderLines[UnitPrice])*Orders[[#This Row],[DiscountPct]]&gt;40,"HighDisc","OK")</f>
        <v>OK</v>
      </c>
      <c r="L100" s="11">
        <f>SUMIFS(OrderLines[Revenue],OrderLines[OrderID],Orders[[#This Row],[OrderID]])-SUMIFS(OrderLines[FoodCost],OrderLines[OrderID],Orders[[#This Row],[OrderID]])</f>
        <v>103.10219999999998</v>
      </c>
      <c r="M100" s="5">
        <f>Orders[[#This Row],[GrossProfit]]/Orders[[#This Row],[OrderTotal]]</f>
        <v>0.42551078776833223</v>
      </c>
      <c r="N100" s="17" t="b">
        <f>COUNTIFS(OrderLines[OrderID],Orders[[#This Row],[OrderID]],OrderLines[Category],"Hot Meal")&gt;0</f>
        <v>1</v>
      </c>
      <c r="O100" s="17" t="b">
        <f>COUNTIFS(OrderLines[OrderID],Orders[[#This Row],[OrderID]],OrderLines[Category],"Snack")&gt;0</f>
        <v>0</v>
      </c>
      <c r="P100" s="17" t="b">
        <f>COUNTIFS(OrderLines[OrderID],Orders[[#This Row],[OrderID]],OrderLines[Category],"Dessert")&gt;0</f>
        <v>1</v>
      </c>
      <c r="Q100" s="11">
        <f>Orders[[#This Row],[OrderTotal]]-Orders[[#This Row],[GrossProfit]]</f>
        <v>139.19999999999999</v>
      </c>
    </row>
    <row r="101" spans="1:17" x14ac:dyDescent="0.25">
      <c r="A101" t="s">
        <v>137</v>
      </c>
      <c r="B101" s="1">
        <v>45858.505902777782</v>
      </c>
      <c r="C101" t="s">
        <v>27</v>
      </c>
      <c r="D101" t="s">
        <v>10</v>
      </c>
      <c r="E101" t="s">
        <v>11</v>
      </c>
      <c r="F101" t="s">
        <v>22</v>
      </c>
      <c r="G101" s="5">
        <v>0.11</v>
      </c>
      <c r="H101" t="b">
        <f>COUNTIFS(OrderLines[OrderID],Orders[[#This Row],[OrderID]],OrderLines[Category],"Beverage")&gt;0</f>
        <v>0</v>
      </c>
      <c r="I101">
        <f>SUMIFS(OrderLines[Revenue],OrderLines[OrderID],Orders[[#This Row],[OrderID]])</f>
        <v>317.98810000000003</v>
      </c>
      <c r="J101" t="str">
        <f>IF(AND(COUNTIFS(OrderLines[OrderID],Orders[[#This Row],[OrderID]],OrderLines[Category],"Hot Meal")&gt;0,COUNTIFS(OrderLines[OrderID],Orders[[#This Row],[OrderID]],OrderLines[Category],"Beverage")&gt;0),"Combo","Single")</f>
        <v>Single</v>
      </c>
      <c r="K101" s="17" t="str">
        <f>IF(SUMPRODUCT((OrderLines[OrderID]=Orders[[#This Row],[OrderID]])*OrderLines[Qty]*OrderLines[UnitPrice])*Orders[[#This Row],[DiscountPct]]&gt;40,"HighDisc","OK")</f>
        <v>OK</v>
      </c>
      <c r="L101" s="11">
        <f>SUMIFS(OrderLines[Revenue],OrderLines[OrderID],Orders[[#This Row],[OrderID]])-SUMIFS(OrderLines[FoodCost],OrderLines[OrderID],Orders[[#This Row],[OrderID]])</f>
        <v>151.52810000000005</v>
      </c>
      <c r="M101" s="5">
        <f>Orders[[#This Row],[GrossProfit]]/Orders[[#This Row],[OrderTotal]]</f>
        <v>0.47652129120555153</v>
      </c>
      <c r="N101" s="17" t="b">
        <f>COUNTIFS(OrderLines[OrderID],Orders[[#This Row],[OrderID]],OrderLines[Category],"Hot Meal")&gt;0</f>
        <v>1</v>
      </c>
      <c r="O101" s="17" t="b">
        <f>COUNTIFS(OrderLines[OrderID],Orders[[#This Row],[OrderID]],OrderLines[Category],"Snack")&gt;0</f>
        <v>1</v>
      </c>
      <c r="P101" s="17" t="b">
        <f>COUNTIFS(OrderLines[OrderID],Orders[[#This Row],[OrderID]],OrderLines[Category],"Dessert")&gt;0</f>
        <v>0</v>
      </c>
      <c r="Q101" s="11">
        <f>Orders[[#This Row],[OrderTotal]]-Orders[[#This Row],[GrossProfit]]</f>
        <v>166.45999999999998</v>
      </c>
    </row>
    <row r="102" spans="1:17" x14ac:dyDescent="0.25">
      <c r="A102" t="s">
        <v>138</v>
      </c>
      <c r="B102" s="1">
        <v>45849.143634259257</v>
      </c>
      <c r="C102" t="s">
        <v>9</v>
      </c>
      <c r="D102" t="s">
        <v>16</v>
      </c>
      <c r="E102" t="s">
        <v>11</v>
      </c>
      <c r="F102" t="s">
        <v>12</v>
      </c>
      <c r="G102" s="5">
        <v>0</v>
      </c>
      <c r="H102" t="b">
        <f>COUNTIFS(OrderLines[OrderID],Orders[[#This Row],[OrderID]],OrderLines[Category],"Beverage")&gt;0</f>
        <v>1</v>
      </c>
      <c r="I102">
        <f>SUMIFS(OrderLines[Revenue],OrderLines[OrderID],Orders[[#This Row],[OrderID]])</f>
        <v>140.83000000000001</v>
      </c>
      <c r="J102" t="str">
        <f>IF(AND(COUNTIFS(OrderLines[OrderID],Orders[[#This Row],[OrderID]],OrderLines[Category],"Hot Meal")&gt;0,COUNTIFS(OrderLines[OrderID],Orders[[#This Row],[OrderID]],OrderLines[Category],"Beverage")&gt;0),"Combo","Single")</f>
        <v>Single</v>
      </c>
      <c r="K102" s="17" t="str">
        <f>IF(SUMPRODUCT((OrderLines[OrderID]=Orders[[#This Row],[OrderID]])*OrderLines[Qty]*OrderLines[UnitPrice])*Orders[[#This Row],[DiscountPct]]&gt;40,"HighDisc","OK")</f>
        <v>OK</v>
      </c>
      <c r="L102" s="11">
        <f>SUMIFS(OrderLines[Revenue],OrderLines[OrderID],Orders[[#This Row],[OrderID]])-SUMIFS(OrderLines[FoodCost],OrderLines[OrderID],Orders[[#This Row],[OrderID]])</f>
        <v>75.330000000000013</v>
      </c>
      <c r="M102" s="5">
        <f>Orders[[#This Row],[GrossProfit]]/Orders[[#This Row],[OrderTotal]]</f>
        <v>0.53490023432507283</v>
      </c>
      <c r="N102" s="17" t="b">
        <f>COUNTIFS(OrderLines[OrderID],Orders[[#This Row],[OrderID]],OrderLines[Category],"Hot Meal")&gt;0</f>
        <v>0</v>
      </c>
      <c r="O102" s="17" t="b">
        <f>COUNTIFS(OrderLines[OrderID],Orders[[#This Row],[OrderID]],OrderLines[Category],"Snack")&gt;0</f>
        <v>1</v>
      </c>
      <c r="P102" s="17" t="b">
        <f>COUNTIFS(OrderLines[OrderID],Orders[[#This Row],[OrderID]],OrderLines[Category],"Dessert")&gt;0</f>
        <v>0</v>
      </c>
      <c r="Q102" s="11">
        <f>Orders[[#This Row],[OrderTotal]]-Orders[[#This Row],[GrossProfit]]</f>
        <v>65.5</v>
      </c>
    </row>
    <row r="103" spans="1:17" x14ac:dyDescent="0.25">
      <c r="A103" t="s">
        <v>139</v>
      </c>
      <c r="B103" s="1">
        <v>45894.196597222217</v>
      </c>
      <c r="C103" t="s">
        <v>27</v>
      </c>
      <c r="D103" t="s">
        <v>16</v>
      </c>
      <c r="E103" t="s">
        <v>11</v>
      </c>
      <c r="F103" t="s">
        <v>12</v>
      </c>
      <c r="G103" s="5">
        <v>7.0000000000000007E-2</v>
      </c>
      <c r="H103" t="b">
        <f>COUNTIFS(OrderLines[OrderID],Orders[[#This Row],[OrderID]],OrderLines[Category],"Beverage")&gt;0</f>
        <v>0</v>
      </c>
      <c r="I103">
        <f>SUMIFS(OrderLines[Revenue],OrderLines[OrderID],Orders[[#This Row],[OrderID]])</f>
        <v>70.791600000000003</v>
      </c>
      <c r="J103" t="str">
        <f>IF(AND(COUNTIFS(OrderLines[OrderID],Orders[[#This Row],[OrderID]],OrderLines[Category],"Hot Meal")&gt;0,COUNTIFS(OrderLines[OrderID],Orders[[#This Row],[OrderID]],OrderLines[Category],"Beverage")&gt;0),"Combo","Single")</f>
        <v>Single</v>
      </c>
      <c r="K103" s="17" t="str">
        <f>IF(SUMPRODUCT((OrderLines[OrderID]=Orders[[#This Row],[OrderID]])*OrderLines[Qty]*OrderLines[UnitPrice])*Orders[[#This Row],[DiscountPct]]&gt;40,"HighDisc","OK")</f>
        <v>OK</v>
      </c>
      <c r="L103" s="11">
        <f>SUMIFS(OrderLines[Revenue],OrderLines[OrderID],Orders[[#This Row],[OrderID]])-SUMIFS(OrderLines[FoodCost],OrderLines[OrderID],Orders[[#This Row],[OrderID]])</f>
        <v>31.691600000000001</v>
      </c>
      <c r="M103" s="5">
        <f>Orders[[#This Row],[GrossProfit]]/Orders[[#This Row],[OrderTotal]]</f>
        <v>0.44767458286011336</v>
      </c>
      <c r="N103" s="17" t="b">
        <f>COUNTIFS(OrderLines[OrderID],Orders[[#This Row],[OrderID]],OrderLines[Category],"Hot Meal")&gt;0</f>
        <v>0</v>
      </c>
      <c r="O103" s="17" t="b">
        <f>COUNTIFS(OrderLines[OrderID],Orders[[#This Row],[OrderID]],OrderLines[Category],"Snack")&gt;0</f>
        <v>1</v>
      </c>
      <c r="P103" s="17" t="b">
        <f>COUNTIFS(OrderLines[OrderID],Orders[[#This Row],[OrderID]],OrderLines[Category],"Dessert")&gt;0</f>
        <v>0</v>
      </c>
      <c r="Q103" s="11">
        <f>Orders[[#This Row],[OrderTotal]]-Orders[[#This Row],[GrossProfit]]</f>
        <v>39.1</v>
      </c>
    </row>
    <row r="104" spans="1:17" x14ac:dyDescent="0.25">
      <c r="A104" t="s">
        <v>140</v>
      </c>
      <c r="B104" s="1">
        <v>45875.228854166657</v>
      </c>
      <c r="C104" t="s">
        <v>27</v>
      </c>
      <c r="D104" t="s">
        <v>10</v>
      </c>
      <c r="E104" t="s">
        <v>11</v>
      </c>
      <c r="F104" t="s">
        <v>12</v>
      </c>
      <c r="G104" s="5">
        <v>7.0000000000000007E-2</v>
      </c>
      <c r="H104" t="b">
        <f>COUNTIFS(OrderLines[OrderID],Orders[[#This Row],[OrderID]],OrderLines[Category],"Beverage")&gt;0</f>
        <v>0</v>
      </c>
      <c r="I104">
        <f>SUMIFS(OrderLines[Revenue],OrderLines[OrderID],Orders[[#This Row],[OrderID]])</f>
        <v>131.20439999999999</v>
      </c>
      <c r="J104" t="str">
        <f>IF(AND(COUNTIFS(OrderLines[OrderID],Orders[[#This Row],[OrderID]],OrderLines[Category],"Hot Meal")&gt;0,COUNTIFS(OrderLines[OrderID],Orders[[#This Row],[OrderID]],OrderLines[Category],"Beverage")&gt;0),"Combo","Single")</f>
        <v>Single</v>
      </c>
      <c r="K104" s="17" t="str">
        <f>IF(SUMPRODUCT((OrderLines[OrderID]=Orders[[#This Row],[OrderID]])*OrderLines[Qty]*OrderLines[UnitPrice])*Orders[[#This Row],[DiscountPct]]&gt;40,"HighDisc","OK")</f>
        <v>OK</v>
      </c>
      <c r="L104" s="11">
        <f>SUMIFS(OrderLines[Revenue],OrderLines[OrderID],Orders[[#This Row],[OrderID]])-SUMIFS(OrderLines[FoodCost],OrderLines[OrderID],Orders[[#This Row],[OrderID]])</f>
        <v>59.584399999999988</v>
      </c>
      <c r="M104" s="5">
        <f>Orders[[#This Row],[GrossProfit]]/Orders[[#This Row],[OrderTotal]]</f>
        <v>0.45413416013487345</v>
      </c>
      <c r="N104" s="17" t="b">
        <f>COUNTIFS(OrderLines[OrderID],Orders[[#This Row],[OrderID]],OrderLines[Category],"Hot Meal")&gt;0</f>
        <v>0</v>
      </c>
      <c r="O104" s="17" t="b">
        <f>COUNTIFS(OrderLines[OrderID],Orders[[#This Row],[OrderID]],OrderLines[Category],"Snack")&gt;0</f>
        <v>1</v>
      </c>
      <c r="P104" s="17" t="b">
        <f>COUNTIFS(OrderLines[OrderID],Orders[[#This Row],[OrderID]],OrderLines[Category],"Dessert")&gt;0</f>
        <v>0</v>
      </c>
      <c r="Q104" s="11">
        <f>Orders[[#This Row],[OrderTotal]]-Orders[[#This Row],[GrossProfit]]</f>
        <v>71.62</v>
      </c>
    </row>
    <row r="105" spans="1:17" x14ac:dyDescent="0.25">
      <c r="A105" t="s">
        <v>141</v>
      </c>
      <c r="B105" s="1">
        <v>45840.478391203702</v>
      </c>
      <c r="C105" t="s">
        <v>15</v>
      </c>
      <c r="D105" t="s">
        <v>16</v>
      </c>
      <c r="E105" t="s">
        <v>17</v>
      </c>
      <c r="F105" t="s">
        <v>22</v>
      </c>
      <c r="G105" s="5">
        <v>0.09</v>
      </c>
      <c r="H105" t="b">
        <f>COUNTIFS(OrderLines[OrderID],Orders[[#This Row],[OrderID]],OrderLines[Category],"Beverage")&gt;0</f>
        <v>0</v>
      </c>
      <c r="I105">
        <f>SUMIFS(OrderLines[Revenue],OrderLines[OrderID],Orders[[#This Row],[OrderID]])</f>
        <v>49.322000000000003</v>
      </c>
      <c r="J105" t="str">
        <f>IF(AND(COUNTIFS(OrderLines[OrderID],Orders[[#This Row],[OrderID]],OrderLines[Category],"Hot Meal")&gt;0,COUNTIFS(OrderLines[OrderID],Orders[[#This Row],[OrderID]],OrderLines[Category],"Beverage")&gt;0),"Combo","Single")</f>
        <v>Single</v>
      </c>
      <c r="K105" s="17" t="str">
        <f>IF(SUMPRODUCT((OrderLines[OrderID]=Orders[[#This Row],[OrderID]])*OrderLines[Qty]*OrderLines[UnitPrice])*Orders[[#This Row],[DiscountPct]]&gt;40,"HighDisc","OK")</f>
        <v>OK</v>
      </c>
      <c r="L105" s="11">
        <f>SUMIFS(OrderLines[Revenue],OrderLines[OrderID],Orders[[#This Row],[OrderID]])-SUMIFS(OrderLines[FoodCost],OrderLines[OrderID],Orders[[#This Row],[OrderID]])</f>
        <v>27.372000000000003</v>
      </c>
      <c r="M105" s="5">
        <f>Orders[[#This Row],[GrossProfit]]/Orders[[#This Row],[OrderTotal]]</f>
        <v>0.55496532987307901</v>
      </c>
      <c r="N105" s="17" t="b">
        <f>COUNTIFS(OrderLines[OrderID],Orders[[#This Row],[OrderID]],OrderLines[Category],"Hot Meal")&gt;0</f>
        <v>0</v>
      </c>
      <c r="O105" s="17" t="b">
        <f>COUNTIFS(OrderLines[OrderID],Orders[[#This Row],[OrderID]],OrderLines[Category],"Snack")&gt;0</f>
        <v>0</v>
      </c>
      <c r="P105" s="17" t="b">
        <f>COUNTIFS(OrderLines[OrderID],Orders[[#This Row],[OrderID]],OrderLines[Category],"Dessert")&gt;0</f>
        <v>1</v>
      </c>
      <c r="Q105" s="11">
        <f>Orders[[#This Row],[OrderTotal]]-Orders[[#This Row],[GrossProfit]]</f>
        <v>21.95</v>
      </c>
    </row>
    <row r="106" spans="1:17" x14ac:dyDescent="0.25">
      <c r="A106" t="s">
        <v>142</v>
      </c>
      <c r="B106" s="1">
        <v>45874.414965277778</v>
      </c>
      <c r="C106" t="s">
        <v>9</v>
      </c>
      <c r="D106" t="s">
        <v>16</v>
      </c>
      <c r="E106" t="s">
        <v>11</v>
      </c>
      <c r="F106" t="s">
        <v>12</v>
      </c>
      <c r="G106" s="5">
        <v>0.01</v>
      </c>
      <c r="H106" t="b">
        <f>COUNTIFS(OrderLines[OrderID],Orders[[#This Row],[OrderID]],OrderLines[Category],"Beverage")&gt;0</f>
        <v>1</v>
      </c>
      <c r="I106">
        <f>SUMIFS(OrderLines[Revenue],OrderLines[OrderID],Orders[[#This Row],[OrderID]])</f>
        <v>30.0366</v>
      </c>
      <c r="J106" t="str">
        <f>IF(AND(COUNTIFS(OrderLines[OrderID],Orders[[#This Row],[OrderID]],OrderLines[Category],"Hot Meal")&gt;0,COUNTIFS(OrderLines[OrderID],Orders[[#This Row],[OrderID]],OrderLines[Category],"Beverage")&gt;0),"Combo","Single")</f>
        <v>Single</v>
      </c>
      <c r="K106" s="17" t="str">
        <f>IF(SUMPRODUCT((OrderLines[OrderID]=Orders[[#This Row],[OrderID]])*OrderLines[Qty]*OrderLines[UnitPrice])*Orders[[#This Row],[DiscountPct]]&gt;40,"HighDisc","OK")</f>
        <v>OK</v>
      </c>
      <c r="L106" s="11">
        <f>SUMIFS(OrderLines[Revenue],OrderLines[OrderID],Orders[[#This Row],[OrderID]])-SUMIFS(OrderLines[FoodCost],OrderLines[OrderID],Orders[[#This Row],[OrderID]])</f>
        <v>15.8566</v>
      </c>
      <c r="M106" s="5">
        <f>Orders[[#This Row],[GrossProfit]]/Orders[[#This Row],[OrderTotal]]</f>
        <v>0.527909284006845</v>
      </c>
      <c r="N106" s="17" t="b">
        <f>COUNTIFS(OrderLines[OrderID],Orders[[#This Row],[OrderID]],OrderLines[Category],"Hot Meal")&gt;0</f>
        <v>0</v>
      </c>
      <c r="O106" s="17" t="b">
        <f>COUNTIFS(OrderLines[OrderID],Orders[[#This Row],[OrderID]],OrderLines[Category],"Snack")&gt;0</f>
        <v>0</v>
      </c>
      <c r="P106" s="17" t="b">
        <f>COUNTIFS(OrderLines[OrderID],Orders[[#This Row],[OrderID]],OrderLines[Category],"Dessert")&gt;0</f>
        <v>0</v>
      </c>
      <c r="Q106" s="11">
        <f>Orders[[#This Row],[OrderTotal]]-Orders[[#This Row],[GrossProfit]]</f>
        <v>14.18</v>
      </c>
    </row>
    <row r="107" spans="1:17" x14ac:dyDescent="0.25">
      <c r="A107" t="s">
        <v>143</v>
      </c>
      <c r="B107" s="1">
        <v>45881.531597222223</v>
      </c>
      <c r="C107" t="s">
        <v>27</v>
      </c>
      <c r="D107" t="s">
        <v>10</v>
      </c>
      <c r="E107" t="s">
        <v>11</v>
      </c>
      <c r="F107" t="s">
        <v>22</v>
      </c>
      <c r="G107" s="5">
        <v>0.01</v>
      </c>
      <c r="H107" t="b">
        <f>COUNTIFS(OrderLines[OrderID],Orders[[#This Row],[OrderID]],OrderLines[Category],"Beverage")&gt;0</f>
        <v>1</v>
      </c>
      <c r="I107">
        <f>SUMIFS(OrderLines[Revenue],OrderLines[OrderID],Orders[[#This Row],[OrderID]])</f>
        <v>423.67050000000006</v>
      </c>
      <c r="J107" t="str">
        <f>IF(AND(COUNTIFS(OrderLines[OrderID],Orders[[#This Row],[OrderID]],OrderLines[Category],"Hot Meal")&gt;0,COUNTIFS(OrderLines[OrderID],Orders[[#This Row],[OrderID]],OrderLines[Category],"Beverage")&gt;0),"Combo","Single")</f>
        <v>Combo</v>
      </c>
      <c r="K107" s="17" t="str">
        <f>IF(SUMPRODUCT((OrderLines[OrderID]=Orders[[#This Row],[OrderID]])*OrderLines[Qty]*OrderLines[UnitPrice])*Orders[[#This Row],[DiscountPct]]&gt;40,"HighDisc","OK")</f>
        <v>OK</v>
      </c>
      <c r="L107" s="11">
        <f>SUMIFS(OrderLines[Revenue],OrderLines[OrderID],Orders[[#This Row],[OrderID]])-SUMIFS(OrderLines[FoodCost],OrderLines[OrderID],Orders[[#This Row],[OrderID]])</f>
        <v>216.00050000000005</v>
      </c>
      <c r="M107" s="5">
        <f>Orders[[#This Row],[GrossProfit]]/Orders[[#This Row],[OrderTotal]]</f>
        <v>0.50983134298942223</v>
      </c>
      <c r="N107" s="17" t="b">
        <f>COUNTIFS(OrderLines[OrderID],Orders[[#This Row],[OrderID]],OrderLines[Category],"Hot Meal")&gt;0</f>
        <v>1</v>
      </c>
      <c r="O107" s="17" t="b">
        <f>COUNTIFS(OrderLines[OrderID],Orders[[#This Row],[OrderID]],OrderLines[Category],"Snack")&gt;0</f>
        <v>1</v>
      </c>
      <c r="P107" s="17" t="b">
        <f>COUNTIFS(OrderLines[OrderID],Orders[[#This Row],[OrderID]],OrderLines[Category],"Dessert")&gt;0</f>
        <v>0</v>
      </c>
      <c r="Q107" s="11">
        <f>Orders[[#This Row],[OrderTotal]]-Orders[[#This Row],[GrossProfit]]</f>
        <v>207.67000000000002</v>
      </c>
    </row>
    <row r="108" spans="1:17" x14ac:dyDescent="0.25">
      <c r="A108" t="s">
        <v>144</v>
      </c>
      <c r="B108" s="1">
        <v>45891.501400462963</v>
      </c>
      <c r="C108" t="s">
        <v>15</v>
      </c>
      <c r="D108" t="s">
        <v>16</v>
      </c>
      <c r="E108" t="s">
        <v>21</v>
      </c>
      <c r="F108" t="s">
        <v>22</v>
      </c>
      <c r="G108" s="5">
        <v>0.08</v>
      </c>
      <c r="H108" t="b">
        <f>COUNTIFS(OrderLines[OrderID],Orders[[#This Row],[OrderID]],OrderLines[Category],"Beverage")&gt;0</f>
        <v>1</v>
      </c>
      <c r="I108">
        <f>SUMIFS(OrderLines[Revenue],OrderLines[OrderID],Orders[[#This Row],[OrderID]])</f>
        <v>57.426400000000001</v>
      </c>
      <c r="J108" t="str">
        <f>IF(AND(COUNTIFS(OrderLines[OrderID],Orders[[#This Row],[OrderID]],OrderLines[Category],"Hot Meal")&gt;0,COUNTIFS(OrderLines[OrderID],Orders[[#This Row],[OrderID]],OrderLines[Category],"Beverage")&gt;0),"Combo","Single")</f>
        <v>Single</v>
      </c>
      <c r="K108" s="17" t="str">
        <f>IF(SUMPRODUCT((OrderLines[OrderID]=Orders[[#This Row],[OrderID]])*OrderLines[Qty]*OrderLines[UnitPrice])*Orders[[#This Row],[DiscountPct]]&gt;40,"HighDisc","OK")</f>
        <v>OK</v>
      </c>
      <c r="L108" s="11">
        <f>SUMIFS(OrderLines[Revenue],OrderLines[OrderID],Orders[[#This Row],[OrderID]])-SUMIFS(OrderLines[FoodCost],OrderLines[OrderID],Orders[[#This Row],[OrderID]])</f>
        <v>32.046399999999998</v>
      </c>
      <c r="M108" s="5">
        <f>Orders[[#This Row],[GrossProfit]]/Orders[[#This Row],[OrderTotal]]</f>
        <v>0.55804299068024454</v>
      </c>
      <c r="N108" s="17" t="b">
        <f>COUNTIFS(OrderLines[OrderID],Orders[[#This Row],[OrderID]],OrderLines[Category],"Hot Meal")&gt;0</f>
        <v>0</v>
      </c>
      <c r="O108" s="17" t="b">
        <f>COUNTIFS(OrderLines[OrderID],Orders[[#This Row],[OrderID]],OrderLines[Category],"Snack")&gt;0</f>
        <v>0</v>
      </c>
      <c r="P108" s="17" t="b">
        <f>COUNTIFS(OrderLines[OrderID],Orders[[#This Row],[OrderID]],OrderLines[Category],"Dessert")&gt;0</f>
        <v>0</v>
      </c>
      <c r="Q108" s="11">
        <f>Orders[[#This Row],[OrderTotal]]-Orders[[#This Row],[GrossProfit]]</f>
        <v>25.380000000000003</v>
      </c>
    </row>
    <row r="109" spans="1:17" x14ac:dyDescent="0.25">
      <c r="A109" t="s">
        <v>145</v>
      </c>
      <c r="B109" s="1">
        <v>45870.542662037027</v>
      </c>
      <c r="C109" t="s">
        <v>27</v>
      </c>
      <c r="D109" t="s">
        <v>28</v>
      </c>
      <c r="E109" t="s">
        <v>21</v>
      </c>
      <c r="F109" t="s">
        <v>22</v>
      </c>
      <c r="G109" s="5">
        <v>7.0000000000000007E-2</v>
      </c>
      <c r="H109" t="b">
        <f>COUNTIFS(OrderLines[OrderID],Orders[[#This Row],[OrderID]],OrderLines[Category],"Beverage")&gt;0</f>
        <v>1</v>
      </c>
      <c r="I109">
        <f>SUMIFS(OrderLines[Revenue],OrderLines[OrderID],Orders[[#This Row],[OrderID]])</f>
        <v>200.38709999999998</v>
      </c>
      <c r="J109" t="str">
        <f>IF(AND(COUNTIFS(OrderLines[OrderID],Orders[[#This Row],[OrderID]],OrderLines[Category],"Hot Meal")&gt;0,COUNTIFS(OrderLines[OrderID],Orders[[#This Row],[OrderID]],OrderLines[Category],"Beverage")&gt;0),"Combo","Single")</f>
        <v>Single</v>
      </c>
      <c r="K109" s="17" t="str">
        <f>IF(SUMPRODUCT((OrderLines[OrderID]=Orders[[#This Row],[OrderID]])*OrderLines[Qty]*OrderLines[UnitPrice])*Orders[[#This Row],[DiscountPct]]&gt;40,"HighDisc","OK")</f>
        <v>OK</v>
      </c>
      <c r="L109" s="11">
        <f>SUMIFS(OrderLines[Revenue],OrderLines[OrderID],Orders[[#This Row],[OrderID]])-SUMIFS(OrderLines[FoodCost],OrderLines[OrderID],Orders[[#This Row],[OrderID]])</f>
        <v>96.947099999999963</v>
      </c>
      <c r="M109" s="5">
        <f>Orders[[#This Row],[GrossProfit]]/Orders[[#This Row],[OrderTotal]]</f>
        <v>0.48379910682873284</v>
      </c>
      <c r="N109" s="17" t="b">
        <f>COUNTIFS(OrderLines[OrderID],Orders[[#This Row],[OrderID]],OrderLines[Category],"Hot Meal")&gt;0</f>
        <v>0</v>
      </c>
      <c r="O109" s="17" t="b">
        <f>COUNTIFS(OrderLines[OrderID],Orders[[#This Row],[OrderID]],OrderLines[Category],"Snack")&gt;0</f>
        <v>1</v>
      </c>
      <c r="P109" s="17" t="b">
        <f>COUNTIFS(OrderLines[OrderID],Orders[[#This Row],[OrderID]],OrderLines[Category],"Dessert")&gt;0</f>
        <v>1</v>
      </c>
      <c r="Q109" s="11">
        <f>Orders[[#This Row],[OrderTotal]]-Orders[[#This Row],[GrossProfit]]</f>
        <v>103.44000000000001</v>
      </c>
    </row>
    <row r="110" spans="1:17" x14ac:dyDescent="0.25">
      <c r="A110" t="s">
        <v>146</v>
      </c>
      <c r="B110" s="1">
        <v>45862.926782407398</v>
      </c>
      <c r="C110" t="s">
        <v>15</v>
      </c>
      <c r="D110" t="s">
        <v>10</v>
      </c>
      <c r="E110" t="s">
        <v>11</v>
      </c>
      <c r="F110" t="s">
        <v>18</v>
      </c>
      <c r="G110" s="5">
        <v>7.0000000000000007E-2</v>
      </c>
      <c r="H110" t="b">
        <f>COUNTIFS(OrderLines[OrderID],Orders[[#This Row],[OrderID]],OrderLines[Category],"Beverage")&gt;0</f>
        <v>1</v>
      </c>
      <c r="I110">
        <f>SUMIFS(OrderLines[Revenue],OrderLines[OrderID],Orders[[#This Row],[OrderID]])</f>
        <v>56.432399999999994</v>
      </c>
      <c r="J110" t="str">
        <f>IF(AND(COUNTIFS(OrderLines[OrderID],Orders[[#This Row],[OrderID]],OrderLines[Category],"Hot Meal")&gt;0,COUNTIFS(OrderLines[OrderID],Orders[[#This Row],[OrderID]],OrderLines[Category],"Beverage")&gt;0),"Combo","Single")</f>
        <v>Single</v>
      </c>
      <c r="K110" s="17" t="str">
        <f>IF(SUMPRODUCT((OrderLines[OrderID]=Orders[[#This Row],[OrderID]])*OrderLines[Qty]*OrderLines[UnitPrice])*Orders[[#This Row],[DiscountPct]]&gt;40,"HighDisc","OK")</f>
        <v>OK</v>
      </c>
      <c r="L110" s="11">
        <f>SUMIFS(OrderLines[Revenue],OrderLines[OrderID],Orders[[#This Row],[OrderID]])-SUMIFS(OrderLines[FoodCost],OrderLines[OrderID],Orders[[#This Row],[OrderID]])</f>
        <v>28.072399999999995</v>
      </c>
      <c r="M110" s="5">
        <f>Orders[[#This Row],[GrossProfit]]/Orders[[#This Row],[OrderTotal]]</f>
        <v>0.49745181845889946</v>
      </c>
      <c r="N110" s="17" t="b">
        <f>COUNTIFS(OrderLines[OrderID],Orders[[#This Row],[OrderID]],OrderLines[Category],"Hot Meal")&gt;0</f>
        <v>0</v>
      </c>
      <c r="O110" s="17" t="b">
        <f>COUNTIFS(OrderLines[OrderID],Orders[[#This Row],[OrderID]],OrderLines[Category],"Snack")&gt;0</f>
        <v>0</v>
      </c>
      <c r="P110" s="17" t="b">
        <f>COUNTIFS(OrderLines[OrderID],Orders[[#This Row],[OrderID]],OrderLines[Category],"Dessert")&gt;0</f>
        <v>0</v>
      </c>
      <c r="Q110" s="11">
        <f>Orders[[#This Row],[OrderTotal]]-Orders[[#This Row],[GrossProfit]]</f>
        <v>28.36</v>
      </c>
    </row>
    <row r="111" spans="1:17" x14ac:dyDescent="0.25">
      <c r="A111" t="s">
        <v>147</v>
      </c>
      <c r="B111" s="1">
        <v>45871.910868055558</v>
      </c>
      <c r="C111" t="s">
        <v>27</v>
      </c>
      <c r="D111" t="s">
        <v>16</v>
      </c>
      <c r="E111" t="s">
        <v>21</v>
      </c>
      <c r="F111" t="s">
        <v>18</v>
      </c>
      <c r="G111" s="5">
        <v>7.0000000000000007E-2</v>
      </c>
      <c r="H111" t="b">
        <f>COUNTIFS(OrderLines[OrderID],Orders[[#This Row],[OrderID]],OrderLines[Category],"Beverage")&gt;0</f>
        <v>1</v>
      </c>
      <c r="I111">
        <f>SUMIFS(OrderLines[Revenue],OrderLines[OrderID],Orders[[#This Row],[OrderID]])</f>
        <v>761.72579999999994</v>
      </c>
      <c r="J111" t="str">
        <f>IF(AND(COUNTIFS(OrderLines[OrderID],Orders[[#This Row],[OrderID]],OrderLines[Category],"Hot Meal")&gt;0,COUNTIFS(OrderLines[OrderID],Orders[[#This Row],[OrderID]],OrderLines[Category],"Beverage")&gt;0),"Combo","Single")</f>
        <v>Combo</v>
      </c>
      <c r="K111" s="17" t="str">
        <f>IF(SUMPRODUCT((OrderLines[OrderID]=Orders[[#This Row],[OrderID]])*OrderLines[Qty]*OrderLines[UnitPrice])*Orders[[#This Row],[DiscountPct]]&gt;40,"HighDisc","OK")</f>
        <v>HighDisc</v>
      </c>
      <c r="L111" s="11">
        <f>SUMIFS(OrderLines[Revenue],OrderLines[OrderID],Orders[[#This Row],[OrderID]])-SUMIFS(OrderLines[FoodCost],OrderLines[OrderID],Orders[[#This Row],[OrderID]])</f>
        <v>399.70579999999995</v>
      </c>
      <c r="M111" s="5">
        <f>Orders[[#This Row],[GrossProfit]]/Orders[[#This Row],[OrderTotal]]</f>
        <v>0.52473711668949641</v>
      </c>
      <c r="N111" s="17" t="b">
        <f>COUNTIFS(OrderLines[OrderID],Orders[[#This Row],[OrderID]],OrderLines[Category],"Hot Meal")&gt;0</f>
        <v>1</v>
      </c>
      <c r="O111" s="17" t="b">
        <f>COUNTIFS(OrderLines[OrderID],Orders[[#This Row],[OrderID]],OrderLines[Category],"Snack")&gt;0</f>
        <v>0</v>
      </c>
      <c r="P111" s="17" t="b">
        <f>COUNTIFS(OrderLines[OrderID],Orders[[#This Row],[OrderID]],OrderLines[Category],"Dessert")&gt;0</f>
        <v>1</v>
      </c>
      <c r="Q111" s="11">
        <f>Orders[[#This Row],[OrderTotal]]-Orders[[#This Row],[GrossProfit]]</f>
        <v>362.02</v>
      </c>
    </row>
    <row r="112" spans="1:17" x14ac:dyDescent="0.25">
      <c r="A112" t="s">
        <v>148</v>
      </c>
      <c r="B112" s="1">
        <v>45886.586400462962</v>
      </c>
      <c r="C112" t="s">
        <v>27</v>
      </c>
      <c r="D112" t="s">
        <v>16</v>
      </c>
      <c r="E112" t="s">
        <v>21</v>
      </c>
      <c r="F112" t="s">
        <v>22</v>
      </c>
      <c r="G112" s="5">
        <v>0.03</v>
      </c>
      <c r="H112" t="b">
        <f>COUNTIFS(OrderLines[OrderID],Orders[[#This Row],[OrderID]],OrderLines[Category],"Beverage")&gt;0</f>
        <v>1</v>
      </c>
      <c r="I112">
        <f>SUMIFS(OrderLines[Revenue],OrderLines[OrderID],Orders[[#This Row],[OrderID]])</f>
        <v>335.51330000000002</v>
      </c>
      <c r="J112" t="str">
        <f>IF(AND(COUNTIFS(OrderLines[OrderID],Orders[[#This Row],[OrderID]],OrderLines[Category],"Hot Meal")&gt;0,COUNTIFS(OrderLines[OrderID],Orders[[#This Row],[OrderID]],OrderLines[Category],"Beverage")&gt;0),"Combo","Single")</f>
        <v>Combo</v>
      </c>
      <c r="K112" s="17" t="str">
        <f>IF(SUMPRODUCT((OrderLines[OrderID]=Orders[[#This Row],[OrderID]])*OrderLines[Qty]*OrderLines[UnitPrice])*Orders[[#This Row],[DiscountPct]]&gt;40,"HighDisc","OK")</f>
        <v>OK</v>
      </c>
      <c r="L112" s="11">
        <f>SUMIFS(OrderLines[Revenue],OrderLines[OrderID],Orders[[#This Row],[OrderID]])-SUMIFS(OrderLines[FoodCost],OrderLines[OrderID],Orders[[#This Row],[OrderID]])</f>
        <v>153.83330000000001</v>
      </c>
      <c r="M112" s="5">
        <f>Orders[[#This Row],[GrossProfit]]/Orders[[#This Row],[OrderTotal]]</f>
        <v>0.45850134704048989</v>
      </c>
      <c r="N112" s="17" t="b">
        <f>COUNTIFS(OrderLines[OrderID],Orders[[#This Row],[OrderID]],OrderLines[Category],"Hot Meal")&gt;0</f>
        <v>1</v>
      </c>
      <c r="O112" s="17" t="b">
        <f>COUNTIFS(OrderLines[OrderID],Orders[[#This Row],[OrderID]],OrderLines[Category],"Snack")&gt;0</f>
        <v>0</v>
      </c>
      <c r="P112" s="17" t="b">
        <f>COUNTIFS(OrderLines[OrderID],Orders[[#This Row],[OrderID]],OrderLines[Category],"Dessert")&gt;0</f>
        <v>0</v>
      </c>
      <c r="Q112" s="11">
        <f>Orders[[#This Row],[OrderTotal]]-Orders[[#This Row],[GrossProfit]]</f>
        <v>181.68</v>
      </c>
    </row>
    <row r="113" spans="1:17" x14ac:dyDescent="0.25">
      <c r="A113" t="s">
        <v>149</v>
      </c>
      <c r="B113" s="1">
        <v>45866.402141203696</v>
      </c>
      <c r="C113" t="s">
        <v>9</v>
      </c>
      <c r="D113" t="s">
        <v>10</v>
      </c>
      <c r="E113" t="s">
        <v>21</v>
      </c>
      <c r="F113" t="s">
        <v>12</v>
      </c>
      <c r="G113" s="5">
        <v>7.0000000000000007E-2</v>
      </c>
      <c r="H113" t="b">
        <f>COUNTIFS(OrderLines[OrderID],Orders[[#This Row],[OrderID]],OrderLines[Category],"Beverage")&gt;0</f>
        <v>1</v>
      </c>
      <c r="I113">
        <f>SUMIFS(OrderLines[Revenue],OrderLines[OrderID],Orders[[#This Row],[OrderID]])</f>
        <v>409.14420000000001</v>
      </c>
      <c r="J113" t="str">
        <f>IF(AND(COUNTIFS(OrderLines[OrderID],Orders[[#This Row],[OrderID]],OrderLines[Category],"Hot Meal")&gt;0,COUNTIFS(OrderLines[OrderID],Orders[[#This Row],[OrderID]],OrderLines[Category],"Beverage")&gt;0),"Combo","Single")</f>
        <v>Combo</v>
      </c>
      <c r="K113" s="17" t="str">
        <f>IF(SUMPRODUCT((OrderLines[OrderID]=Orders[[#This Row],[OrderID]])*OrderLines[Qty]*OrderLines[UnitPrice])*Orders[[#This Row],[DiscountPct]]&gt;40,"HighDisc","OK")</f>
        <v>OK</v>
      </c>
      <c r="L113" s="11">
        <f>SUMIFS(OrderLines[Revenue],OrderLines[OrderID],Orders[[#This Row],[OrderID]])-SUMIFS(OrderLines[FoodCost],OrderLines[OrderID],Orders[[#This Row],[OrderID]])</f>
        <v>184.1542</v>
      </c>
      <c r="M113" s="5">
        <f>Orders[[#This Row],[GrossProfit]]/Orders[[#This Row],[OrderTotal]]</f>
        <v>0.45009607859527279</v>
      </c>
      <c r="N113" s="17" t="b">
        <f>COUNTIFS(OrderLines[OrderID],Orders[[#This Row],[OrderID]],OrderLines[Category],"Hot Meal")&gt;0</f>
        <v>1</v>
      </c>
      <c r="O113" s="17" t="b">
        <f>COUNTIFS(OrderLines[OrderID],Orders[[#This Row],[OrderID]],OrderLines[Category],"Snack")&gt;0</f>
        <v>0</v>
      </c>
      <c r="P113" s="17" t="b">
        <f>COUNTIFS(OrderLines[OrderID],Orders[[#This Row],[OrderID]],OrderLines[Category],"Dessert")&gt;0</f>
        <v>1</v>
      </c>
      <c r="Q113" s="11">
        <f>Orders[[#This Row],[OrderTotal]]-Orders[[#This Row],[GrossProfit]]</f>
        <v>224.99</v>
      </c>
    </row>
    <row r="114" spans="1:17" x14ac:dyDescent="0.25">
      <c r="A114" t="s">
        <v>150</v>
      </c>
      <c r="B114" s="1">
        <v>45840.235567129632</v>
      </c>
      <c r="C114" t="s">
        <v>9</v>
      </c>
      <c r="D114" t="s">
        <v>28</v>
      </c>
      <c r="E114" t="s">
        <v>17</v>
      </c>
      <c r="F114" t="s">
        <v>12</v>
      </c>
      <c r="G114" s="5">
        <v>7.0000000000000007E-2</v>
      </c>
      <c r="H114" t="b">
        <f>COUNTIFS(OrderLines[OrderID],Orders[[#This Row],[OrderID]],OrderLines[Category],"Beverage")&gt;0</f>
        <v>0</v>
      </c>
      <c r="I114">
        <f>SUMIFS(OrderLines[Revenue],OrderLines[OrderID],Orders[[#This Row],[OrderID]])</f>
        <v>509.79810000000003</v>
      </c>
      <c r="J114" t="str">
        <f>IF(AND(COUNTIFS(OrderLines[OrderID],Orders[[#This Row],[OrderID]],OrderLines[Category],"Hot Meal")&gt;0,COUNTIFS(OrderLines[OrderID],Orders[[#This Row],[OrderID]],OrderLines[Category],"Beverage")&gt;0),"Combo","Single")</f>
        <v>Single</v>
      </c>
      <c r="K114" s="17" t="str">
        <f>IF(SUMPRODUCT((OrderLines[OrderID]=Orders[[#This Row],[OrderID]])*OrderLines[Qty]*OrderLines[UnitPrice])*Orders[[#This Row],[DiscountPct]]&gt;40,"HighDisc","OK")</f>
        <v>OK</v>
      </c>
      <c r="L114" s="11">
        <f>SUMIFS(OrderLines[Revenue],OrderLines[OrderID],Orders[[#This Row],[OrderID]])-SUMIFS(OrderLines[FoodCost],OrderLines[OrderID],Orders[[#This Row],[OrderID]])</f>
        <v>247.55810000000002</v>
      </c>
      <c r="M114" s="5">
        <f>Orders[[#This Row],[GrossProfit]]/Orders[[#This Row],[OrderTotal]]</f>
        <v>0.48560027979704123</v>
      </c>
      <c r="N114" s="17" t="b">
        <f>COUNTIFS(OrderLines[OrderID],Orders[[#This Row],[OrderID]],OrderLines[Category],"Hot Meal")&gt;0</f>
        <v>1</v>
      </c>
      <c r="O114" s="17" t="b">
        <f>COUNTIFS(OrderLines[OrderID],Orders[[#This Row],[OrderID]],OrderLines[Category],"Snack")&gt;0</f>
        <v>0</v>
      </c>
      <c r="P114" s="17" t="b">
        <f>COUNTIFS(OrderLines[OrderID],Orders[[#This Row],[OrderID]],OrderLines[Category],"Dessert")&gt;0</f>
        <v>1</v>
      </c>
      <c r="Q114" s="11">
        <f>Orders[[#This Row],[OrderTotal]]-Orders[[#This Row],[GrossProfit]]</f>
        <v>262.24</v>
      </c>
    </row>
    <row r="115" spans="1:17" x14ac:dyDescent="0.25">
      <c r="A115" t="s">
        <v>151</v>
      </c>
      <c r="B115" s="1">
        <v>45878.71025462963</v>
      </c>
      <c r="C115" t="s">
        <v>15</v>
      </c>
      <c r="D115" t="s">
        <v>10</v>
      </c>
      <c r="E115" t="s">
        <v>17</v>
      </c>
      <c r="F115" t="s">
        <v>18</v>
      </c>
      <c r="G115" s="5">
        <v>0.03</v>
      </c>
      <c r="H115" t="b">
        <f>COUNTIFS(OrderLines[OrderID],Orders[[#This Row],[OrderID]],OrderLines[Category],"Beverage")&gt;0</f>
        <v>0</v>
      </c>
      <c r="I115">
        <f>SUMIFS(OrderLines[Revenue],OrderLines[OrderID],Orders[[#This Row],[OrderID]])</f>
        <v>251.20089999999999</v>
      </c>
      <c r="J115" t="str">
        <f>IF(AND(COUNTIFS(OrderLines[OrderID],Orders[[#This Row],[OrderID]],OrderLines[Category],"Hot Meal")&gt;0,COUNTIFS(OrderLines[OrderID],Orders[[#This Row],[OrderID]],OrderLines[Category],"Beverage")&gt;0),"Combo","Single")</f>
        <v>Single</v>
      </c>
      <c r="K115" s="17" t="str">
        <f>IF(SUMPRODUCT((OrderLines[OrderID]=Orders[[#This Row],[OrderID]])*OrderLines[Qty]*OrderLines[UnitPrice])*Orders[[#This Row],[DiscountPct]]&gt;40,"HighDisc","OK")</f>
        <v>OK</v>
      </c>
      <c r="L115" s="11">
        <f>SUMIFS(OrderLines[Revenue],OrderLines[OrderID],Orders[[#This Row],[OrderID]])-SUMIFS(OrderLines[FoodCost],OrderLines[OrderID],Orders[[#This Row],[OrderID]])</f>
        <v>139.4709</v>
      </c>
      <c r="M115" s="5">
        <f>Orders[[#This Row],[GrossProfit]]/Orders[[#This Row],[OrderTotal]]</f>
        <v>0.55521656172410216</v>
      </c>
      <c r="N115" s="17" t="b">
        <f>COUNTIFS(OrderLines[OrderID],Orders[[#This Row],[OrderID]],OrderLines[Category],"Hot Meal")&gt;0</f>
        <v>0</v>
      </c>
      <c r="O115" s="17" t="b">
        <f>COUNTIFS(OrderLines[OrderID],Orders[[#This Row],[OrderID]],OrderLines[Category],"Snack")&gt;0</f>
        <v>1</v>
      </c>
      <c r="P115" s="17" t="b">
        <f>COUNTIFS(OrderLines[OrderID],Orders[[#This Row],[OrderID]],OrderLines[Category],"Dessert")&gt;0</f>
        <v>1</v>
      </c>
      <c r="Q115" s="11">
        <f>Orders[[#This Row],[OrderTotal]]-Orders[[#This Row],[GrossProfit]]</f>
        <v>111.72999999999999</v>
      </c>
    </row>
    <row r="116" spans="1:17" x14ac:dyDescent="0.25">
      <c r="A116" t="s">
        <v>152</v>
      </c>
      <c r="B116" s="1">
        <v>45886.904016203713</v>
      </c>
      <c r="C116" t="s">
        <v>15</v>
      </c>
      <c r="D116" t="s">
        <v>28</v>
      </c>
      <c r="E116" t="s">
        <v>17</v>
      </c>
      <c r="F116" t="s">
        <v>18</v>
      </c>
      <c r="G116" s="5">
        <v>0.13</v>
      </c>
      <c r="H116" t="b">
        <f>COUNTIFS(OrderLines[OrderID],Orders[[#This Row],[OrderID]],OrderLines[Category],"Beverage")&gt;0</f>
        <v>1</v>
      </c>
      <c r="I116">
        <f>SUMIFS(OrderLines[Revenue],OrderLines[OrderID],Orders[[#This Row],[OrderID]])</f>
        <v>750.9926999999999</v>
      </c>
      <c r="J116" t="str">
        <f>IF(AND(COUNTIFS(OrderLines[OrderID],Orders[[#This Row],[OrderID]],OrderLines[Category],"Hot Meal")&gt;0,COUNTIFS(OrderLines[OrderID],Orders[[#This Row],[OrderID]],OrderLines[Category],"Beverage")&gt;0),"Combo","Single")</f>
        <v>Combo</v>
      </c>
      <c r="K116" s="17" t="str">
        <f>IF(SUMPRODUCT((OrderLines[OrderID]=Orders[[#This Row],[OrderID]])*OrderLines[Qty]*OrderLines[UnitPrice])*Orders[[#This Row],[DiscountPct]]&gt;40,"HighDisc","OK")</f>
        <v>HighDisc</v>
      </c>
      <c r="L116" s="11">
        <f>SUMIFS(OrderLines[Revenue],OrderLines[OrderID],Orders[[#This Row],[OrderID]])-SUMIFS(OrderLines[FoodCost],OrderLines[OrderID],Orders[[#This Row],[OrderID]])</f>
        <v>356.40269999999992</v>
      </c>
      <c r="M116" s="5">
        <f>Orders[[#This Row],[GrossProfit]]/Orders[[#This Row],[OrderTotal]]</f>
        <v>0.47457545193182299</v>
      </c>
      <c r="N116" s="17" t="b">
        <f>COUNTIFS(OrderLines[OrderID],Orders[[#This Row],[OrderID]],OrderLines[Category],"Hot Meal")&gt;0</f>
        <v>1</v>
      </c>
      <c r="O116" s="17" t="b">
        <f>COUNTIFS(OrderLines[OrderID],Orders[[#This Row],[OrderID]],OrderLines[Category],"Snack")&gt;0</f>
        <v>0</v>
      </c>
      <c r="P116" s="17" t="b">
        <f>COUNTIFS(OrderLines[OrderID],Orders[[#This Row],[OrderID]],OrderLines[Category],"Dessert")&gt;0</f>
        <v>1</v>
      </c>
      <c r="Q116" s="11">
        <f>Orders[[#This Row],[OrderTotal]]-Orders[[#This Row],[GrossProfit]]</f>
        <v>394.59</v>
      </c>
    </row>
    <row r="117" spans="1:17" x14ac:dyDescent="0.25">
      <c r="A117" t="s">
        <v>153</v>
      </c>
      <c r="B117" s="1">
        <v>45860.764872685177</v>
      </c>
      <c r="C117" t="s">
        <v>15</v>
      </c>
      <c r="D117" t="s">
        <v>10</v>
      </c>
      <c r="E117" t="s">
        <v>17</v>
      </c>
      <c r="F117" t="s">
        <v>18</v>
      </c>
      <c r="G117" s="5">
        <v>0.08</v>
      </c>
      <c r="H117" t="b">
        <f>COUNTIFS(OrderLines[OrderID],Orders[[#This Row],[OrderID]],OrderLines[Category],"Beverage")&gt;0</f>
        <v>1</v>
      </c>
      <c r="I117">
        <f>SUMIFS(OrderLines[Revenue],OrderLines[OrderID],Orders[[#This Row],[OrderID]])</f>
        <v>376.96080000000006</v>
      </c>
      <c r="J117" t="str">
        <f>IF(AND(COUNTIFS(OrderLines[OrderID],Orders[[#This Row],[OrderID]],OrderLines[Category],"Hot Meal")&gt;0,COUNTIFS(OrderLines[OrderID],Orders[[#This Row],[OrderID]],OrderLines[Category],"Beverage")&gt;0),"Combo","Single")</f>
        <v>Combo</v>
      </c>
      <c r="K117" s="17" t="str">
        <f>IF(SUMPRODUCT((OrderLines[OrderID]=Orders[[#This Row],[OrderID]])*OrderLines[Qty]*OrderLines[UnitPrice])*Orders[[#This Row],[DiscountPct]]&gt;40,"HighDisc","OK")</f>
        <v>OK</v>
      </c>
      <c r="L117" s="11">
        <f>SUMIFS(OrderLines[Revenue],OrderLines[OrderID],Orders[[#This Row],[OrderID]])-SUMIFS(OrderLines[FoodCost],OrderLines[OrderID],Orders[[#This Row],[OrderID]])</f>
        <v>197.35080000000008</v>
      </c>
      <c r="M117" s="5">
        <f>Orders[[#This Row],[GrossProfit]]/Orders[[#This Row],[OrderTotal]]</f>
        <v>0.52353135922886418</v>
      </c>
      <c r="N117" s="17" t="b">
        <f>COUNTIFS(OrderLines[OrderID],Orders[[#This Row],[OrderID]],OrderLines[Category],"Hot Meal")&gt;0</f>
        <v>1</v>
      </c>
      <c r="O117" s="17" t="b">
        <f>COUNTIFS(OrderLines[OrderID],Orders[[#This Row],[OrderID]],OrderLines[Category],"Snack")&gt;0</f>
        <v>1</v>
      </c>
      <c r="P117" s="17" t="b">
        <f>COUNTIFS(OrderLines[OrderID],Orders[[#This Row],[OrderID]],OrderLines[Category],"Dessert")&gt;0</f>
        <v>0</v>
      </c>
      <c r="Q117" s="11">
        <f>Orders[[#This Row],[OrderTotal]]-Orders[[#This Row],[GrossProfit]]</f>
        <v>179.60999999999999</v>
      </c>
    </row>
    <row r="118" spans="1:17" x14ac:dyDescent="0.25">
      <c r="A118" t="s">
        <v>154</v>
      </c>
      <c r="B118" s="1">
        <v>45895.713437500002</v>
      </c>
      <c r="C118" t="s">
        <v>15</v>
      </c>
      <c r="D118" t="s">
        <v>16</v>
      </c>
      <c r="E118" t="s">
        <v>11</v>
      </c>
      <c r="F118" t="s">
        <v>18</v>
      </c>
      <c r="G118" s="5">
        <v>0.01</v>
      </c>
      <c r="H118" t="b">
        <f>COUNTIFS(OrderLines[OrderID],Orders[[#This Row],[OrderID]],OrderLines[Category],"Beverage")&gt;0</f>
        <v>1</v>
      </c>
      <c r="I118">
        <f>SUMIFS(OrderLines[Revenue],OrderLines[OrderID],Orders[[#This Row],[OrderID]])</f>
        <v>667.4085</v>
      </c>
      <c r="J118" t="str">
        <f>IF(AND(COUNTIFS(OrderLines[OrderID],Orders[[#This Row],[OrderID]],OrderLines[Category],"Hot Meal")&gt;0,COUNTIFS(OrderLines[OrderID],Orders[[#This Row],[OrderID]],OrderLines[Category],"Beverage")&gt;0),"Combo","Single")</f>
        <v>Single</v>
      </c>
      <c r="K118" s="17" t="str">
        <f>IF(SUMPRODUCT((OrderLines[OrderID]=Orders[[#This Row],[OrderID]])*OrderLines[Qty]*OrderLines[UnitPrice])*Orders[[#This Row],[DiscountPct]]&gt;40,"HighDisc","OK")</f>
        <v>OK</v>
      </c>
      <c r="L118" s="11">
        <f>SUMIFS(OrderLines[Revenue],OrderLines[OrderID],Orders[[#This Row],[OrderID]])-SUMIFS(OrderLines[FoodCost],OrderLines[OrderID],Orders[[#This Row],[OrderID]])</f>
        <v>362.94850000000002</v>
      </c>
      <c r="M118" s="5">
        <f>Orders[[#This Row],[GrossProfit]]/Orders[[#This Row],[OrderTotal]]</f>
        <v>0.54381761694674258</v>
      </c>
      <c r="N118" s="17" t="b">
        <f>COUNTIFS(OrderLines[OrderID],Orders[[#This Row],[OrderID]],OrderLines[Category],"Hot Meal")&gt;0</f>
        <v>0</v>
      </c>
      <c r="O118" s="17" t="b">
        <f>COUNTIFS(OrderLines[OrderID],Orders[[#This Row],[OrderID]],OrderLines[Category],"Snack")&gt;0</f>
        <v>1</v>
      </c>
      <c r="P118" s="17" t="b">
        <f>COUNTIFS(OrderLines[OrderID],Orders[[#This Row],[OrderID]],OrderLines[Category],"Dessert")&gt;0</f>
        <v>1</v>
      </c>
      <c r="Q118" s="11">
        <f>Orders[[#This Row],[OrderTotal]]-Orders[[#This Row],[GrossProfit]]</f>
        <v>304.45999999999998</v>
      </c>
    </row>
    <row r="119" spans="1:17" x14ac:dyDescent="0.25">
      <c r="A119" t="s">
        <v>155</v>
      </c>
      <c r="B119" s="1">
        <v>45872.625532407408</v>
      </c>
      <c r="C119" t="s">
        <v>15</v>
      </c>
      <c r="D119" t="s">
        <v>10</v>
      </c>
      <c r="E119" t="s">
        <v>11</v>
      </c>
      <c r="F119" t="s">
        <v>22</v>
      </c>
      <c r="G119" s="5">
        <v>0.09</v>
      </c>
      <c r="H119" t="b">
        <f>COUNTIFS(OrderLines[OrderID],Orders[[#This Row],[OrderID]],OrderLines[Category],"Beverage")&gt;0</f>
        <v>0</v>
      </c>
      <c r="I119">
        <f>SUMIFS(OrderLines[Revenue],OrderLines[OrderID],Orders[[#This Row],[OrderID]])</f>
        <v>47.729500000000002</v>
      </c>
      <c r="J119" t="str">
        <f>IF(AND(COUNTIFS(OrderLines[OrderID],Orders[[#This Row],[OrderID]],OrderLines[Category],"Hot Meal")&gt;0,COUNTIFS(OrderLines[OrderID],Orders[[#This Row],[OrderID]],OrderLines[Category],"Beverage")&gt;0),"Combo","Single")</f>
        <v>Single</v>
      </c>
      <c r="K119" s="17" t="str">
        <f>IF(SUMPRODUCT((OrderLines[OrderID]=Orders[[#This Row],[OrderID]])*OrderLines[Qty]*OrderLines[UnitPrice])*Orders[[#This Row],[DiscountPct]]&gt;40,"HighDisc","OK")</f>
        <v>OK</v>
      </c>
      <c r="L119" s="11">
        <f>SUMIFS(OrderLines[Revenue],OrderLines[OrderID],Orders[[#This Row],[OrderID]])-SUMIFS(OrderLines[FoodCost],OrderLines[OrderID],Orders[[#This Row],[OrderID]])</f>
        <v>21.929500000000001</v>
      </c>
      <c r="M119" s="5">
        <f>Orders[[#This Row],[GrossProfit]]/Orders[[#This Row],[OrderTotal]]</f>
        <v>0.45945379691804861</v>
      </c>
      <c r="N119" s="17" t="b">
        <f>COUNTIFS(OrderLines[OrderID],Orders[[#This Row],[OrderID]],OrderLines[Category],"Hot Meal")&gt;0</f>
        <v>0</v>
      </c>
      <c r="O119" s="17" t="b">
        <f>COUNTIFS(OrderLines[OrderID],Orders[[#This Row],[OrderID]],OrderLines[Category],"Snack")&gt;0</f>
        <v>1</v>
      </c>
      <c r="P119" s="17" t="b">
        <f>COUNTIFS(OrderLines[OrderID],Orders[[#This Row],[OrderID]],OrderLines[Category],"Dessert")&gt;0</f>
        <v>0</v>
      </c>
      <c r="Q119" s="11">
        <f>Orders[[#This Row],[OrderTotal]]-Orders[[#This Row],[GrossProfit]]</f>
        <v>25.8</v>
      </c>
    </row>
    <row r="120" spans="1:17" x14ac:dyDescent="0.25">
      <c r="A120" t="s">
        <v>156</v>
      </c>
      <c r="B120" s="1">
        <v>45873.407407407409</v>
      </c>
      <c r="C120" t="s">
        <v>9</v>
      </c>
      <c r="D120" t="s">
        <v>16</v>
      </c>
      <c r="E120" t="s">
        <v>21</v>
      </c>
      <c r="F120" t="s">
        <v>12</v>
      </c>
      <c r="G120" s="5">
        <v>0.02</v>
      </c>
      <c r="H120" t="b">
        <f>COUNTIFS(OrderLines[OrderID],Orders[[#This Row],[OrderID]],OrderLines[Category],"Beverage")&gt;0</f>
        <v>0</v>
      </c>
      <c r="I120">
        <f>SUMIFS(OrderLines[Revenue],OrderLines[OrderID],Orders[[#This Row],[OrderID]])</f>
        <v>69.129200000000012</v>
      </c>
      <c r="J120" t="str">
        <f>IF(AND(COUNTIFS(OrderLines[OrderID],Orders[[#This Row],[OrderID]],OrderLines[Category],"Hot Meal")&gt;0,COUNTIFS(OrderLines[OrderID],Orders[[#This Row],[OrderID]],OrderLines[Category],"Beverage")&gt;0),"Combo","Single")</f>
        <v>Single</v>
      </c>
      <c r="K120" s="17" t="str">
        <f>IF(SUMPRODUCT((OrderLines[OrderID]=Orders[[#This Row],[OrderID]])*OrderLines[Qty]*OrderLines[UnitPrice])*Orders[[#This Row],[DiscountPct]]&gt;40,"HighDisc","OK")</f>
        <v>OK</v>
      </c>
      <c r="L120" s="11">
        <f>SUMIFS(OrderLines[Revenue],OrderLines[OrderID],Orders[[#This Row],[OrderID]])-SUMIFS(OrderLines[FoodCost],OrderLines[OrderID],Orders[[#This Row],[OrderID]])</f>
        <v>33.319200000000009</v>
      </c>
      <c r="M120" s="5">
        <f>Orders[[#This Row],[GrossProfit]]/Orders[[#This Row],[OrderTotal]]</f>
        <v>0.48198445808717594</v>
      </c>
      <c r="N120" s="17" t="b">
        <f>COUNTIFS(OrderLines[OrderID],Orders[[#This Row],[OrderID]],OrderLines[Category],"Hot Meal")&gt;0</f>
        <v>0</v>
      </c>
      <c r="O120" s="17" t="b">
        <f>COUNTIFS(OrderLines[OrderID],Orders[[#This Row],[OrderID]],OrderLines[Category],"Snack")&gt;0</f>
        <v>1</v>
      </c>
      <c r="P120" s="17" t="b">
        <f>COUNTIFS(OrderLines[OrderID],Orders[[#This Row],[OrderID]],OrderLines[Category],"Dessert")&gt;0</f>
        <v>0</v>
      </c>
      <c r="Q120" s="11">
        <f>Orders[[#This Row],[OrderTotal]]-Orders[[#This Row],[GrossProfit]]</f>
        <v>35.81</v>
      </c>
    </row>
    <row r="121" spans="1:17" x14ac:dyDescent="0.25">
      <c r="A121" t="s">
        <v>157</v>
      </c>
      <c r="B121" s="1">
        <v>45863.658865740741</v>
      </c>
      <c r="C121" t="s">
        <v>27</v>
      </c>
      <c r="D121" t="s">
        <v>28</v>
      </c>
      <c r="E121" t="s">
        <v>11</v>
      </c>
      <c r="F121" t="s">
        <v>22</v>
      </c>
      <c r="G121" s="5">
        <v>0.09</v>
      </c>
      <c r="H121" t="b">
        <f>COUNTIFS(OrderLines[OrderID],Orders[[#This Row],[OrderID]],OrderLines[Category],"Beverage")&gt;0</f>
        <v>1</v>
      </c>
      <c r="I121">
        <f>SUMIFS(OrderLines[Revenue],OrderLines[OrderID],Orders[[#This Row],[OrderID]])</f>
        <v>82.491500000000002</v>
      </c>
      <c r="J121" t="str">
        <f>IF(AND(COUNTIFS(OrderLines[OrderID],Orders[[#This Row],[OrderID]],OrderLines[Category],"Hot Meal")&gt;0,COUNTIFS(OrderLines[OrderID],Orders[[#This Row],[OrderID]],OrderLines[Category],"Beverage")&gt;0),"Combo","Single")</f>
        <v>Single</v>
      </c>
      <c r="K121" s="17" t="str">
        <f>IF(SUMPRODUCT((OrderLines[OrderID]=Orders[[#This Row],[OrderID]])*OrderLines[Qty]*OrderLines[UnitPrice])*Orders[[#This Row],[DiscountPct]]&gt;40,"HighDisc","OK")</f>
        <v>OK</v>
      </c>
      <c r="L121" s="11">
        <f>SUMIFS(OrderLines[Revenue],OrderLines[OrderID],Orders[[#This Row],[OrderID]])-SUMIFS(OrderLines[FoodCost],OrderLines[OrderID],Orders[[#This Row],[OrderID]])</f>
        <v>38.6815</v>
      </c>
      <c r="M121" s="5">
        <f>Orders[[#This Row],[GrossProfit]]/Orders[[#This Row],[OrderTotal]]</f>
        <v>0.46891497911906072</v>
      </c>
      <c r="N121" s="17" t="b">
        <f>COUNTIFS(OrderLines[OrderID],Orders[[#This Row],[OrderID]],OrderLines[Category],"Hot Meal")&gt;0</f>
        <v>0</v>
      </c>
      <c r="O121" s="17" t="b">
        <f>COUNTIFS(OrderLines[OrderID],Orders[[#This Row],[OrderID]],OrderLines[Category],"Snack")&gt;0</f>
        <v>1</v>
      </c>
      <c r="P121" s="17" t="b">
        <f>COUNTIFS(OrderLines[OrderID],Orders[[#This Row],[OrderID]],OrderLines[Category],"Dessert")&gt;0</f>
        <v>0</v>
      </c>
      <c r="Q121" s="11">
        <f>Orders[[#This Row],[OrderTotal]]-Orders[[#This Row],[GrossProfit]]</f>
        <v>43.81</v>
      </c>
    </row>
    <row r="122" spans="1:17" x14ac:dyDescent="0.25">
      <c r="A122" t="s">
        <v>158</v>
      </c>
      <c r="B122" s="1">
        <v>45869.886666666673</v>
      </c>
      <c r="C122" t="s">
        <v>27</v>
      </c>
      <c r="D122" t="s">
        <v>10</v>
      </c>
      <c r="E122" t="s">
        <v>11</v>
      </c>
      <c r="F122" t="s">
        <v>18</v>
      </c>
      <c r="G122" s="5">
        <v>0.11</v>
      </c>
      <c r="H122" t="b">
        <f>COUNTIFS(OrderLines[OrderID],Orders[[#This Row],[OrderID]],OrderLines[Category],"Beverage")&gt;0</f>
        <v>0</v>
      </c>
      <c r="I122">
        <f>SUMIFS(OrderLines[Revenue],OrderLines[OrderID],Orders[[#This Row],[OrderID]])</f>
        <v>541.0933</v>
      </c>
      <c r="J122" t="str">
        <f>IF(AND(COUNTIFS(OrderLines[OrderID],Orders[[#This Row],[OrderID]],OrderLines[Category],"Hot Meal")&gt;0,COUNTIFS(OrderLines[OrderID],Orders[[#This Row],[OrderID]],OrderLines[Category],"Beverage")&gt;0),"Combo","Single")</f>
        <v>Single</v>
      </c>
      <c r="K122" s="17" t="str">
        <f>IF(SUMPRODUCT((OrderLines[OrderID]=Orders[[#This Row],[OrderID]])*OrderLines[Qty]*OrderLines[UnitPrice])*Orders[[#This Row],[DiscountPct]]&gt;40,"HighDisc","OK")</f>
        <v>HighDisc</v>
      </c>
      <c r="L122" s="11">
        <f>SUMIFS(OrderLines[Revenue],OrderLines[OrderID],Orders[[#This Row],[OrderID]])-SUMIFS(OrderLines[FoodCost],OrderLines[OrderID],Orders[[#This Row],[OrderID]])</f>
        <v>265.25330000000002</v>
      </c>
      <c r="M122" s="5">
        <f>Orders[[#This Row],[GrossProfit]]/Orders[[#This Row],[OrderTotal]]</f>
        <v>0.49021730633145899</v>
      </c>
      <c r="N122" s="17" t="b">
        <f>COUNTIFS(OrderLines[OrderID],Orders[[#This Row],[OrderID]],OrderLines[Category],"Hot Meal")&gt;0</f>
        <v>0</v>
      </c>
      <c r="O122" s="17" t="b">
        <f>COUNTIFS(OrderLines[OrderID],Orders[[#This Row],[OrderID]],OrderLines[Category],"Snack")&gt;0</f>
        <v>1</v>
      </c>
      <c r="P122" s="17" t="b">
        <f>COUNTIFS(OrderLines[OrderID],Orders[[#This Row],[OrderID]],OrderLines[Category],"Dessert")&gt;0</f>
        <v>1</v>
      </c>
      <c r="Q122" s="11">
        <f>Orders[[#This Row],[OrderTotal]]-Orders[[#This Row],[GrossProfit]]</f>
        <v>275.83999999999997</v>
      </c>
    </row>
    <row r="123" spans="1:17" x14ac:dyDescent="0.25">
      <c r="A123" t="s">
        <v>159</v>
      </c>
      <c r="B123" s="1">
        <v>45857.846782407411</v>
      </c>
      <c r="C123" t="s">
        <v>27</v>
      </c>
      <c r="D123" t="s">
        <v>10</v>
      </c>
      <c r="E123" t="s">
        <v>21</v>
      </c>
      <c r="F123" t="s">
        <v>18</v>
      </c>
      <c r="G123" s="5">
        <v>0.03</v>
      </c>
      <c r="H123" t="b">
        <f>COUNTIFS(OrderLines[OrderID],Orders[[#This Row],[OrderID]],OrderLines[Category],"Beverage")&gt;0</f>
        <v>1</v>
      </c>
      <c r="I123">
        <f>SUMIFS(OrderLines[Revenue],OrderLines[OrderID],Orders[[#This Row],[OrderID]])</f>
        <v>615.94029999999998</v>
      </c>
      <c r="J123" t="str">
        <f>IF(AND(COUNTIFS(OrderLines[OrderID],Orders[[#This Row],[OrderID]],OrderLines[Category],"Hot Meal")&gt;0,COUNTIFS(OrderLines[OrderID],Orders[[#This Row],[OrderID]],OrderLines[Category],"Beverage")&gt;0),"Combo","Single")</f>
        <v>Combo</v>
      </c>
      <c r="K123" s="17" t="str">
        <f>IF(SUMPRODUCT((OrderLines[OrderID]=Orders[[#This Row],[OrderID]])*OrderLines[Qty]*OrderLines[UnitPrice])*Orders[[#This Row],[DiscountPct]]&gt;40,"HighDisc","OK")</f>
        <v>OK</v>
      </c>
      <c r="L123" s="11">
        <f>SUMIFS(OrderLines[Revenue],OrderLines[OrderID],Orders[[#This Row],[OrderID]])-SUMIFS(OrderLines[FoodCost],OrderLines[OrderID],Orders[[#This Row],[OrderID]])</f>
        <v>324.30029999999999</v>
      </c>
      <c r="M123" s="5">
        <f>Orders[[#This Row],[GrossProfit]]/Orders[[#This Row],[OrderTotal]]</f>
        <v>0.52651255324582591</v>
      </c>
      <c r="N123" s="17" t="b">
        <f>COUNTIFS(OrderLines[OrderID],Orders[[#This Row],[OrderID]],OrderLines[Category],"Hot Meal")&gt;0</f>
        <v>1</v>
      </c>
      <c r="O123" s="17" t="b">
        <f>COUNTIFS(OrderLines[OrderID],Orders[[#This Row],[OrderID]],OrderLines[Category],"Snack")&gt;0</f>
        <v>0</v>
      </c>
      <c r="P123" s="17" t="b">
        <f>COUNTIFS(OrderLines[OrderID],Orders[[#This Row],[OrderID]],OrderLines[Category],"Dessert")&gt;0</f>
        <v>1</v>
      </c>
      <c r="Q123" s="11">
        <f>Orders[[#This Row],[OrderTotal]]-Orders[[#This Row],[GrossProfit]]</f>
        <v>291.64</v>
      </c>
    </row>
    <row r="124" spans="1:17" x14ac:dyDescent="0.25">
      <c r="A124" t="s">
        <v>160</v>
      </c>
      <c r="B124" s="1">
        <v>45896.493206018517</v>
      </c>
      <c r="C124" t="s">
        <v>9</v>
      </c>
      <c r="D124" t="s">
        <v>10</v>
      </c>
      <c r="E124" t="s">
        <v>21</v>
      </c>
      <c r="F124" t="s">
        <v>22</v>
      </c>
      <c r="G124" s="5">
        <v>0.1</v>
      </c>
      <c r="H124" t="b">
        <f>COUNTIFS(OrderLines[OrderID],Orders[[#This Row],[OrderID]],OrderLines[Category],"Beverage")&gt;0</f>
        <v>0</v>
      </c>
      <c r="I124">
        <f>SUMIFS(OrderLines[Revenue],OrderLines[OrderID],Orders[[#This Row],[OrderID]])</f>
        <v>986.59799999999996</v>
      </c>
      <c r="J124" t="str">
        <f>IF(AND(COUNTIFS(OrderLines[OrderID],Orders[[#This Row],[OrderID]],OrderLines[Category],"Hot Meal")&gt;0,COUNTIFS(OrderLines[OrderID],Orders[[#This Row],[OrderID]],OrderLines[Category],"Beverage")&gt;0),"Combo","Single")</f>
        <v>Single</v>
      </c>
      <c r="K124" s="17" t="str">
        <f>IF(SUMPRODUCT((OrderLines[OrderID]=Orders[[#This Row],[OrderID]])*OrderLines[Qty]*OrderLines[UnitPrice])*Orders[[#This Row],[DiscountPct]]&gt;40,"HighDisc","OK")</f>
        <v>HighDisc</v>
      </c>
      <c r="L124" s="11">
        <f>SUMIFS(OrderLines[Revenue],OrderLines[OrderID],Orders[[#This Row],[OrderID]])-SUMIFS(OrderLines[FoodCost],OrderLines[OrderID],Orders[[#This Row],[OrderID]])</f>
        <v>470.08799999999985</v>
      </c>
      <c r="M124" s="5">
        <f>Orders[[#This Row],[GrossProfit]]/Orders[[#This Row],[OrderTotal]]</f>
        <v>0.47647370053456412</v>
      </c>
      <c r="N124" s="17" t="b">
        <f>COUNTIFS(OrderLines[OrderID],Orders[[#This Row],[OrderID]],OrderLines[Category],"Hot Meal")&gt;0</f>
        <v>1</v>
      </c>
      <c r="O124" s="17" t="b">
        <f>COUNTIFS(OrderLines[OrderID],Orders[[#This Row],[OrderID]],OrderLines[Category],"Snack")&gt;0</f>
        <v>1</v>
      </c>
      <c r="P124" s="17" t="b">
        <f>COUNTIFS(OrderLines[OrderID],Orders[[#This Row],[OrderID]],OrderLines[Category],"Dessert")&gt;0</f>
        <v>1</v>
      </c>
      <c r="Q124" s="11">
        <f>Orders[[#This Row],[OrderTotal]]-Orders[[#This Row],[GrossProfit]]</f>
        <v>516.5100000000001</v>
      </c>
    </row>
    <row r="125" spans="1:17" x14ac:dyDescent="0.25">
      <c r="A125" t="s">
        <v>161</v>
      </c>
      <c r="B125" s="1">
        <v>45858.096944444442</v>
      </c>
      <c r="C125" t="s">
        <v>15</v>
      </c>
      <c r="D125" t="s">
        <v>28</v>
      </c>
      <c r="E125" t="s">
        <v>21</v>
      </c>
      <c r="F125" t="s">
        <v>12</v>
      </c>
      <c r="G125" s="5">
        <v>0.08</v>
      </c>
      <c r="H125" t="b">
        <f>COUNTIFS(OrderLines[OrderID],Orders[[#This Row],[OrderID]],OrderLines[Category],"Beverage")&gt;0</f>
        <v>1</v>
      </c>
      <c r="I125">
        <f>SUMIFS(OrderLines[Revenue],OrderLines[OrderID],Orders[[#This Row],[OrderID]])</f>
        <v>858.01959999999997</v>
      </c>
      <c r="J125" t="str">
        <f>IF(AND(COUNTIFS(OrderLines[OrderID],Orders[[#This Row],[OrderID]],OrderLines[Category],"Hot Meal")&gt;0,COUNTIFS(OrderLines[OrderID],Orders[[#This Row],[OrderID]],OrderLines[Category],"Beverage")&gt;0),"Combo","Single")</f>
        <v>Combo</v>
      </c>
      <c r="K125" s="17" t="str">
        <f>IF(SUMPRODUCT((OrderLines[OrderID]=Orders[[#This Row],[OrderID]])*OrderLines[Qty]*OrderLines[UnitPrice])*Orders[[#This Row],[DiscountPct]]&gt;40,"HighDisc","OK")</f>
        <v>HighDisc</v>
      </c>
      <c r="L125" s="11">
        <f>SUMIFS(OrderLines[Revenue],OrderLines[OrderID],Orders[[#This Row],[OrderID]])-SUMIFS(OrderLines[FoodCost],OrderLines[OrderID],Orders[[#This Row],[OrderID]])</f>
        <v>445.96959999999996</v>
      </c>
      <c r="M125" s="5">
        <f>Orders[[#This Row],[GrossProfit]]/Orders[[#This Row],[OrderTotal]]</f>
        <v>0.51976621513074994</v>
      </c>
      <c r="N125" s="17" t="b">
        <f>COUNTIFS(OrderLines[OrderID],Orders[[#This Row],[OrderID]],OrderLines[Category],"Hot Meal")&gt;0</f>
        <v>1</v>
      </c>
      <c r="O125" s="17" t="b">
        <f>COUNTIFS(OrderLines[OrderID],Orders[[#This Row],[OrderID]],OrderLines[Category],"Snack")&gt;0</f>
        <v>0</v>
      </c>
      <c r="P125" s="17" t="b">
        <f>COUNTIFS(OrderLines[OrderID],Orders[[#This Row],[OrderID]],OrderLines[Category],"Dessert")&gt;0</f>
        <v>1</v>
      </c>
      <c r="Q125" s="11">
        <f>Orders[[#This Row],[OrderTotal]]-Orders[[#This Row],[GrossProfit]]</f>
        <v>412.05</v>
      </c>
    </row>
    <row r="126" spans="1:17" x14ac:dyDescent="0.25">
      <c r="A126" t="s">
        <v>162</v>
      </c>
      <c r="B126" s="1">
        <v>45868.597268518519</v>
      </c>
      <c r="C126" t="s">
        <v>27</v>
      </c>
      <c r="D126" t="s">
        <v>10</v>
      </c>
      <c r="E126" t="s">
        <v>11</v>
      </c>
      <c r="F126" t="s">
        <v>22</v>
      </c>
      <c r="G126" s="5">
        <v>0.09</v>
      </c>
      <c r="H126" t="b">
        <f>COUNTIFS(OrderLines[OrderID],Orders[[#This Row],[OrderID]],OrderLines[Category],"Beverage")&gt;0</f>
        <v>0</v>
      </c>
      <c r="I126">
        <f>SUMIFS(OrderLines[Revenue],OrderLines[OrderID],Orders[[#This Row],[OrderID]])</f>
        <v>155.61000000000001</v>
      </c>
      <c r="J126" t="str">
        <f>IF(AND(COUNTIFS(OrderLines[OrderID],Orders[[#This Row],[OrderID]],OrderLines[Category],"Hot Meal")&gt;0,COUNTIFS(OrderLines[OrderID],Orders[[#This Row],[OrderID]],OrderLines[Category],"Beverage")&gt;0),"Combo","Single")</f>
        <v>Single</v>
      </c>
      <c r="K126" s="17" t="str">
        <f>IF(SUMPRODUCT((OrderLines[OrderID]=Orders[[#This Row],[OrderID]])*OrderLines[Qty]*OrderLines[UnitPrice])*Orders[[#This Row],[DiscountPct]]&gt;40,"HighDisc","OK")</f>
        <v>OK</v>
      </c>
      <c r="L126" s="11">
        <f>SUMIFS(OrderLines[Revenue],OrderLines[OrderID],Orders[[#This Row],[OrderID]])-SUMIFS(OrderLines[FoodCost],OrderLines[OrderID],Orders[[#This Row],[OrderID]])</f>
        <v>84.690000000000012</v>
      </c>
      <c r="M126" s="5">
        <f>Orders[[#This Row],[GrossProfit]]/Orders[[#This Row],[OrderTotal]]</f>
        <v>0.54424522845575485</v>
      </c>
      <c r="N126" s="17" t="b">
        <f>COUNTIFS(OrderLines[OrderID],Orders[[#This Row],[OrderID]],OrderLines[Category],"Hot Meal")&gt;0</f>
        <v>0</v>
      </c>
      <c r="O126" s="17" t="b">
        <f>COUNTIFS(OrderLines[OrderID],Orders[[#This Row],[OrderID]],OrderLines[Category],"Snack")&gt;0</f>
        <v>0</v>
      </c>
      <c r="P126" s="17" t="b">
        <f>COUNTIFS(OrderLines[OrderID],Orders[[#This Row],[OrderID]],OrderLines[Category],"Dessert")&gt;0</f>
        <v>1</v>
      </c>
      <c r="Q126" s="11">
        <f>Orders[[#This Row],[OrderTotal]]-Orders[[#This Row],[GrossProfit]]</f>
        <v>70.92</v>
      </c>
    </row>
    <row r="127" spans="1:17" x14ac:dyDescent="0.25">
      <c r="A127" t="s">
        <v>163</v>
      </c>
      <c r="B127" s="1">
        <v>45865.882986111108</v>
      </c>
      <c r="C127" t="s">
        <v>27</v>
      </c>
      <c r="D127" t="s">
        <v>28</v>
      </c>
      <c r="E127" t="s">
        <v>11</v>
      </c>
      <c r="F127" t="s">
        <v>18</v>
      </c>
      <c r="G127" s="5">
        <v>0.14000000000000001</v>
      </c>
      <c r="H127" t="b">
        <f>COUNTIFS(OrderLines[OrderID],Orders[[#This Row],[OrderID]],OrderLines[Category],"Beverage")&gt;0</f>
        <v>0</v>
      </c>
      <c r="I127">
        <f>SUMIFS(OrderLines[Revenue],OrderLines[OrderID],Orders[[#This Row],[OrderID]])</f>
        <v>318.2516</v>
      </c>
      <c r="J127" t="str">
        <f>IF(AND(COUNTIFS(OrderLines[OrderID],Orders[[#This Row],[OrderID]],OrderLines[Category],"Hot Meal")&gt;0,COUNTIFS(OrderLines[OrderID],Orders[[#This Row],[OrderID]],OrderLines[Category],"Beverage")&gt;0),"Combo","Single")</f>
        <v>Single</v>
      </c>
      <c r="K127" s="17" t="str">
        <f>IF(SUMPRODUCT((OrderLines[OrderID]=Orders[[#This Row],[OrderID]])*OrderLines[Qty]*OrderLines[UnitPrice])*Orders[[#This Row],[DiscountPct]]&gt;40,"HighDisc","OK")</f>
        <v>HighDisc</v>
      </c>
      <c r="L127" s="11">
        <f>SUMIFS(OrderLines[Revenue],OrderLines[OrderID],Orders[[#This Row],[OrderID]])-SUMIFS(OrderLines[FoodCost],OrderLines[OrderID],Orders[[#This Row],[OrderID]])</f>
        <v>124.11160000000001</v>
      </c>
      <c r="M127" s="5">
        <f>Orders[[#This Row],[GrossProfit]]/Orders[[#This Row],[OrderTotal]]</f>
        <v>0.38997950049583413</v>
      </c>
      <c r="N127" s="17" t="b">
        <f>COUNTIFS(OrderLines[OrderID],Orders[[#This Row],[OrderID]],OrderLines[Category],"Hot Meal")&gt;0</f>
        <v>1</v>
      </c>
      <c r="O127" s="17" t="b">
        <f>COUNTIFS(OrderLines[OrderID],Orders[[#This Row],[OrderID]],OrderLines[Category],"Snack")&gt;0</f>
        <v>1</v>
      </c>
      <c r="P127" s="17" t="b">
        <f>COUNTIFS(OrderLines[OrderID],Orders[[#This Row],[OrderID]],OrderLines[Category],"Dessert")&gt;0</f>
        <v>1</v>
      </c>
      <c r="Q127" s="11">
        <f>Orders[[#This Row],[OrderTotal]]-Orders[[#This Row],[GrossProfit]]</f>
        <v>194.14</v>
      </c>
    </row>
    <row r="128" spans="1:17" x14ac:dyDescent="0.25">
      <c r="A128" t="s">
        <v>164</v>
      </c>
      <c r="B128" s="1">
        <v>45851.510520833333</v>
      </c>
      <c r="C128" t="s">
        <v>9</v>
      </c>
      <c r="D128" t="s">
        <v>16</v>
      </c>
      <c r="E128" t="s">
        <v>17</v>
      </c>
      <c r="F128" t="s">
        <v>22</v>
      </c>
      <c r="G128" s="5">
        <v>0.05</v>
      </c>
      <c r="H128" t="b">
        <f>COUNTIFS(OrderLines[OrderID],Orders[[#This Row],[OrderID]],OrderLines[Category],"Beverage")&gt;0</f>
        <v>1</v>
      </c>
      <c r="I128">
        <f>SUMIFS(OrderLines[Revenue],OrderLines[OrderID],Orders[[#This Row],[OrderID]])</f>
        <v>191.672</v>
      </c>
      <c r="J128" t="str">
        <f>IF(AND(COUNTIFS(OrderLines[OrderID],Orders[[#This Row],[OrderID]],OrderLines[Category],"Hot Meal")&gt;0,COUNTIFS(OrderLines[OrderID],Orders[[#This Row],[OrderID]],OrderLines[Category],"Beverage")&gt;0),"Combo","Single")</f>
        <v>Single</v>
      </c>
      <c r="K128" s="17" t="str">
        <f>IF(SUMPRODUCT((OrderLines[OrderID]=Orders[[#This Row],[OrderID]])*OrderLines[Qty]*OrderLines[UnitPrice])*Orders[[#This Row],[DiscountPct]]&gt;40,"HighDisc","OK")</f>
        <v>OK</v>
      </c>
      <c r="L128" s="11">
        <f>SUMIFS(OrderLines[Revenue],OrderLines[OrderID],Orders[[#This Row],[OrderID]])-SUMIFS(OrderLines[FoodCost],OrderLines[OrderID],Orders[[#This Row],[OrderID]])</f>
        <v>91.691999999999993</v>
      </c>
      <c r="M128" s="5">
        <f>Orders[[#This Row],[GrossProfit]]/Orders[[#This Row],[OrderTotal]]</f>
        <v>0.47837973204223877</v>
      </c>
      <c r="N128" s="17" t="b">
        <f>COUNTIFS(OrderLines[OrderID],Orders[[#This Row],[OrderID]],OrderLines[Category],"Hot Meal")&gt;0</f>
        <v>0</v>
      </c>
      <c r="O128" s="17" t="b">
        <f>COUNTIFS(OrderLines[OrderID],Orders[[#This Row],[OrderID]],OrderLines[Category],"Snack")&gt;0</f>
        <v>1</v>
      </c>
      <c r="P128" s="17" t="b">
        <f>COUNTIFS(OrderLines[OrderID],Orders[[#This Row],[OrderID]],OrderLines[Category],"Dessert")&gt;0</f>
        <v>0</v>
      </c>
      <c r="Q128" s="11">
        <f>Orders[[#This Row],[OrderTotal]]-Orders[[#This Row],[GrossProfit]]</f>
        <v>99.98</v>
      </c>
    </row>
    <row r="129" spans="1:17" x14ac:dyDescent="0.25">
      <c r="A129" t="s">
        <v>165</v>
      </c>
      <c r="B129" s="1">
        <v>45894.98609953704</v>
      </c>
      <c r="C129" t="s">
        <v>15</v>
      </c>
      <c r="D129" t="s">
        <v>16</v>
      </c>
      <c r="E129" t="s">
        <v>21</v>
      </c>
      <c r="F129" t="s">
        <v>18</v>
      </c>
      <c r="G129" s="5">
        <v>0.03</v>
      </c>
      <c r="H129" t="b">
        <f>COUNTIFS(OrderLines[OrderID],Orders[[#This Row],[OrderID]],OrderLines[Category],"Beverage")&gt;0</f>
        <v>1</v>
      </c>
      <c r="I129">
        <f>SUMIFS(OrderLines[Revenue],OrderLines[OrderID],Orders[[#This Row],[OrderID]])</f>
        <v>699.23419999999999</v>
      </c>
      <c r="J129" t="str">
        <f>IF(AND(COUNTIFS(OrderLines[OrderID],Orders[[#This Row],[OrderID]],OrderLines[Category],"Hot Meal")&gt;0,COUNTIFS(OrderLines[OrderID],Orders[[#This Row],[OrderID]],OrderLines[Category],"Beverage")&gt;0),"Combo","Single")</f>
        <v>Combo</v>
      </c>
      <c r="K129" s="17" t="str">
        <f>IF(SUMPRODUCT((OrderLines[OrderID]=Orders[[#This Row],[OrderID]])*OrderLines[Qty]*OrderLines[UnitPrice])*Orders[[#This Row],[DiscountPct]]&gt;40,"HighDisc","OK")</f>
        <v>OK</v>
      </c>
      <c r="L129" s="11">
        <f>SUMIFS(OrderLines[Revenue],OrderLines[OrderID],Orders[[#This Row],[OrderID]])-SUMIFS(OrderLines[FoodCost],OrderLines[OrderID],Orders[[#This Row],[OrderID]])</f>
        <v>361.45419999999996</v>
      </c>
      <c r="M129" s="5">
        <f>Orders[[#This Row],[GrossProfit]]/Orders[[#This Row],[OrderTotal]]</f>
        <v>0.51692866281426164</v>
      </c>
      <c r="N129" s="17" t="b">
        <f>COUNTIFS(OrderLines[OrderID],Orders[[#This Row],[OrderID]],OrderLines[Category],"Hot Meal")&gt;0</f>
        <v>1</v>
      </c>
      <c r="O129" s="17" t="b">
        <f>COUNTIFS(OrderLines[OrderID],Orders[[#This Row],[OrderID]],OrderLines[Category],"Snack")&gt;0</f>
        <v>1</v>
      </c>
      <c r="P129" s="17" t="b">
        <f>COUNTIFS(OrderLines[OrderID],Orders[[#This Row],[OrderID]],OrderLines[Category],"Dessert")&gt;0</f>
        <v>0</v>
      </c>
      <c r="Q129" s="11">
        <f>Orders[[#This Row],[OrderTotal]]-Orders[[#This Row],[GrossProfit]]</f>
        <v>337.78000000000003</v>
      </c>
    </row>
    <row r="130" spans="1:17" x14ac:dyDescent="0.25">
      <c r="A130" t="s">
        <v>166</v>
      </c>
      <c r="B130" s="1">
        <v>45872.329259259262</v>
      </c>
      <c r="C130" t="s">
        <v>27</v>
      </c>
      <c r="D130" t="s">
        <v>28</v>
      </c>
      <c r="E130" t="s">
        <v>21</v>
      </c>
      <c r="F130" t="s">
        <v>12</v>
      </c>
      <c r="G130" s="5">
        <v>0.02</v>
      </c>
      <c r="H130" t="b">
        <f>COUNTIFS(OrderLines[OrderID],Orders[[#This Row],[OrderID]],OrderLines[Category],"Beverage")&gt;0</f>
        <v>0</v>
      </c>
      <c r="I130">
        <f>SUMIFS(OrderLines[Revenue],OrderLines[OrderID],Orders[[#This Row],[OrderID]])</f>
        <v>735.34300000000007</v>
      </c>
      <c r="J130" t="str">
        <f>IF(AND(COUNTIFS(OrderLines[OrderID],Orders[[#This Row],[OrderID]],OrderLines[Category],"Hot Meal")&gt;0,COUNTIFS(OrderLines[OrderID],Orders[[#This Row],[OrderID]],OrderLines[Category],"Beverage")&gt;0),"Combo","Single")</f>
        <v>Single</v>
      </c>
      <c r="K130" s="17" t="str">
        <f>IF(SUMPRODUCT((OrderLines[OrderID]=Orders[[#This Row],[OrderID]])*OrderLines[Qty]*OrderLines[UnitPrice])*Orders[[#This Row],[DiscountPct]]&gt;40,"HighDisc","OK")</f>
        <v>OK</v>
      </c>
      <c r="L130" s="11">
        <f>SUMIFS(OrderLines[Revenue],OrderLines[OrderID],Orders[[#This Row],[OrderID]])-SUMIFS(OrderLines[FoodCost],OrderLines[OrderID],Orders[[#This Row],[OrderID]])</f>
        <v>409.27300000000008</v>
      </c>
      <c r="M130" s="5">
        <f>Orders[[#This Row],[GrossProfit]]/Orders[[#This Row],[OrderTotal]]</f>
        <v>0.55657427894193601</v>
      </c>
      <c r="N130" s="17" t="b">
        <f>COUNTIFS(OrderLines[OrderID],Orders[[#This Row],[OrderID]],OrderLines[Category],"Hot Meal")&gt;0</f>
        <v>1</v>
      </c>
      <c r="O130" s="17" t="b">
        <f>COUNTIFS(OrderLines[OrderID],Orders[[#This Row],[OrderID]],OrderLines[Category],"Snack")&gt;0</f>
        <v>0</v>
      </c>
      <c r="P130" s="17" t="b">
        <f>COUNTIFS(OrderLines[OrderID],Orders[[#This Row],[OrderID]],OrderLines[Category],"Dessert")&gt;0</f>
        <v>1</v>
      </c>
      <c r="Q130" s="11">
        <f>Orders[[#This Row],[OrderTotal]]-Orders[[#This Row],[GrossProfit]]</f>
        <v>326.07</v>
      </c>
    </row>
    <row r="131" spans="1:17" x14ac:dyDescent="0.25">
      <c r="A131" t="s">
        <v>167</v>
      </c>
      <c r="B131" s="1">
        <v>45850.32675925926</v>
      </c>
      <c r="C131" t="s">
        <v>27</v>
      </c>
      <c r="D131" t="s">
        <v>16</v>
      </c>
      <c r="E131" t="s">
        <v>21</v>
      </c>
      <c r="F131" t="s">
        <v>12</v>
      </c>
      <c r="G131" s="5">
        <v>0.03</v>
      </c>
      <c r="H131" t="b">
        <f>COUNTIFS(OrderLines[OrderID],Orders[[#This Row],[OrderID]],OrderLines[Category],"Beverage")&gt;0</f>
        <v>0</v>
      </c>
      <c r="I131">
        <f>SUMIFS(OrderLines[Revenue],OrderLines[OrderID],Orders[[#This Row],[OrderID]])</f>
        <v>404.48029999999994</v>
      </c>
      <c r="J131" t="str">
        <f>IF(AND(COUNTIFS(OrderLines[OrderID],Orders[[#This Row],[OrderID]],OrderLines[Category],"Hot Meal")&gt;0,COUNTIFS(OrderLines[OrderID],Orders[[#This Row],[OrderID]],OrderLines[Category],"Beverage")&gt;0),"Combo","Single")</f>
        <v>Single</v>
      </c>
      <c r="K131" s="17" t="str">
        <f>IF(SUMPRODUCT((OrderLines[OrderID]=Orders[[#This Row],[OrderID]])*OrderLines[Qty]*OrderLines[UnitPrice])*Orders[[#This Row],[DiscountPct]]&gt;40,"HighDisc","OK")</f>
        <v>OK</v>
      </c>
      <c r="L131" s="11">
        <f>SUMIFS(OrderLines[Revenue],OrderLines[OrderID],Orders[[#This Row],[OrderID]])-SUMIFS(OrderLines[FoodCost],OrderLines[OrderID],Orders[[#This Row],[OrderID]])</f>
        <v>205.01029999999994</v>
      </c>
      <c r="M131" s="5">
        <f>Orders[[#This Row],[GrossProfit]]/Orders[[#This Row],[OrderTotal]]</f>
        <v>0.50684866481754487</v>
      </c>
      <c r="N131" s="17" t="b">
        <f>COUNTIFS(OrderLines[OrderID],Orders[[#This Row],[OrderID]],OrderLines[Category],"Hot Meal")&gt;0</f>
        <v>0</v>
      </c>
      <c r="O131" s="17" t="b">
        <f>COUNTIFS(OrderLines[OrderID],Orders[[#This Row],[OrderID]],OrderLines[Category],"Snack")&gt;0</f>
        <v>1</v>
      </c>
      <c r="P131" s="17" t="b">
        <f>COUNTIFS(OrderLines[OrderID],Orders[[#This Row],[OrderID]],OrderLines[Category],"Dessert")&gt;0</f>
        <v>1</v>
      </c>
      <c r="Q131" s="11">
        <f>Orders[[#This Row],[OrderTotal]]-Orders[[#This Row],[GrossProfit]]</f>
        <v>199.47</v>
      </c>
    </row>
    <row r="132" spans="1:17" x14ac:dyDescent="0.25">
      <c r="A132" t="s">
        <v>168</v>
      </c>
      <c r="B132" s="1">
        <v>45895.273194444453</v>
      </c>
      <c r="C132" t="s">
        <v>9</v>
      </c>
      <c r="D132" t="s">
        <v>10</v>
      </c>
      <c r="E132" t="s">
        <v>17</v>
      </c>
      <c r="F132" t="s">
        <v>12</v>
      </c>
      <c r="G132" s="5">
        <v>0.06</v>
      </c>
      <c r="H132" t="b">
        <f>COUNTIFS(OrderLines[OrderID],Orders[[#This Row],[OrderID]],OrderLines[Category],"Beverage")&gt;0</f>
        <v>1</v>
      </c>
      <c r="I132">
        <f>SUMIFS(OrderLines[Revenue],OrderLines[OrderID],Orders[[#This Row],[OrderID]])</f>
        <v>593.14</v>
      </c>
      <c r="J132" t="str">
        <f>IF(AND(COUNTIFS(OrderLines[OrderID],Orders[[#This Row],[OrderID]],OrderLines[Category],"Hot Meal")&gt;0,COUNTIFS(OrderLines[OrderID],Orders[[#This Row],[OrderID]],OrderLines[Category],"Beverage")&gt;0),"Combo","Single")</f>
        <v>Combo</v>
      </c>
      <c r="K132" s="17" t="str">
        <f>IF(SUMPRODUCT((OrderLines[OrderID]=Orders[[#This Row],[OrderID]])*OrderLines[Qty]*OrderLines[UnitPrice])*Orders[[#This Row],[DiscountPct]]&gt;40,"HighDisc","OK")</f>
        <v>OK</v>
      </c>
      <c r="L132" s="11">
        <f>SUMIFS(OrderLines[Revenue],OrderLines[OrderID],Orders[[#This Row],[OrderID]])-SUMIFS(OrderLines[FoodCost],OrderLines[OrderID],Orders[[#This Row],[OrderID]])</f>
        <v>289.13</v>
      </c>
      <c r="M132" s="5">
        <f>Orders[[#This Row],[GrossProfit]]/Orders[[#This Row],[OrderTotal]]</f>
        <v>0.48745658697777927</v>
      </c>
      <c r="N132" s="17" t="b">
        <f>COUNTIFS(OrderLines[OrderID],Orders[[#This Row],[OrderID]],OrderLines[Category],"Hot Meal")&gt;0</f>
        <v>1</v>
      </c>
      <c r="O132" s="17" t="b">
        <f>COUNTIFS(OrderLines[OrderID],Orders[[#This Row],[OrderID]],OrderLines[Category],"Snack")&gt;0</f>
        <v>0</v>
      </c>
      <c r="P132" s="17" t="b">
        <f>COUNTIFS(OrderLines[OrderID],Orders[[#This Row],[OrderID]],OrderLines[Category],"Dessert")&gt;0</f>
        <v>0</v>
      </c>
      <c r="Q132" s="11">
        <f>Orders[[#This Row],[OrderTotal]]-Orders[[#This Row],[GrossProfit]]</f>
        <v>304.01</v>
      </c>
    </row>
    <row r="133" spans="1:17" x14ac:dyDescent="0.25">
      <c r="A133" t="s">
        <v>169</v>
      </c>
      <c r="B133" s="1">
        <v>45853.735648148147</v>
      </c>
      <c r="C133" t="s">
        <v>9</v>
      </c>
      <c r="D133" t="s">
        <v>16</v>
      </c>
      <c r="E133" t="s">
        <v>17</v>
      </c>
      <c r="F133" t="s">
        <v>18</v>
      </c>
      <c r="G133" s="5">
        <v>7.0000000000000007E-2</v>
      </c>
      <c r="H133" t="b">
        <f>COUNTIFS(OrderLines[OrderID],Orders[[#This Row],[OrderID]],OrderLines[Category],"Beverage")&gt;0</f>
        <v>0</v>
      </c>
      <c r="I133">
        <f>SUMIFS(OrderLines[Revenue],OrderLines[OrderID],Orders[[#This Row],[OrderID]])</f>
        <v>456.17430000000002</v>
      </c>
      <c r="J133" t="str">
        <f>IF(AND(COUNTIFS(OrderLines[OrderID],Orders[[#This Row],[OrderID]],OrderLines[Category],"Hot Meal")&gt;0,COUNTIFS(OrderLines[OrderID],Orders[[#This Row],[OrderID]],OrderLines[Category],"Beverage")&gt;0),"Combo","Single")</f>
        <v>Single</v>
      </c>
      <c r="K133" s="17" t="str">
        <f>IF(SUMPRODUCT((OrderLines[OrderID]=Orders[[#This Row],[OrderID]])*OrderLines[Qty]*OrderLines[UnitPrice])*Orders[[#This Row],[DiscountPct]]&gt;40,"HighDisc","OK")</f>
        <v>OK</v>
      </c>
      <c r="L133" s="11">
        <f>SUMIFS(OrderLines[Revenue],OrderLines[OrderID],Orders[[#This Row],[OrderID]])-SUMIFS(OrderLines[FoodCost],OrderLines[OrderID],Orders[[#This Row],[OrderID]])</f>
        <v>236.99430000000001</v>
      </c>
      <c r="M133" s="5">
        <f>Orders[[#This Row],[GrossProfit]]/Orders[[#This Row],[OrderTotal]]</f>
        <v>0.51952576021928465</v>
      </c>
      <c r="N133" s="17" t="b">
        <f>COUNTIFS(OrderLines[OrderID],Orders[[#This Row],[OrderID]],OrderLines[Category],"Hot Meal")&gt;0</f>
        <v>1</v>
      </c>
      <c r="O133" s="17" t="b">
        <f>COUNTIFS(OrderLines[OrderID],Orders[[#This Row],[OrderID]],OrderLines[Category],"Snack")&gt;0</f>
        <v>0</v>
      </c>
      <c r="P133" s="17" t="b">
        <f>COUNTIFS(OrderLines[OrderID],Orders[[#This Row],[OrderID]],OrderLines[Category],"Dessert")&gt;0</f>
        <v>1</v>
      </c>
      <c r="Q133" s="11">
        <f>Orders[[#This Row],[OrderTotal]]-Orders[[#This Row],[GrossProfit]]</f>
        <v>219.18</v>
      </c>
    </row>
    <row r="134" spans="1:17" x14ac:dyDescent="0.25">
      <c r="A134" t="s">
        <v>170</v>
      </c>
      <c r="B134" s="1">
        <v>45850.750497685192</v>
      </c>
      <c r="C134" t="s">
        <v>9</v>
      </c>
      <c r="D134" t="s">
        <v>16</v>
      </c>
      <c r="E134" t="s">
        <v>11</v>
      </c>
      <c r="F134" t="s">
        <v>18</v>
      </c>
      <c r="G134" s="5">
        <v>7.0000000000000007E-2</v>
      </c>
      <c r="H134" t="b">
        <f>COUNTIFS(OrderLines[OrderID],Orders[[#This Row],[OrderID]],OrderLines[Category],"Beverage")&gt;0</f>
        <v>1</v>
      </c>
      <c r="I134">
        <f>SUMIFS(OrderLines[Revenue],OrderLines[OrderID],Orders[[#This Row],[OrderID]])</f>
        <v>349.8381</v>
      </c>
      <c r="J134" t="str">
        <f>IF(AND(COUNTIFS(OrderLines[OrderID],Orders[[#This Row],[OrderID]],OrderLines[Category],"Hot Meal")&gt;0,COUNTIFS(OrderLines[OrderID],Orders[[#This Row],[OrderID]],OrderLines[Category],"Beverage")&gt;0),"Combo","Single")</f>
        <v>Single</v>
      </c>
      <c r="K134" s="17" t="str">
        <f>IF(SUMPRODUCT((OrderLines[OrderID]=Orders[[#This Row],[OrderID]])*OrderLines[Qty]*OrderLines[UnitPrice])*Orders[[#This Row],[DiscountPct]]&gt;40,"HighDisc","OK")</f>
        <v>OK</v>
      </c>
      <c r="L134" s="11">
        <f>SUMIFS(OrderLines[Revenue],OrderLines[OrderID],Orders[[#This Row],[OrderID]])-SUMIFS(OrderLines[FoodCost],OrderLines[OrderID],Orders[[#This Row],[OrderID]])</f>
        <v>179.72809999999998</v>
      </c>
      <c r="M134" s="5">
        <f>Orders[[#This Row],[GrossProfit]]/Orders[[#This Row],[OrderTotal]]</f>
        <v>0.51374650159602397</v>
      </c>
      <c r="N134" s="17" t="b">
        <f>COUNTIFS(OrderLines[OrderID],Orders[[#This Row],[OrderID]],OrderLines[Category],"Hot Meal")&gt;0</f>
        <v>0</v>
      </c>
      <c r="O134" s="17" t="b">
        <f>COUNTIFS(OrderLines[OrderID],Orders[[#This Row],[OrderID]],OrderLines[Category],"Snack")&gt;0</f>
        <v>0</v>
      </c>
      <c r="P134" s="17" t="b">
        <f>COUNTIFS(OrderLines[OrderID],Orders[[#This Row],[OrderID]],OrderLines[Category],"Dessert")&gt;0</f>
        <v>1</v>
      </c>
      <c r="Q134" s="11">
        <f>Orders[[#This Row],[OrderTotal]]-Orders[[#This Row],[GrossProfit]]</f>
        <v>170.11</v>
      </c>
    </row>
    <row r="135" spans="1:17" x14ac:dyDescent="0.25">
      <c r="A135" t="s">
        <v>171</v>
      </c>
      <c r="B135" s="1">
        <v>45889.986759259264</v>
      </c>
      <c r="C135" t="s">
        <v>15</v>
      </c>
      <c r="D135" t="s">
        <v>16</v>
      </c>
      <c r="E135" t="s">
        <v>21</v>
      </c>
      <c r="F135" t="s">
        <v>18</v>
      </c>
      <c r="G135" s="5">
        <v>0.09</v>
      </c>
      <c r="H135" t="b">
        <f>COUNTIFS(OrderLines[OrderID],Orders[[#This Row],[OrderID]],OrderLines[Category],"Beverage")&gt;0</f>
        <v>1</v>
      </c>
      <c r="I135">
        <f>SUMIFS(OrderLines[Revenue],OrderLines[OrderID],Orders[[#This Row],[OrderID]])</f>
        <v>90.035399999999996</v>
      </c>
      <c r="J135" t="str">
        <f>IF(AND(COUNTIFS(OrderLines[OrderID],Orders[[#This Row],[OrderID]],OrderLines[Category],"Hot Meal")&gt;0,COUNTIFS(OrderLines[OrderID],Orders[[#This Row],[OrderID]],OrderLines[Category],"Beverage")&gt;0),"Combo","Single")</f>
        <v>Single</v>
      </c>
      <c r="K135" s="17" t="str">
        <f>IF(SUMPRODUCT((OrderLines[OrderID]=Orders[[#This Row],[OrderID]])*OrderLines[Qty]*OrderLines[UnitPrice])*Orders[[#This Row],[DiscountPct]]&gt;40,"HighDisc","OK")</f>
        <v>OK</v>
      </c>
      <c r="L135" s="11">
        <f>SUMIFS(OrderLines[Revenue],OrderLines[OrderID],Orders[[#This Row],[OrderID]])-SUMIFS(OrderLines[FoodCost],OrderLines[OrderID],Orders[[#This Row],[OrderID]])</f>
        <v>54.5154</v>
      </c>
      <c r="M135" s="5">
        <f>Orders[[#This Row],[GrossProfit]]/Orders[[#This Row],[OrderTotal]]</f>
        <v>0.60548850785357766</v>
      </c>
      <c r="N135" s="17" t="b">
        <f>COUNTIFS(OrderLines[OrderID],Orders[[#This Row],[OrderID]],OrderLines[Category],"Hot Meal")&gt;0</f>
        <v>0</v>
      </c>
      <c r="O135" s="17" t="b">
        <f>COUNTIFS(OrderLines[OrderID],Orders[[#This Row],[OrderID]],OrderLines[Category],"Snack")&gt;0</f>
        <v>0</v>
      </c>
      <c r="P135" s="17" t="b">
        <f>COUNTIFS(OrderLines[OrderID],Orders[[#This Row],[OrderID]],OrderLines[Category],"Dessert")&gt;0</f>
        <v>0</v>
      </c>
      <c r="Q135" s="11">
        <f>Orders[[#This Row],[OrderTotal]]-Orders[[#This Row],[GrossProfit]]</f>
        <v>35.519999999999996</v>
      </c>
    </row>
    <row r="136" spans="1:17" x14ac:dyDescent="0.25">
      <c r="A136" t="s">
        <v>172</v>
      </c>
      <c r="B136" s="1">
        <v>45896.390115740738</v>
      </c>
      <c r="C136" t="s">
        <v>15</v>
      </c>
      <c r="D136" t="s">
        <v>16</v>
      </c>
      <c r="E136" t="s">
        <v>11</v>
      </c>
      <c r="F136" t="s">
        <v>12</v>
      </c>
      <c r="G136" s="5">
        <v>0.06</v>
      </c>
      <c r="H136" t="b">
        <f>COUNTIFS(OrderLines[OrderID],Orders[[#This Row],[OrderID]],OrderLines[Category],"Beverage")&gt;0</f>
        <v>1</v>
      </c>
      <c r="I136">
        <f>SUMIFS(OrderLines[Revenue],OrderLines[OrderID],Orders[[#This Row],[OrderID]])</f>
        <v>188.19739999999999</v>
      </c>
      <c r="J136" t="str">
        <f>IF(AND(COUNTIFS(OrderLines[OrderID],Orders[[#This Row],[OrderID]],OrderLines[Category],"Hot Meal")&gt;0,COUNTIFS(OrderLines[OrderID],Orders[[#This Row],[OrderID]],OrderLines[Category],"Beverage")&gt;0),"Combo","Single")</f>
        <v>Single</v>
      </c>
      <c r="K136" s="17" t="str">
        <f>IF(SUMPRODUCT((OrderLines[OrderID]=Orders[[#This Row],[OrderID]])*OrderLines[Qty]*OrderLines[UnitPrice])*Orders[[#This Row],[DiscountPct]]&gt;40,"HighDisc","OK")</f>
        <v>OK</v>
      </c>
      <c r="L136" s="11">
        <f>SUMIFS(OrderLines[Revenue],OrderLines[OrderID],Orders[[#This Row],[OrderID]])-SUMIFS(OrderLines[FoodCost],OrderLines[OrderID],Orders[[#This Row],[OrderID]])</f>
        <v>98.23739999999998</v>
      </c>
      <c r="M136" s="5">
        <f>Orders[[#This Row],[GrossProfit]]/Orders[[#This Row],[OrderTotal]]</f>
        <v>0.52199127086771646</v>
      </c>
      <c r="N136" s="17" t="b">
        <f>COUNTIFS(OrderLines[OrderID],Orders[[#This Row],[OrderID]],OrderLines[Category],"Hot Meal")&gt;0</f>
        <v>0</v>
      </c>
      <c r="O136" s="17" t="b">
        <f>COUNTIFS(OrderLines[OrderID],Orders[[#This Row],[OrderID]],OrderLines[Category],"Snack")&gt;0</f>
        <v>0</v>
      </c>
      <c r="P136" s="17" t="b">
        <f>COUNTIFS(OrderLines[OrderID],Orders[[#This Row],[OrderID]],OrderLines[Category],"Dessert")&gt;0</f>
        <v>1</v>
      </c>
      <c r="Q136" s="11">
        <f>Orders[[#This Row],[OrderTotal]]-Orders[[#This Row],[GrossProfit]]</f>
        <v>89.960000000000008</v>
      </c>
    </row>
    <row r="137" spans="1:17" x14ac:dyDescent="0.25">
      <c r="A137" t="s">
        <v>173</v>
      </c>
      <c r="B137" s="1">
        <v>45898.439282407409</v>
      </c>
      <c r="C137" t="s">
        <v>9</v>
      </c>
      <c r="D137" t="s">
        <v>28</v>
      </c>
      <c r="E137" t="s">
        <v>17</v>
      </c>
      <c r="F137" t="s">
        <v>12</v>
      </c>
      <c r="G137" s="5">
        <v>0.12</v>
      </c>
      <c r="H137" t="b">
        <f>COUNTIFS(OrderLines[OrderID],Orders[[#This Row],[OrderID]],OrderLines[Category],"Beverage")&gt;0</f>
        <v>0</v>
      </c>
      <c r="I137">
        <f>SUMIFS(OrderLines[Revenue],OrderLines[OrderID],Orders[[#This Row],[OrderID]])</f>
        <v>492.90560000000005</v>
      </c>
      <c r="J137" t="str">
        <f>IF(AND(COUNTIFS(OrderLines[OrderID],Orders[[#This Row],[OrderID]],OrderLines[Category],"Hot Meal")&gt;0,COUNTIFS(OrderLines[OrderID],Orders[[#This Row],[OrderID]],OrderLines[Category],"Beverage")&gt;0),"Combo","Single")</f>
        <v>Single</v>
      </c>
      <c r="K137" s="17" t="str">
        <f>IF(SUMPRODUCT((OrderLines[OrderID]=Orders[[#This Row],[OrderID]])*OrderLines[Qty]*OrderLines[UnitPrice])*Orders[[#This Row],[DiscountPct]]&gt;40,"HighDisc","OK")</f>
        <v>HighDisc</v>
      </c>
      <c r="L137" s="11">
        <f>SUMIFS(OrderLines[Revenue],OrderLines[OrderID],Orders[[#This Row],[OrderID]])-SUMIFS(OrderLines[FoodCost],OrderLines[OrderID],Orders[[#This Row],[OrderID]])</f>
        <v>248.86560000000006</v>
      </c>
      <c r="M137" s="5">
        <f>Orders[[#This Row],[GrossProfit]]/Orders[[#This Row],[OrderTotal]]</f>
        <v>0.50489505495575626</v>
      </c>
      <c r="N137" s="17" t="b">
        <f>COUNTIFS(OrderLines[OrderID],Orders[[#This Row],[OrderID]],OrderLines[Category],"Hot Meal")&gt;0</f>
        <v>1</v>
      </c>
      <c r="O137" s="17" t="b">
        <f>COUNTIFS(OrderLines[OrderID],Orders[[#This Row],[OrderID]],OrderLines[Category],"Snack")&gt;0</f>
        <v>1</v>
      </c>
      <c r="P137" s="17" t="b">
        <f>COUNTIFS(OrderLines[OrderID],Orders[[#This Row],[OrderID]],OrderLines[Category],"Dessert")&gt;0</f>
        <v>0</v>
      </c>
      <c r="Q137" s="11">
        <f>Orders[[#This Row],[OrderTotal]]-Orders[[#This Row],[GrossProfit]]</f>
        <v>244.04</v>
      </c>
    </row>
    <row r="138" spans="1:17" x14ac:dyDescent="0.25">
      <c r="A138" t="s">
        <v>174</v>
      </c>
      <c r="B138" s="1">
        <v>45864.94458333333</v>
      </c>
      <c r="C138" t="s">
        <v>9</v>
      </c>
      <c r="D138" t="s">
        <v>28</v>
      </c>
      <c r="E138" t="s">
        <v>17</v>
      </c>
      <c r="F138" t="s">
        <v>18</v>
      </c>
      <c r="G138" s="5">
        <v>0.05</v>
      </c>
      <c r="H138" t="b">
        <f>COUNTIFS(OrderLines[OrderID],Orders[[#This Row],[OrderID]],OrderLines[Category],"Beverage")&gt;0</f>
        <v>1</v>
      </c>
      <c r="I138">
        <f>SUMIFS(OrderLines[Revenue],OrderLines[OrderID],Orders[[#This Row],[OrderID]])</f>
        <v>299.93399999999997</v>
      </c>
      <c r="J138" t="str">
        <f>IF(AND(COUNTIFS(OrderLines[OrderID],Orders[[#This Row],[OrderID]],OrderLines[Category],"Hot Meal")&gt;0,COUNTIFS(OrderLines[OrderID],Orders[[#This Row],[OrderID]],OrderLines[Category],"Beverage")&gt;0),"Combo","Single")</f>
        <v>Combo</v>
      </c>
      <c r="K138" s="17" t="str">
        <f>IF(SUMPRODUCT((OrderLines[OrderID]=Orders[[#This Row],[OrderID]])*OrderLines[Qty]*OrderLines[UnitPrice])*Orders[[#This Row],[DiscountPct]]&gt;40,"HighDisc","OK")</f>
        <v>OK</v>
      </c>
      <c r="L138" s="11">
        <f>SUMIFS(OrderLines[Revenue],OrderLines[OrderID],Orders[[#This Row],[OrderID]])-SUMIFS(OrderLines[FoodCost],OrderLines[OrderID],Orders[[#This Row],[OrderID]])</f>
        <v>139.51399999999995</v>
      </c>
      <c r="M138" s="5">
        <f>Orders[[#This Row],[GrossProfit]]/Orders[[#This Row],[OrderTotal]]</f>
        <v>0.46514899944654481</v>
      </c>
      <c r="N138" s="17" t="b">
        <f>COUNTIFS(OrderLines[OrderID],Orders[[#This Row],[OrderID]],OrderLines[Category],"Hot Meal")&gt;0</f>
        <v>1</v>
      </c>
      <c r="O138" s="17" t="b">
        <f>COUNTIFS(OrderLines[OrderID],Orders[[#This Row],[OrderID]],OrderLines[Category],"Snack")&gt;0</f>
        <v>0</v>
      </c>
      <c r="P138" s="17" t="b">
        <f>COUNTIFS(OrderLines[OrderID],Orders[[#This Row],[OrderID]],OrderLines[Category],"Dessert")&gt;0</f>
        <v>1</v>
      </c>
      <c r="Q138" s="11">
        <f>Orders[[#This Row],[OrderTotal]]-Orders[[#This Row],[GrossProfit]]</f>
        <v>160.42000000000002</v>
      </c>
    </row>
    <row r="139" spans="1:17" x14ac:dyDescent="0.25">
      <c r="A139" t="s">
        <v>175</v>
      </c>
      <c r="B139" s="1">
        <v>45856.125613425917</v>
      </c>
      <c r="C139" t="s">
        <v>9</v>
      </c>
      <c r="D139" t="s">
        <v>28</v>
      </c>
      <c r="E139" t="s">
        <v>17</v>
      </c>
      <c r="F139" t="s">
        <v>12</v>
      </c>
      <c r="G139" s="5">
        <v>0.17</v>
      </c>
      <c r="H139" t="b">
        <f>COUNTIFS(OrderLines[OrderID],Orders[[#This Row],[OrderID]],OrderLines[Category],"Beverage")&gt;0</f>
        <v>0</v>
      </c>
      <c r="I139">
        <f>SUMIFS(OrderLines[Revenue],OrderLines[OrderID],Orders[[#This Row],[OrderID]])</f>
        <v>83.315399999999997</v>
      </c>
      <c r="J139" t="str">
        <f>IF(AND(COUNTIFS(OrderLines[OrderID],Orders[[#This Row],[OrderID]],OrderLines[Category],"Hot Meal")&gt;0,COUNTIFS(OrderLines[OrderID],Orders[[#This Row],[OrderID]],OrderLines[Category],"Beverage")&gt;0),"Combo","Single")</f>
        <v>Single</v>
      </c>
      <c r="K139" s="17" t="str">
        <f>IF(SUMPRODUCT((OrderLines[OrderID]=Orders[[#This Row],[OrderID]])*OrderLines[Qty]*OrderLines[UnitPrice])*Orders[[#This Row],[DiscountPct]]&gt;40,"HighDisc","OK")</f>
        <v>OK</v>
      </c>
      <c r="L139" s="11">
        <f>SUMIFS(OrderLines[Revenue],OrderLines[OrderID],Orders[[#This Row],[OrderID]])-SUMIFS(OrderLines[FoodCost],OrderLines[OrderID],Orders[[#This Row],[OrderID]])</f>
        <v>38.095399999999998</v>
      </c>
      <c r="M139" s="5">
        <f>Orders[[#This Row],[GrossProfit]]/Orders[[#This Row],[OrderTotal]]</f>
        <v>0.45724319873636804</v>
      </c>
      <c r="N139" s="17" t="b">
        <f>COUNTIFS(OrderLines[OrderID],Orders[[#This Row],[OrderID]],OrderLines[Category],"Hot Meal")&gt;0</f>
        <v>0</v>
      </c>
      <c r="O139" s="17" t="b">
        <f>COUNTIFS(OrderLines[OrderID],Orders[[#This Row],[OrderID]],OrderLines[Category],"Snack")&gt;0</f>
        <v>1</v>
      </c>
      <c r="P139" s="17" t="b">
        <f>COUNTIFS(OrderLines[OrderID],Orders[[#This Row],[OrderID]],OrderLines[Category],"Dessert")&gt;0</f>
        <v>0</v>
      </c>
      <c r="Q139" s="11">
        <f>Orders[[#This Row],[OrderTotal]]-Orders[[#This Row],[GrossProfit]]</f>
        <v>45.22</v>
      </c>
    </row>
    <row r="140" spans="1:17" x14ac:dyDescent="0.25">
      <c r="A140" t="s">
        <v>176</v>
      </c>
      <c r="B140" s="1">
        <v>45878.913113425922</v>
      </c>
      <c r="C140" t="s">
        <v>15</v>
      </c>
      <c r="D140" t="s">
        <v>10</v>
      </c>
      <c r="E140" t="s">
        <v>11</v>
      </c>
      <c r="F140" t="s">
        <v>18</v>
      </c>
      <c r="G140" s="5">
        <v>0.09</v>
      </c>
      <c r="H140" t="b">
        <f>COUNTIFS(OrderLines[OrderID],Orders[[#This Row],[OrderID]],OrderLines[Category],"Beverage")&gt;0</f>
        <v>0</v>
      </c>
      <c r="I140">
        <f>SUMIFS(OrderLines[Revenue],OrderLines[OrderID],Orders[[#This Row],[OrderID]])</f>
        <v>661.30610000000001</v>
      </c>
      <c r="J140" t="str">
        <f>IF(AND(COUNTIFS(OrderLines[OrderID],Orders[[#This Row],[OrderID]],OrderLines[Category],"Hot Meal")&gt;0,COUNTIFS(OrderLines[OrderID],Orders[[#This Row],[OrderID]],OrderLines[Category],"Beverage")&gt;0),"Combo","Single")</f>
        <v>Single</v>
      </c>
      <c r="K140" s="17" t="str">
        <f>IF(SUMPRODUCT((OrderLines[OrderID]=Orders[[#This Row],[OrderID]])*OrderLines[Qty]*OrderLines[UnitPrice])*Orders[[#This Row],[DiscountPct]]&gt;40,"HighDisc","OK")</f>
        <v>HighDisc</v>
      </c>
      <c r="L140" s="11">
        <f>SUMIFS(OrderLines[Revenue],OrderLines[OrderID],Orders[[#This Row],[OrderID]])-SUMIFS(OrderLines[FoodCost],OrderLines[OrderID],Orders[[#This Row],[OrderID]])</f>
        <v>333.18610000000001</v>
      </c>
      <c r="M140" s="5">
        <f>Orders[[#This Row],[GrossProfit]]/Orders[[#This Row],[OrderTotal]]</f>
        <v>0.50383037446652923</v>
      </c>
      <c r="N140" s="17" t="b">
        <f>COUNTIFS(OrderLines[OrderID],Orders[[#This Row],[OrderID]],OrderLines[Category],"Hot Meal")&gt;0</f>
        <v>1</v>
      </c>
      <c r="O140" s="17" t="b">
        <f>COUNTIFS(OrderLines[OrderID],Orders[[#This Row],[OrderID]],OrderLines[Category],"Snack")&gt;0</f>
        <v>1</v>
      </c>
      <c r="P140" s="17" t="b">
        <f>COUNTIFS(OrderLines[OrderID],Orders[[#This Row],[OrderID]],OrderLines[Category],"Dessert")&gt;0</f>
        <v>1</v>
      </c>
      <c r="Q140" s="11">
        <f>Orders[[#This Row],[OrderTotal]]-Orders[[#This Row],[GrossProfit]]</f>
        <v>328.12</v>
      </c>
    </row>
    <row r="141" spans="1:17" x14ac:dyDescent="0.25">
      <c r="A141" t="s">
        <v>177</v>
      </c>
      <c r="B141" s="1">
        <v>45867.52847222222</v>
      </c>
      <c r="C141" t="s">
        <v>27</v>
      </c>
      <c r="D141" t="s">
        <v>28</v>
      </c>
      <c r="E141" t="s">
        <v>21</v>
      </c>
      <c r="F141" t="s">
        <v>22</v>
      </c>
      <c r="G141" s="5">
        <v>0.03</v>
      </c>
      <c r="H141" t="b">
        <f>COUNTIFS(OrderLines[OrderID],Orders[[#This Row],[OrderID]],OrderLines[Category],"Beverage")&gt;0</f>
        <v>1</v>
      </c>
      <c r="I141">
        <f>SUMIFS(OrderLines[Revenue],OrderLines[OrderID],Orders[[#This Row],[OrderID]])</f>
        <v>310.73950000000002</v>
      </c>
      <c r="J141" t="str">
        <f>IF(AND(COUNTIFS(OrderLines[OrderID],Orders[[#This Row],[OrderID]],OrderLines[Category],"Hot Meal")&gt;0,COUNTIFS(OrderLines[OrderID],Orders[[#This Row],[OrderID]],OrderLines[Category],"Beverage")&gt;0),"Combo","Single")</f>
        <v>Single</v>
      </c>
      <c r="K141" s="17" t="str">
        <f>IF(SUMPRODUCT((OrderLines[OrderID]=Orders[[#This Row],[OrderID]])*OrderLines[Qty]*OrderLines[UnitPrice])*Orders[[#This Row],[DiscountPct]]&gt;40,"HighDisc","OK")</f>
        <v>OK</v>
      </c>
      <c r="L141" s="11">
        <f>SUMIFS(OrderLines[Revenue],OrderLines[OrderID],Orders[[#This Row],[OrderID]])-SUMIFS(OrderLines[FoodCost],OrderLines[OrderID],Orders[[#This Row],[OrderID]])</f>
        <v>163.60950000000003</v>
      </c>
      <c r="M141" s="5">
        <f>Orders[[#This Row],[GrossProfit]]/Orders[[#This Row],[OrderTotal]]</f>
        <v>0.52651658382664579</v>
      </c>
      <c r="N141" s="17" t="b">
        <f>COUNTIFS(OrderLines[OrderID],Orders[[#This Row],[OrderID]],OrderLines[Category],"Hot Meal")&gt;0</f>
        <v>0</v>
      </c>
      <c r="O141" s="17" t="b">
        <f>COUNTIFS(OrderLines[OrderID],Orders[[#This Row],[OrderID]],OrderLines[Category],"Snack")&gt;0</f>
        <v>1</v>
      </c>
      <c r="P141" s="17" t="b">
        <f>COUNTIFS(OrderLines[OrderID],Orders[[#This Row],[OrderID]],OrderLines[Category],"Dessert")&gt;0</f>
        <v>0</v>
      </c>
      <c r="Q141" s="11">
        <f>Orders[[#This Row],[OrderTotal]]-Orders[[#This Row],[GrossProfit]]</f>
        <v>147.13</v>
      </c>
    </row>
    <row r="142" spans="1:17" x14ac:dyDescent="0.25">
      <c r="A142" t="s">
        <v>178</v>
      </c>
      <c r="B142" s="1">
        <v>45883.332060185188</v>
      </c>
      <c r="C142" t="s">
        <v>27</v>
      </c>
      <c r="D142" t="s">
        <v>10</v>
      </c>
      <c r="E142" t="s">
        <v>17</v>
      </c>
      <c r="F142" t="s">
        <v>12</v>
      </c>
      <c r="G142" s="5">
        <v>0.02</v>
      </c>
      <c r="H142" t="b">
        <f>COUNTIFS(OrderLines[OrderID],Orders[[#This Row],[OrderID]],OrderLines[Category],"Beverage")&gt;0</f>
        <v>1</v>
      </c>
      <c r="I142">
        <f>SUMIFS(OrderLines[Revenue],OrderLines[OrderID],Orders[[#This Row],[OrderID]])</f>
        <v>79.2624</v>
      </c>
      <c r="J142" t="str">
        <f>IF(AND(COUNTIFS(OrderLines[OrderID],Orders[[#This Row],[OrderID]],OrderLines[Category],"Hot Meal")&gt;0,COUNTIFS(OrderLines[OrderID],Orders[[#This Row],[OrderID]],OrderLines[Category],"Beverage")&gt;0),"Combo","Single")</f>
        <v>Single</v>
      </c>
      <c r="K142" s="17" t="str">
        <f>IF(SUMPRODUCT((OrderLines[OrderID]=Orders[[#This Row],[OrderID]])*OrderLines[Qty]*OrderLines[UnitPrice])*Orders[[#This Row],[DiscountPct]]&gt;40,"HighDisc","OK")</f>
        <v>OK</v>
      </c>
      <c r="L142" s="11">
        <f>SUMIFS(OrderLines[Revenue],OrderLines[OrderID],Orders[[#This Row],[OrderID]])-SUMIFS(OrderLines[FoodCost],OrderLines[OrderID],Orders[[#This Row],[OrderID]])</f>
        <v>39.572400000000002</v>
      </c>
      <c r="M142" s="5">
        <f>Orders[[#This Row],[GrossProfit]]/Orders[[#This Row],[OrderTotal]]</f>
        <v>0.49925816023738873</v>
      </c>
      <c r="N142" s="17" t="b">
        <f>COUNTIFS(OrderLines[OrderID],Orders[[#This Row],[OrderID]],OrderLines[Category],"Hot Meal")&gt;0</f>
        <v>0</v>
      </c>
      <c r="O142" s="17" t="b">
        <f>COUNTIFS(OrderLines[OrderID],Orders[[#This Row],[OrderID]],OrderLines[Category],"Snack")&gt;0</f>
        <v>1</v>
      </c>
      <c r="P142" s="17" t="b">
        <f>COUNTIFS(OrderLines[OrderID],Orders[[#This Row],[OrderID]],OrderLines[Category],"Dessert")&gt;0</f>
        <v>0</v>
      </c>
      <c r="Q142" s="11">
        <f>Orders[[#This Row],[OrderTotal]]-Orders[[#This Row],[GrossProfit]]</f>
        <v>39.69</v>
      </c>
    </row>
    <row r="143" spans="1:17" x14ac:dyDescent="0.25">
      <c r="A143" t="s">
        <v>179</v>
      </c>
      <c r="B143" s="1">
        <v>45896.512881944444</v>
      </c>
      <c r="C143" t="s">
        <v>9</v>
      </c>
      <c r="D143" t="s">
        <v>28</v>
      </c>
      <c r="E143" t="s">
        <v>21</v>
      </c>
      <c r="F143" t="s">
        <v>22</v>
      </c>
      <c r="G143" s="5">
        <v>0.08</v>
      </c>
      <c r="H143" t="b">
        <f>COUNTIFS(OrderLines[OrderID],Orders[[#This Row],[OrderID]],OrderLines[Category],"Beverage")&gt;0</f>
        <v>1</v>
      </c>
      <c r="I143">
        <f>SUMIFS(OrderLines[Revenue],OrderLines[OrderID],Orders[[#This Row],[OrderID]])</f>
        <v>164.67999999999998</v>
      </c>
      <c r="J143" t="str">
        <f>IF(AND(COUNTIFS(OrderLines[OrderID],Orders[[#This Row],[OrderID]],OrderLines[Category],"Hot Meal")&gt;0,COUNTIFS(OrderLines[OrderID],Orders[[#This Row],[OrderID]],OrderLines[Category],"Beverage")&gt;0),"Combo","Single")</f>
        <v>Single</v>
      </c>
      <c r="K143" s="17" t="str">
        <f>IF(SUMPRODUCT((OrderLines[OrderID]=Orders[[#This Row],[OrderID]])*OrderLines[Qty]*OrderLines[UnitPrice])*Orders[[#This Row],[DiscountPct]]&gt;40,"HighDisc","OK")</f>
        <v>OK</v>
      </c>
      <c r="L143" s="11">
        <f>SUMIFS(OrderLines[Revenue],OrderLines[OrderID],Orders[[#This Row],[OrderID]])-SUMIFS(OrderLines[FoodCost],OrderLines[OrderID],Orders[[#This Row],[OrderID]])</f>
        <v>82.95999999999998</v>
      </c>
      <c r="M143" s="5">
        <f>Orders[[#This Row],[GrossProfit]]/Orders[[#This Row],[OrderTotal]]</f>
        <v>0.50376487733786735</v>
      </c>
      <c r="N143" s="17" t="b">
        <f>COUNTIFS(OrderLines[OrderID],Orders[[#This Row],[OrderID]],OrderLines[Category],"Hot Meal")&gt;0</f>
        <v>0</v>
      </c>
      <c r="O143" s="17" t="b">
        <f>COUNTIFS(OrderLines[OrderID],Orders[[#This Row],[OrderID]],OrderLines[Category],"Snack")&gt;0</f>
        <v>1</v>
      </c>
      <c r="P143" s="17" t="b">
        <f>COUNTIFS(OrderLines[OrderID],Orders[[#This Row],[OrderID]],OrderLines[Category],"Dessert")&gt;0</f>
        <v>0</v>
      </c>
      <c r="Q143" s="11">
        <f>Orders[[#This Row],[OrderTotal]]-Orders[[#This Row],[GrossProfit]]</f>
        <v>81.72</v>
      </c>
    </row>
    <row r="144" spans="1:17" x14ac:dyDescent="0.25">
      <c r="A144" t="s">
        <v>180</v>
      </c>
      <c r="B144" s="1">
        <v>45892.121759259258</v>
      </c>
      <c r="C144" t="s">
        <v>27</v>
      </c>
      <c r="D144" t="s">
        <v>10</v>
      </c>
      <c r="E144" t="s">
        <v>17</v>
      </c>
      <c r="F144" t="s">
        <v>12</v>
      </c>
      <c r="G144" s="5">
        <v>0.05</v>
      </c>
      <c r="H144" t="b">
        <f>COUNTIFS(OrderLines[OrderID],Orders[[#This Row],[OrderID]],OrderLines[Category],"Beverage")&gt;0</f>
        <v>1</v>
      </c>
      <c r="I144">
        <f>SUMIFS(OrderLines[Revenue],OrderLines[OrderID],Orders[[#This Row],[OrderID]])</f>
        <v>38.208999999999996</v>
      </c>
      <c r="J144" t="str">
        <f>IF(AND(COUNTIFS(OrderLines[OrderID],Orders[[#This Row],[OrderID]],OrderLines[Category],"Hot Meal")&gt;0,COUNTIFS(OrderLines[OrderID],Orders[[#This Row],[OrderID]],OrderLines[Category],"Beverage")&gt;0),"Combo","Single")</f>
        <v>Single</v>
      </c>
      <c r="K144" s="17" t="str">
        <f>IF(SUMPRODUCT((OrderLines[OrderID]=Orders[[#This Row],[OrderID]])*OrderLines[Qty]*OrderLines[UnitPrice])*Orders[[#This Row],[DiscountPct]]&gt;40,"HighDisc","OK")</f>
        <v>OK</v>
      </c>
      <c r="L144" s="11">
        <f>SUMIFS(OrderLines[Revenue],OrderLines[OrderID],Orders[[#This Row],[OrderID]])-SUMIFS(OrderLines[FoodCost],OrderLines[OrderID],Orders[[#This Row],[OrderID]])</f>
        <v>22.208999999999996</v>
      </c>
      <c r="M144" s="5">
        <f>Orders[[#This Row],[GrossProfit]]/Orders[[#This Row],[OrderTotal]]</f>
        <v>0.58125049072208113</v>
      </c>
      <c r="N144" s="17" t="b">
        <f>COUNTIFS(OrderLines[OrderID],Orders[[#This Row],[OrderID]],OrderLines[Category],"Hot Meal")&gt;0</f>
        <v>0</v>
      </c>
      <c r="O144" s="17" t="b">
        <f>COUNTIFS(OrderLines[OrderID],Orders[[#This Row],[OrderID]],OrderLines[Category],"Snack")&gt;0</f>
        <v>0</v>
      </c>
      <c r="P144" s="17" t="b">
        <f>COUNTIFS(OrderLines[OrderID],Orders[[#This Row],[OrderID]],OrderLines[Category],"Dessert")&gt;0</f>
        <v>0</v>
      </c>
      <c r="Q144" s="11">
        <f>Orders[[#This Row],[OrderTotal]]-Orders[[#This Row],[GrossProfit]]</f>
        <v>16</v>
      </c>
    </row>
    <row r="145" spans="1:17" x14ac:dyDescent="0.25">
      <c r="A145" t="s">
        <v>181</v>
      </c>
      <c r="B145" s="1">
        <v>45853.05976851852</v>
      </c>
      <c r="C145" t="s">
        <v>27</v>
      </c>
      <c r="D145" t="s">
        <v>28</v>
      </c>
      <c r="E145" t="s">
        <v>17</v>
      </c>
      <c r="F145" t="s">
        <v>12</v>
      </c>
      <c r="G145" s="5">
        <v>0.09</v>
      </c>
      <c r="H145" t="b">
        <f>COUNTIFS(OrderLines[OrderID],Orders[[#This Row],[OrderID]],OrderLines[Category],"Beverage")&gt;0</f>
        <v>0</v>
      </c>
      <c r="I145">
        <f>SUMIFS(OrderLines[Revenue],OrderLines[OrderID],Orders[[#This Row],[OrderID]])</f>
        <v>47.729500000000002</v>
      </c>
      <c r="J145" t="str">
        <f>IF(AND(COUNTIFS(OrderLines[OrderID],Orders[[#This Row],[OrderID]],OrderLines[Category],"Hot Meal")&gt;0,COUNTIFS(OrderLines[OrderID],Orders[[#This Row],[OrderID]],OrderLines[Category],"Beverage")&gt;0),"Combo","Single")</f>
        <v>Single</v>
      </c>
      <c r="K145" s="17" t="str">
        <f>IF(SUMPRODUCT((OrderLines[OrderID]=Orders[[#This Row],[OrderID]])*OrderLines[Qty]*OrderLines[UnitPrice])*Orders[[#This Row],[DiscountPct]]&gt;40,"HighDisc","OK")</f>
        <v>OK</v>
      </c>
      <c r="L145" s="11">
        <f>SUMIFS(OrderLines[Revenue],OrderLines[OrderID],Orders[[#This Row],[OrderID]])-SUMIFS(OrderLines[FoodCost],OrderLines[OrderID],Orders[[#This Row],[OrderID]])</f>
        <v>21.929500000000001</v>
      </c>
      <c r="M145" s="5">
        <f>Orders[[#This Row],[GrossProfit]]/Orders[[#This Row],[OrderTotal]]</f>
        <v>0.45945379691804861</v>
      </c>
      <c r="N145" s="17" t="b">
        <f>COUNTIFS(OrderLines[OrderID],Orders[[#This Row],[OrderID]],OrderLines[Category],"Hot Meal")&gt;0</f>
        <v>0</v>
      </c>
      <c r="O145" s="17" t="b">
        <f>COUNTIFS(OrderLines[OrderID],Orders[[#This Row],[OrderID]],OrderLines[Category],"Snack")&gt;0</f>
        <v>1</v>
      </c>
      <c r="P145" s="17" t="b">
        <f>COUNTIFS(OrderLines[OrderID],Orders[[#This Row],[OrderID]],OrderLines[Category],"Dessert")&gt;0</f>
        <v>0</v>
      </c>
      <c r="Q145" s="11">
        <f>Orders[[#This Row],[OrderTotal]]-Orders[[#This Row],[GrossProfit]]</f>
        <v>25.8</v>
      </c>
    </row>
    <row r="146" spans="1:17" x14ac:dyDescent="0.25">
      <c r="A146" t="s">
        <v>182</v>
      </c>
      <c r="B146" s="1">
        <v>45897.023043981477</v>
      </c>
      <c r="C146" t="s">
        <v>9</v>
      </c>
      <c r="D146" t="s">
        <v>10</v>
      </c>
      <c r="E146" t="s">
        <v>21</v>
      </c>
      <c r="F146" t="s">
        <v>12</v>
      </c>
      <c r="G146" s="5">
        <v>0.08</v>
      </c>
      <c r="H146" t="b">
        <f>COUNTIFS(OrderLines[OrderID],Orders[[#This Row],[OrderID]],OrderLines[Category],"Beverage")&gt;0</f>
        <v>1</v>
      </c>
      <c r="I146">
        <f>SUMIFS(OrderLines[Revenue],OrderLines[OrderID],Orders[[#This Row],[OrderID]])</f>
        <v>328.09960000000001</v>
      </c>
      <c r="J146" t="str">
        <f>IF(AND(COUNTIFS(OrderLines[OrderID],Orders[[#This Row],[OrderID]],OrderLines[Category],"Hot Meal")&gt;0,COUNTIFS(OrderLines[OrderID],Orders[[#This Row],[OrderID]],OrderLines[Category],"Beverage")&gt;0),"Combo","Single")</f>
        <v>Single</v>
      </c>
      <c r="K146" s="17" t="str">
        <f>IF(SUMPRODUCT((OrderLines[OrderID]=Orders[[#This Row],[OrderID]])*OrderLines[Qty]*OrderLines[UnitPrice])*Orders[[#This Row],[DiscountPct]]&gt;40,"HighDisc","OK")</f>
        <v>OK</v>
      </c>
      <c r="L146" s="11">
        <f>SUMIFS(OrderLines[Revenue],OrderLines[OrderID],Orders[[#This Row],[OrderID]])-SUMIFS(OrderLines[FoodCost],OrderLines[OrderID],Orders[[#This Row],[OrderID]])</f>
        <v>177.33960000000002</v>
      </c>
      <c r="M146" s="5">
        <f>Orders[[#This Row],[GrossProfit]]/Orders[[#This Row],[OrderTotal]]</f>
        <v>0.54050538312146679</v>
      </c>
      <c r="N146" s="17" t="b">
        <f>COUNTIFS(OrderLines[OrderID],Orders[[#This Row],[OrderID]],OrderLines[Category],"Hot Meal")&gt;0</f>
        <v>0</v>
      </c>
      <c r="O146" s="17" t="b">
        <f>COUNTIFS(OrderLines[OrderID],Orders[[#This Row],[OrderID]],OrderLines[Category],"Snack")&gt;0</f>
        <v>0</v>
      </c>
      <c r="P146" s="17" t="b">
        <f>COUNTIFS(OrderLines[OrderID],Orders[[#This Row],[OrderID]],OrderLines[Category],"Dessert")&gt;0</f>
        <v>1</v>
      </c>
      <c r="Q146" s="11">
        <f>Orders[[#This Row],[OrderTotal]]-Orders[[#This Row],[GrossProfit]]</f>
        <v>150.76</v>
      </c>
    </row>
    <row r="147" spans="1:17" x14ac:dyDescent="0.25">
      <c r="A147" t="s">
        <v>183</v>
      </c>
      <c r="B147" s="1">
        <v>45851.323541666658</v>
      </c>
      <c r="C147" t="s">
        <v>15</v>
      </c>
      <c r="D147" t="s">
        <v>10</v>
      </c>
      <c r="E147" t="s">
        <v>21</v>
      </c>
      <c r="F147" t="s">
        <v>12</v>
      </c>
      <c r="G147" s="5">
        <v>0.06</v>
      </c>
      <c r="H147" t="b">
        <f>COUNTIFS(OrderLines[OrderID],Orders[[#This Row],[OrderID]],OrderLines[Category],"Beverage")&gt;0</f>
        <v>1</v>
      </c>
      <c r="I147">
        <f>SUMIFS(OrderLines[Revenue],OrderLines[OrderID],Orders[[#This Row],[OrderID]])</f>
        <v>1569.9879999999998</v>
      </c>
      <c r="J147" t="str">
        <f>IF(AND(COUNTIFS(OrderLines[OrderID],Orders[[#This Row],[OrderID]],OrderLines[Category],"Hot Meal")&gt;0,COUNTIFS(OrderLines[OrderID],Orders[[#This Row],[OrderID]],OrderLines[Category],"Beverage")&gt;0),"Combo","Single")</f>
        <v>Combo</v>
      </c>
      <c r="K147" s="17" t="str">
        <f>IF(SUMPRODUCT((OrderLines[OrderID]=Orders[[#This Row],[OrderID]])*OrderLines[Qty]*OrderLines[UnitPrice])*Orders[[#This Row],[DiscountPct]]&gt;40,"HighDisc","OK")</f>
        <v>HighDisc</v>
      </c>
      <c r="L147" s="11">
        <f>SUMIFS(OrderLines[Revenue],OrderLines[OrderID],Orders[[#This Row],[OrderID]])-SUMIFS(OrderLines[FoodCost],OrderLines[OrderID],Orders[[#This Row],[OrderID]])</f>
        <v>802.29799999999989</v>
      </c>
      <c r="M147" s="5">
        <f>Orders[[#This Row],[GrossProfit]]/Orders[[#This Row],[OrderTotal]]</f>
        <v>0.5110217402935564</v>
      </c>
      <c r="N147" s="17" t="b">
        <f>COUNTIFS(OrderLines[OrderID],Orders[[#This Row],[OrderID]],OrderLines[Category],"Hot Meal")&gt;0</f>
        <v>1</v>
      </c>
      <c r="O147" s="17" t="b">
        <f>COUNTIFS(OrderLines[OrderID],Orders[[#This Row],[OrderID]],OrderLines[Category],"Snack")&gt;0</f>
        <v>0</v>
      </c>
      <c r="P147" s="17" t="b">
        <f>COUNTIFS(OrderLines[OrderID],Orders[[#This Row],[OrderID]],OrderLines[Category],"Dessert")&gt;0</f>
        <v>1</v>
      </c>
      <c r="Q147" s="11">
        <f>Orders[[#This Row],[OrderTotal]]-Orders[[#This Row],[GrossProfit]]</f>
        <v>767.68999999999994</v>
      </c>
    </row>
    <row r="148" spans="1:17" x14ac:dyDescent="0.25">
      <c r="A148" t="s">
        <v>184</v>
      </c>
      <c r="B148" s="1">
        <v>45865.682476851849</v>
      </c>
      <c r="C148" t="s">
        <v>9</v>
      </c>
      <c r="D148" t="s">
        <v>10</v>
      </c>
      <c r="E148" t="s">
        <v>21</v>
      </c>
      <c r="F148" t="s">
        <v>18</v>
      </c>
      <c r="G148" s="5">
        <v>0.03</v>
      </c>
      <c r="H148" t="b">
        <f>COUNTIFS(OrderLines[OrderID],Orders[[#This Row],[OrderID]],OrderLines[Category],"Beverage")&gt;0</f>
        <v>1</v>
      </c>
      <c r="I148">
        <f>SUMIFS(OrderLines[Revenue],OrderLines[OrderID],Orders[[#This Row],[OrderID]])</f>
        <v>357.67779999999999</v>
      </c>
      <c r="J148" t="str">
        <f>IF(AND(COUNTIFS(OrderLines[OrderID],Orders[[#This Row],[OrderID]],OrderLines[Category],"Hot Meal")&gt;0,COUNTIFS(OrderLines[OrderID],Orders[[#This Row],[OrderID]],OrderLines[Category],"Beverage")&gt;0),"Combo","Single")</f>
        <v>Combo</v>
      </c>
      <c r="K148" s="17" t="str">
        <f>IF(SUMPRODUCT((OrderLines[OrderID]=Orders[[#This Row],[OrderID]])*OrderLines[Qty]*OrderLines[UnitPrice])*Orders[[#This Row],[DiscountPct]]&gt;40,"HighDisc","OK")</f>
        <v>OK</v>
      </c>
      <c r="L148" s="11">
        <f>SUMIFS(OrderLines[Revenue],OrderLines[OrderID],Orders[[#This Row],[OrderID]])-SUMIFS(OrderLines[FoodCost],OrderLines[OrderID],Orders[[#This Row],[OrderID]])</f>
        <v>198.38780000000003</v>
      </c>
      <c r="M148" s="5">
        <f>Orders[[#This Row],[GrossProfit]]/Orders[[#This Row],[OrderTotal]]</f>
        <v>0.55465505547171234</v>
      </c>
      <c r="N148" s="17" t="b">
        <f>COUNTIFS(OrderLines[OrderID],Orders[[#This Row],[OrderID]],OrderLines[Category],"Hot Meal")&gt;0</f>
        <v>1</v>
      </c>
      <c r="O148" s="17" t="b">
        <f>COUNTIFS(OrderLines[OrderID],Orders[[#This Row],[OrderID]],OrderLines[Category],"Snack")&gt;0</f>
        <v>1</v>
      </c>
      <c r="P148" s="17" t="b">
        <f>COUNTIFS(OrderLines[OrderID],Orders[[#This Row],[OrderID]],OrderLines[Category],"Dessert")&gt;0</f>
        <v>0</v>
      </c>
      <c r="Q148" s="11">
        <f>Orders[[#This Row],[OrderTotal]]-Orders[[#This Row],[GrossProfit]]</f>
        <v>159.28999999999996</v>
      </c>
    </row>
    <row r="149" spans="1:17" x14ac:dyDescent="0.25">
      <c r="A149" t="s">
        <v>185</v>
      </c>
      <c r="B149" s="1">
        <v>45847.060127314813</v>
      </c>
      <c r="C149" t="s">
        <v>9</v>
      </c>
      <c r="D149" t="s">
        <v>28</v>
      </c>
      <c r="E149" t="s">
        <v>21</v>
      </c>
      <c r="F149" t="s">
        <v>12</v>
      </c>
      <c r="G149" s="5">
        <v>0</v>
      </c>
      <c r="H149" t="b">
        <f>COUNTIFS(OrderLines[OrderID],Orders[[#This Row],[OrderID]],OrderLines[Category],"Beverage")&gt;0</f>
        <v>1</v>
      </c>
      <c r="I149">
        <f>SUMIFS(OrderLines[Revenue],OrderLines[OrderID],Orders[[#This Row],[OrderID]])</f>
        <v>70.290000000000006</v>
      </c>
      <c r="J149" t="str">
        <f>IF(AND(COUNTIFS(OrderLines[OrderID],Orders[[#This Row],[OrderID]],OrderLines[Category],"Hot Meal")&gt;0,COUNTIFS(OrderLines[OrderID],Orders[[#This Row],[OrderID]],OrderLines[Category],"Beverage")&gt;0),"Combo","Single")</f>
        <v>Single</v>
      </c>
      <c r="K149" s="17" t="str">
        <f>IF(SUMPRODUCT((OrderLines[OrderID]=Orders[[#This Row],[OrderID]])*OrderLines[Qty]*OrderLines[UnitPrice])*Orders[[#This Row],[DiscountPct]]&gt;40,"HighDisc","OK")</f>
        <v>OK</v>
      </c>
      <c r="L149" s="11">
        <f>SUMIFS(OrderLines[Revenue],OrderLines[OrderID],Orders[[#This Row],[OrderID]])-SUMIFS(OrderLines[FoodCost],OrderLines[OrderID],Orders[[#This Row],[OrderID]])</f>
        <v>40.600000000000009</v>
      </c>
      <c r="M149" s="5">
        <f>Orders[[#This Row],[GrossProfit]]/Orders[[#This Row],[OrderTotal]]</f>
        <v>0.57760705648029598</v>
      </c>
      <c r="N149" s="17" t="b">
        <f>COUNTIFS(OrderLines[OrderID],Orders[[#This Row],[OrderID]],OrderLines[Category],"Hot Meal")&gt;0</f>
        <v>0</v>
      </c>
      <c r="O149" s="17" t="b">
        <f>COUNTIFS(OrderLines[OrderID],Orders[[#This Row],[OrderID]],OrderLines[Category],"Snack")&gt;0</f>
        <v>1</v>
      </c>
      <c r="P149" s="17" t="b">
        <f>COUNTIFS(OrderLines[OrderID],Orders[[#This Row],[OrderID]],OrderLines[Category],"Dessert")&gt;0</f>
        <v>0</v>
      </c>
      <c r="Q149" s="11">
        <f>Orders[[#This Row],[OrderTotal]]-Orders[[#This Row],[GrossProfit]]</f>
        <v>29.689999999999998</v>
      </c>
    </row>
    <row r="150" spans="1:17" x14ac:dyDescent="0.25">
      <c r="A150" t="s">
        <v>186</v>
      </c>
      <c r="B150" s="1">
        <v>45897.86478009259</v>
      </c>
      <c r="C150" t="s">
        <v>15</v>
      </c>
      <c r="D150" t="s">
        <v>28</v>
      </c>
      <c r="E150" t="s">
        <v>17</v>
      </c>
      <c r="F150" t="s">
        <v>18</v>
      </c>
      <c r="G150" s="5">
        <v>0.04</v>
      </c>
      <c r="H150" t="b">
        <f>COUNTIFS(OrderLines[OrderID],Orders[[#This Row],[OrderID]],OrderLines[Category],"Beverage")&gt;0</f>
        <v>0</v>
      </c>
      <c r="I150">
        <f>SUMIFS(OrderLines[Revenue],OrderLines[OrderID],Orders[[#This Row],[OrderID]])</f>
        <v>286.22400000000005</v>
      </c>
      <c r="J150" t="str">
        <f>IF(AND(COUNTIFS(OrderLines[OrderID],Orders[[#This Row],[OrderID]],OrderLines[Category],"Hot Meal")&gt;0,COUNTIFS(OrderLines[OrderID],Orders[[#This Row],[OrderID]],OrderLines[Category],"Beverage")&gt;0),"Combo","Single")</f>
        <v>Single</v>
      </c>
      <c r="K150" s="17" t="str">
        <f>IF(SUMPRODUCT((OrderLines[OrderID]=Orders[[#This Row],[OrderID]])*OrderLines[Qty]*OrderLines[UnitPrice])*Orders[[#This Row],[DiscountPct]]&gt;40,"HighDisc","OK")</f>
        <v>OK</v>
      </c>
      <c r="L150" s="11">
        <f>SUMIFS(OrderLines[Revenue],OrderLines[OrderID],Orders[[#This Row],[OrderID]])-SUMIFS(OrderLines[FoodCost],OrderLines[OrderID],Orders[[#This Row],[OrderID]])</f>
        <v>154.19400000000005</v>
      </c>
      <c r="M150" s="5">
        <f>Orders[[#This Row],[GrossProfit]]/Orders[[#This Row],[OrderTotal]]</f>
        <v>0.5387179272178434</v>
      </c>
      <c r="N150" s="17" t="b">
        <f>COUNTIFS(OrderLines[OrderID],Orders[[#This Row],[OrderID]],OrderLines[Category],"Hot Meal")&gt;0</f>
        <v>1</v>
      </c>
      <c r="O150" s="17" t="b">
        <f>COUNTIFS(OrderLines[OrderID],Orders[[#This Row],[OrderID]],OrderLines[Category],"Snack")&gt;0</f>
        <v>1</v>
      </c>
      <c r="P150" s="17" t="b">
        <f>COUNTIFS(OrderLines[OrderID],Orders[[#This Row],[OrderID]],OrderLines[Category],"Dessert")&gt;0</f>
        <v>0</v>
      </c>
      <c r="Q150" s="11">
        <f>Orders[[#This Row],[OrderTotal]]-Orders[[#This Row],[GrossProfit]]</f>
        <v>132.03</v>
      </c>
    </row>
    <row r="151" spans="1:17" x14ac:dyDescent="0.25">
      <c r="A151" t="s">
        <v>187</v>
      </c>
      <c r="B151" s="1">
        <v>45895.096284722233</v>
      </c>
      <c r="C151" t="s">
        <v>9</v>
      </c>
      <c r="D151" t="s">
        <v>28</v>
      </c>
      <c r="E151" t="s">
        <v>11</v>
      </c>
      <c r="F151" t="s">
        <v>12</v>
      </c>
      <c r="G151" s="5">
        <v>0.09</v>
      </c>
      <c r="H151" t="b">
        <f>COUNTIFS(OrderLines[OrderID],Orders[[#This Row],[OrderID]],OrderLines[Category],"Beverage")&gt;0</f>
        <v>0</v>
      </c>
      <c r="I151">
        <f>SUMIFS(OrderLines[Revenue],OrderLines[OrderID],Orders[[#This Row],[OrderID]])</f>
        <v>741.97760000000017</v>
      </c>
      <c r="J151" t="str">
        <f>IF(AND(COUNTIFS(OrderLines[OrderID],Orders[[#This Row],[OrderID]],OrderLines[Category],"Hot Meal")&gt;0,COUNTIFS(OrderLines[OrderID],Orders[[#This Row],[OrderID]],OrderLines[Category],"Beverage")&gt;0),"Combo","Single")</f>
        <v>Single</v>
      </c>
      <c r="K151" s="17" t="str">
        <f>IF(SUMPRODUCT((OrderLines[OrderID]=Orders[[#This Row],[OrderID]])*OrderLines[Qty]*OrderLines[UnitPrice])*Orders[[#This Row],[DiscountPct]]&gt;40,"HighDisc","OK")</f>
        <v>HighDisc</v>
      </c>
      <c r="L151" s="11">
        <f>SUMIFS(OrderLines[Revenue],OrderLines[OrderID],Orders[[#This Row],[OrderID]])-SUMIFS(OrderLines[FoodCost],OrderLines[OrderID],Orders[[#This Row],[OrderID]])</f>
        <v>385.53760000000023</v>
      </c>
      <c r="M151" s="5">
        <f>Orders[[#This Row],[GrossProfit]]/Orders[[#This Row],[OrderTotal]]</f>
        <v>0.51960813911363379</v>
      </c>
      <c r="N151" s="17" t="b">
        <f>COUNTIFS(OrderLines[OrderID],Orders[[#This Row],[OrderID]],OrderLines[Category],"Hot Meal")&gt;0</f>
        <v>1</v>
      </c>
      <c r="O151" s="17" t="b">
        <f>COUNTIFS(OrderLines[OrderID],Orders[[#This Row],[OrderID]],OrderLines[Category],"Snack")&gt;0</f>
        <v>0</v>
      </c>
      <c r="P151" s="17" t="b">
        <f>COUNTIFS(OrderLines[OrderID],Orders[[#This Row],[OrderID]],OrderLines[Category],"Dessert")&gt;0</f>
        <v>0</v>
      </c>
      <c r="Q151" s="11">
        <f>Orders[[#This Row],[OrderTotal]]-Orders[[#This Row],[GrossProfit]]</f>
        <v>356.43999999999994</v>
      </c>
    </row>
    <row r="152" spans="1:17" x14ac:dyDescent="0.25">
      <c r="A152" t="s">
        <v>188</v>
      </c>
      <c r="B152" s="1">
        <v>45895.19803240741</v>
      </c>
      <c r="C152" t="s">
        <v>27</v>
      </c>
      <c r="D152" t="s">
        <v>28</v>
      </c>
      <c r="E152" t="s">
        <v>21</v>
      </c>
      <c r="F152" t="s">
        <v>12</v>
      </c>
      <c r="G152" s="5">
        <v>7.0000000000000007E-2</v>
      </c>
      <c r="H152" t="b">
        <f>COUNTIFS(OrderLines[OrderID],Orders[[#This Row],[OrderID]],OrderLines[Category],"Beverage")&gt;0</f>
        <v>0</v>
      </c>
      <c r="I152">
        <f>SUMIFS(OrderLines[Revenue],OrderLines[OrderID],Orders[[#This Row],[OrderID]])</f>
        <v>1518.4016999999999</v>
      </c>
      <c r="J152" t="str">
        <f>IF(AND(COUNTIFS(OrderLines[OrderID],Orders[[#This Row],[OrderID]],OrderLines[Category],"Hot Meal")&gt;0,COUNTIFS(OrderLines[OrderID],Orders[[#This Row],[OrderID]],OrderLines[Category],"Beverage")&gt;0),"Combo","Single")</f>
        <v>Single</v>
      </c>
      <c r="K152" s="17" t="str">
        <f>IF(SUMPRODUCT((OrderLines[OrderID]=Orders[[#This Row],[OrderID]])*OrderLines[Qty]*OrderLines[UnitPrice])*Orders[[#This Row],[DiscountPct]]&gt;40,"HighDisc","OK")</f>
        <v>HighDisc</v>
      </c>
      <c r="L152" s="11">
        <f>SUMIFS(OrderLines[Revenue],OrderLines[OrderID],Orders[[#This Row],[OrderID]])-SUMIFS(OrderLines[FoodCost],OrderLines[OrderID],Orders[[#This Row],[OrderID]])</f>
        <v>746.96169999999984</v>
      </c>
      <c r="M152" s="5">
        <f>Orders[[#This Row],[GrossProfit]]/Orders[[#This Row],[OrderTotal]]</f>
        <v>0.49193945185914895</v>
      </c>
      <c r="N152" s="17" t="b">
        <f>COUNTIFS(OrderLines[OrderID],Orders[[#This Row],[OrderID]],OrderLines[Category],"Hot Meal")&gt;0</f>
        <v>1</v>
      </c>
      <c r="O152" s="17" t="b">
        <f>COUNTIFS(OrderLines[OrderID],Orders[[#This Row],[OrderID]],OrderLines[Category],"Snack")&gt;0</f>
        <v>0</v>
      </c>
      <c r="P152" s="17" t="b">
        <f>COUNTIFS(OrderLines[OrderID],Orders[[#This Row],[OrderID]],OrderLines[Category],"Dessert")&gt;0</f>
        <v>0</v>
      </c>
      <c r="Q152" s="11">
        <f>Orders[[#This Row],[OrderTotal]]-Orders[[#This Row],[GrossProfit]]</f>
        <v>771.44</v>
      </c>
    </row>
    <row r="153" spans="1:17" x14ac:dyDescent="0.25">
      <c r="A153" t="s">
        <v>189</v>
      </c>
      <c r="B153" s="1">
        <v>45882.186215277783</v>
      </c>
      <c r="C153" t="s">
        <v>15</v>
      </c>
      <c r="D153" t="s">
        <v>28</v>
      </c>
      <c r="E153" t="s">
        <v>11</v>
      </c>
      <c r="F153" t="s">
        <v>12</v>
      </c>
      <c r="G153" s="5">
        <v>0.01</v>
      </c>
      <c r="H153" t="b">
        <f>COUNTIFS(OrderLines[OrderID],Orders[[#This Row],[OrderID]],OrderLines[Category],"Beverage")&gt;0</f>
        <v>1</v>
      </c>
      <c r="I153">
        <f>SUMIFS(OrderLines[Revenue],OrderLines[OrderID],Orders[[#This Row],[OrderID]])</f>
        <v>235.04579999999999</v>
      </c>
      <c r="J153" t="str">
        <f>IF(AND(COUNTIFS(OrderLines[OrderID],Orders[[#This Row],[OrderID]],OrderLines[Category],"Hot Meal")&gt;0,COUNTIFS(OrderLines[OrderID],Orders[[#This Row],[OrderID]],OrderLines[Category],"Beverage")&gt;0),"Combo","Single")</f>
        <v>Combo</v>
      </c>
      <c r="K153" s="17" t="str">
        <f>IF(SUMPRODUCT((OrderLines[OrderID]=Orders[[#This Row],[OrderID]])*OrderLines[Qty]*OrderLines[UnitPrice])*Orders[[#This Row],[DiscountPct]]&gt;40,"HighDisc","OK")</f>
        <v>OK</v>
      </c>
      <c r="L153" s="11">
        <f>SUMIFS(OrderLines[Revenue],OrderLines[OrderID],Orders[[#This Row],[OrderID]])-SUMIFS(OrderLines[FoodCost],OrderLines[OrderID],Orders[[#This Row],[OrderID]])</f>
        <v>111.58579999999998</v>
      </c>
      <c r="M153" s="5">
        <f>Orders[[#This Row],[GrossProfit]]/Orders[[#This Row],[OrderTotal]]</f>
        <v>0.47474066756351307</v>
      </c>
      <c r="N153" s="17" t="b">
        <f>COUNTIFS(OrderLines[OrderID],Orders[[#This Row],[OrderID]],OrderLines[Category],"Hot Meal")&gt;0</f>
        <v>1</v>
      </c>
      <c r="O153" s="17" t="b">
        <f>COUNTIFS(OrderLines[OrderID],Orders[[#This Row],[OrderID]],OrderLines[Category],"Snack")&gt;0</f>
        <v>0</v>
      </c>
      <c r="P153" s="17" t="b">
        <f>COUNTIFS(OrderLines[OrderID],Orders[[#This Row],[OrderID]],OrderLines[Category],"Dessert")&gt;0</f>
        <v>0</v>
      </c>
      <c r="Q153" s="11">
        <f>Orders[[#This Row],[OrderTotal]]-Orders[[#This Row],[GrossProfit]]</f>
        <v>123.46000000000001</v>
      </c>
    </row>
    <row r="154" spans="1:17" x14ac:dyDescent="0.25">
      <c r="A154" t="s">
        <v>190</v>
      </c>
      <c r="B154" s="1">
        <v>45886.991828703707</v>
      </c>
      <c r="C154" t="s">
        <v>27</v>
      </c>
      <c r="D154" t="s">
        <v>16</v>
      </c>
      <c r="E154" t="s">
        <v>21</v>
      </c>
      <c r="F154" t="s">
        <v>18</v>
      </c>
      <c r="G154" s="5">
        <v>7.0000000000000007E-2</v>
      </c>
      <c r="H154" t="b">
        <f>COUNTIFS(OrderLines[OrderID],Orders[[#This Row],[OrderID]],OrderLines[Category],"Beverage")&gt;0</f>
        <v>1</v>
      </c>
      <c r="I154">
        <f>SUMIFS(OrderLines[Revenue],OrderLines[OrderID],Orders[[#This Row],[OrderID]])</f>
        <v>71.582099999999997</v>
      </c>
      <c r="J154" t="str">
        <f>IF(AND(COUNTIFS(OrderLines[OrderID],Orders[[#This Row],[OrderID]],OrderLines[Category],"Hot Meal")&gt;0,COUNTIFS(OrderLines[OrderID],Orders[[#This Row],[OrderID]],OrderLines[Category],"Beverage")&gt;0),"Combo","Single")</f>
        <v>Single</v>
      </c>
      <c r="K154" s="17" t="str">
        <f>IF(SUMPRODUCT((OrderLines[OrderID]=Orders[[#This Row],[OrderID]])*OrderLines[Qty]*OrderLines[UnitPrice])*Orders[[#This Row],[DiscountPct]]&gt;40,"HighDisc","OK")</f>
        <v>OK</v>
      </c>
      <c r="L154" s="11">
        <f>SUMIFS(OrderLines[Revenue],OrderLines[OrderID],Orders[[#This Row],[OrderID]])-SUMIFS(OrderLines[FoodCost],OrderLines[OrderID],Orders[[#This Row],[OrderID]])</f>
        <v>35.802099999999996</v>
      </c>
      <c r="M154" s="5">
        <f>Orders[[#This Row],[GrossProfit]]/Orders[[#This Row],[OrderTotal]]</f>
        <v>0.5001543682009888</v>
      </c>
      <c r="N154" s="17" t="b">
        <f>COUNTIFS(OrderLines[OrderID],Orders[[#This Row],[OrderID]],OrderLines[Category],"Hot Meal")&gt;0</f>
        <v>0</v>
      </c>
      <c r="O154" s="17" t="b">
        <f>COUNTIFS(OrderLines[OrderID],Orders[[#This Row],[OrderID]],OrderLines[Category],"Snack")&gt;0</f>
        <v>0</v>
      </c>
      <c r="P154" s="17" t="b">
        <f>COUNTIFS(OrderLines[OrderID],Orders[[#This Row],[OrderID]],OrderLines[Category],"Dessert")&gt;0</f>
        <v>0</v>
      </c>
      <c r="Q154" s="11">
        <f>Orders[[#This Row],[OrderTotal]]-Orders[[#This Row],[GrossProfit]]</f>
        <v>35.78</v>
      </c>
    </row>
    <row r="155" spans="1:17" x14ac:dyDescent="0.25">
      <c r="A155" t="s">
        <v>191</v>
      </c>
      <c r="B155" s="1">
        <v>45871.611030092587</v>
      </c>
      <c r="C155" t="s">
        <v>15</v>
      </c>
      <c r="D155" t="s">
        <v>10</v>
      </c>
      <c r="E155" t="s">
        <v>17</v>
      </c>
      <c r="F155" t="s">
        <v>22</v>
      </c>
      <c r="G155" s="5">
        <v>0.08</v>
      </c>
      <c r="H155" t="b">
        <f>COUNTIFS(OrderLines[OrderID],Orders[[#This Row],[OrderID]],OrderLines[Category],"Beverage")&gt;0</f>
        <v>1</v>
      </c>
      <c r="I155">
        <f>SUMIFS(OrderLines[Revenue],OrderLines[OrderID],Orders[[#This Row],[OrderID]])</f>
        <v>343.7396</v>
      </c>
      <c r="J155" t="str">
        <f>IF(AND(COUNTIFS(OrderLines[OrderID],Orders[[#This Row],[OrderID]],OrderLines[Category],"Hot Meal")&gt;0,COUNTIFS(OrderLines[OrderID],Orders[[#This Row],[OrderID]],OrderLines[Category],"Beverage")&gt;0),"Combo","Single")</f>
        <v>Single</v>
      </c>
      <c r="K155" s="17" t="str">
        <f>IF(SUMPRODUCT((OrderLines[OrderID]=Orders[[#This Row],[OrderID]])*OrderLines[Qty]*OrderLines[UnitPrice])*Orders[[#This Row],[DiscountPct]]&gt;40,"HighDisc","OK")</f>
        <v>OK</v>
      </c>
      <c r="L155" s="11">
        <f>SUMIFS(OrderLines[Revenue],OrderLines[OrderID],Orders[[#This Row],[OrderID]])-SUMIFS(OrderLines[FoodCost],OrderLines[OrderID],Orders[[#This Row],[OrderID]])</f>
        <v>183.56960000000001</v>
      </c>
      <c r="M155" s="5">
        <f>Orders[[#This Row],[GrossProfit]]/Orders[[#This Row],[OrderTotal]]</f>
        <v>0.53403681158644511</v>
      </c>
      <c r="N155" s="17" t="b">
        <f>COUNTIFS(OrderLines[OrderID],Orders[[#This Row],[OrderID]],OrderLines[Category],"Hot Meal")&gt;0</f>
        <v>0</v>
      </c>
      <c r="O155" s="17" t="b">
        <f>COUNTIFS(OrderLines[OrderID],Orders[[#This Row],[OrderID]],OrderLines[Category],"Snack")&gt;0</f>
        <v>1</v>
      </c>
      <c r="P155" s="17" t="b">
        <f>COUNTIFS(OrderLines[OrderID],Orders[[#This Row],[OrderID]],OrderLines[Category],"Dessert")&gt;0</f>
        <v>1</v>
      </c>
      <c r="Q155" s="11">
        <f>Orders[[#This Row],[OrderTotal]]-Orders[[#This Row],[GrossProfit]]</f>
        <v>160.16999999999999</v>
      </c>
    </row>
    <row r="156" spans="1:17" x14ac:dyDescent="0.25">
      <c r="A156" t="s">
        <v>192</v>
      </c>
      <c r="B156" s="1">
        <v>45871.270752314813</v>
      </c>
      <c r="C156" t="s">
        <v>15</v>
      </c>
      <c r="D156" t="s">
        <v>10</v>
      </c>
      <c r="E156" t="s">
        <v>21</v>
      </c>
      <c r="F156" t="s">
        <v>12</v>
      </c>
      <c r="G156" s="5">
        <v>0.02</v>
      </c>
      <c r="H156" t="b">
        <f>COUNTIFS(OrderLines[OrderID],Orders[[#This Row],[OrderID]],OrderLines[Category],"Beverage")&gt;0</f>
        <v>0</v>
      </c>
      <c r="I156">
        <f>SUMIFS(OrderLines[Revenue],OrderLines[OrderID],Orders[[#This Row],[OrderID]])</f>
        <v>791.97720000000004</v>
      </c>
      <c r="J156" t="str">
        <f>IF(AND(COUNTIFS(OrderLines[OrderID],Orders[[#This Row],[OrderID]],OrderLines[Category],"Hot Meal")&gt;0,COUNTIFS(OrderLines[OrderID],Orders[[#This Row],[OrderID]],OrderLines[Category],"Beverage")&gt;0),"Combo","Single")</f>
        <v>Single</v>
      </c>
      <c r="K156" s="17" t="str">
        <f>IF(SUMPRODUCT((OrderLines[OrderID]=Orders[[#This Row],[OrderID]])*OrderLines[Qty]*OrderLines[UnitPrice])*Orders[[#This Row],[DiscountPct]]&gt;40,"HighDisc","OK")</f>
        <v>OK</v>
      </c>
      <c r="L156" s="11">
        <f>SUMIFS(OrderLines[Revenue],OrderLines[OrderID],Orders[[#This Row],[OrderID]])-SUMIFS(OrderLines[FoodCost],OrderLines[OrderID],Orders[[#This Row],[OrderID]])</f>
        <v>411.93720000000008</v>
      </c>
      <c r="M156" s="5">
        <f>Orders[[#This Row],[GrossProfit]]/Orders[[#This Row],[OrderTotal]]</f>
        <v>0.52013770093381484</v>
      </c>
      <c r="N156" s="17" t="b">
        <f>COUNTIFS(OrderLines[OrderID],Orders[[#This Row],[OrderID]],OrderLines[Category],"Hot Meal")&gt;0</f>
        <v>1</v>
      </c>
      <c r="O156" s="17" t="b">
        <f>COUNTIFS(OrderLines[OrderID],Orders[[#This Row],[OrderID]],OrderLines[Category],"Snack")&gt;0</f>
        <v>1</v>
      </c>
      <c r="P156" s="17" t="b">
        <f>COUNTIFS(OrderLines[OrderID],Orders[[#This Row],[OrderID]],OrderLines[Category],"Dessert")&gt;0</f>
        <v>1</v>
      </c>
      <c r="Q156" s="11">
        <f>Orders[[#This Row],[OrderTotal]]-Orders[[#This Row],[GrossProfit]]</f>
        <v>380.03999999999996</v>
      </c>
    </row>
    <row r="157" spans="1:17" x14ac:dyDescent="0.25">
      <c r="A157" t="s">
        <v>193</v>
      </c>
      <c r="B157" s="1">
        <v>45878.130046296297</v>
      </c>
      <c r="C157" t="s">
        <v>9</v>
      </c>
      <c r="D157" t="s">
        <v>28</v>
      </c>
      <c r="E157" t="s">
        <v>21</v>
      </c>
      <c r="F157" t="s">
        <v>12</v>
      </c>
      <c r="G157" s="5">
        <v>7.0000000000000007E-2</v>
      </c>
      <c r="H157" t="b">
        <f>COUNTIFS(OrderLines[OrderID],Orders[[#This Row],[OrderID]],OrderLines[Category],"Beverage")&gt;0</f>
        <v>1</v>
      </c>
      <c r="I157">
        <f>SUMIFS(OrderLines[Revenue],OrderLines[OrderID],Orders[[#This Row],[OrderID]])</f>
        <v>939.76499999999999</v>
      </c>
      <c r="J157" t="str">
        <f>IF(AND(COUNTIFS(OrderLines[OrderID],Orders[[#This Row],[OrderID]],OrderLines[Category],"Hot Meal")&gt;0,COUNTIFS(OrderLines[OrderID],Orders[[#This Row],[OrderID]],OrderLines[Category],"Beverage")&gt;0),"Combo","Single")</f>
        <v>Combo</v>
      </c>
      <c r="K157" s="17" t="str">
        <f>IF(SUMPRODUCT((OrderLines[OrderID]=Orders[[#This Row],[OrderID]])*OrderLines[Qty]*OrderLines[UnitPrice])*Orders[[#This Row],[DiscountPct]]&gt;40,"HighDisc","OK")</f>
        <v>HighDisc</v>
      </c>
      <c r="L157" s="11">
        <f>SUMIFS(OrderLines[Revenue],OrderLines[OrderID],Orders[[#This Row],[OrderID]])-SUMIFS(OrderLines[FoodCost],OrderLines[OrderID],Orders[[#This Row],[OrderID]])</f>
        <v>513.06500000000005</v>
      </c>
      <c r="M157" s="5">
        <f>Orders[[#This Row],[GrossProfit]]/Orders[[#This Row],[OrderTotal]]</f>
        <v>0.54595031736657573</v>
      </c>
      <c r="N157" s="17" t="b">
        <f>COUNTIFS(OrderLines[OrderID],Orders[[#This Row],[OrderID]],OrderLines[Category],"Hot Meal")&gt;0</f>
        <v>1</v>
      </c>
      <c r="O157" s="17" t="b">
        <f>COUNTIFS(OrderLines[OrderID],Orders[[#This Row],[OrderID]],OrderLines[Category],"Snack")&gt;0</f>
        <v>1</v>
      </c>
      <c r="P157" s="17" t="b">
        <f>COUNTIFS(OrderLines[OrderID],Orders[[#This Row],[OrderID]],OrderLines[Category],"Dessert")&gt;0</f>
        <v>1</v>
      </c>
      <c r="Q157" s="11">
        <f>Orders[[#This Row],[OrderTotal]]-Orders[[#This Row],[GrossProfit]]</f>
        <v>426.69999999999993</v>
      </c>
    </row>
    <row r="158" spans="1:17" x14ac:dyDescent="0.25">
      <c r="A158" t="s">
        <v>194</v>
      </c>
      <c r="B158" s="1">
        <v>45869.786585648151</v>
      </c>
      <c r="C158" t="s">
        <v>15</v>
      </c>
      <c r="D158" t="s">
        <v>16</v>
      </c>
      <c r="E158" t="s">
        <v>17</v>
      </c>
      <c r="F158" t="s">
        <v>18</v>
      </c>
      <c r="G158" s="5">
        <v>0.06</v>
      </c>
      <c r="H158" t="b">
        <f>COUNTIFS(OrderLines[OrderID],Orders[[#This Row],[OrderID]],OrderLines[Category],"Beverage")&gt;0</f>
        <v>0</v>
      </c>
      <c r="I158">
        <f>SUMIFS(OrderLines[Revenue],OrderLines[OrderID],Orders[[#This Row],[OrderID]])</f>
        <v>860.27859999999998</v>
      </c>
      <c r="J158" t="str">
        <f>IF(AND(COUNTIFS(OrderLines[OrderID],Orders[[#This Row],[OrderID]],OrderLines[Category],"Hot Meal")&gt;0,COUNTIFS(OrderLines[OrderID],Orders[[#This Row],[OrderID]],OrderLines[Category],"Beverage")&gt;0),"Combo","Single")</f>
        <v>Single</v>
      </c>
      <c r="K158" s="17" t="str">
        <f>IF(SUMPRODUCT((OrderLines[OrderID]=Orders[[#This Row],[OrderID]])*OrderLines[Qty]*OrderLines[UnitPrice])*Orders[[#This Row],[DiscountPct]]&gt;40,"HighDisc","OK")</f>
        <v>HighDisc</v>
      </c>
      <c r="L158" s="11">
        <f>SUMIFS(OrderLines[Revenue],OrderLines[OrderID],Orders[[#This Row],[OrderID]])-SUMIFS(OrderLines[FoodCost],OrderLines[OrderID],Orders[[#This Row],[OrderID]])</f>
        <v>448.36860000000001</v>
      </c>
      <c r="M158" s="5">
        <f>Orders[[#This Row],[GrossProfit]]/Orders[[#This Row],[OrderTotal]]</f>
        <v>0.52118999589202852</v>
      </c>
      <c r="N158" s="17" t="b">
        <f>COUNTIFS(OrderLines[OrderID],Orders[[#This Row],[OrderID]],OrderLines[Category],"Hot Meal")&gt;0</f>
        <v>1</v>
      </c>
      <c r="O158" s="17" t="b">
        <f>COUNTIFS(OrderLines[OrderID],Orders[[#This Row],[OrderID]],OrderLines[Category],"Snack")&gt;0</f>
        <v>1</v>
      </c>
      <c r="P158" s="17" t="b">
        <f>COUNTIFS(OrderLines[OrderID],Orders[[#This Row],[OrderID]],OrderLines[Category],"Dessert")&gt;0</f>
        <v>1</v>
      </c>
      <c r="Q158" s="11">
        <f>Orders[[#This Row],[OrderTotal]]-Orders[[#This Row],[GrossProfit]]</f>
        <v>411.90999999999997</v>
      </c>
    </row>
    <row r="159" spans="1:17" x14ac:dyDescent="0.25">
      <c r="A159" t="s">
        <v>195</v>
      </c>
      <c r="B159" s="1">
        <v>45889.212337962963</v>
      </c>
      <c r="C159" t="s">
        <v>27</v>
      </c>
      <c r="D159" t="s">
        <v>10</v>
      </c>
      <c r="E159" t="s">
        <v>11</v>
      </c>
      <c r="F159" t="s">
        <v>12</v>
      </c>
      <c r="G159" s="5">
        <v>0.01</v>
      </c>
      <c r="H159" t="b">
        <f>COUNTIFS(OrderLines[OrderID],Orders[[#This Row],[OrderID]],OrderLines[Category],"Beverage")&gt;0</f>
        <v>1</v>
      </c>
      <c r="I159">
        <f>SUMIFS(OrderLines[Revenue],OrderLines[OrderID],Orders[[#This Row],[OrderID]])</f>
        <v>334.40219999999999</v>
      </c>
      <c r="J159" t="str">
        <f>IF(AND(COUNTIFS(OrderLines[OrderID],Orders[[#This Row],[OrderID]],OrderLines[Category],"Hot Meal")&gt;0,COUNTIFS(OrderLines[OrderID],Orders[[#This Row],[OrderID]],OrderLines[Category],"Beverage")&gt;0),"Combo","Single")</f>
        <v>Single</v>
      </c>
      <c r="K159" s="17" t="str">
        <f>IF(SUMPRODUCT((OrderLines[OrderID]=Orders[[#This Row],[OrderID]])*OrderLines[Qty]*OrderLines[UnitPrice])*Orders[[#This Row],[DiscountPct]]&gt;40,"HighDisc","OK")</f>
        <v>OK</v>
      </c>
      <c r="L159" s="11">
        <f>SUMIFS(OrderLines[Revenue],OrderLines[OrderID],Orders[[#This Row],[OrderID]])-SUMIFS(OrderLines[FoodCost],OrderLines[OrderID],Orders[[#This Row],[OrderID]])</f>
        <v>175.53219999999999</v>
      </c>
      <c r="M159" s="5">
        <f>Orders[[#This Row],[GrossProfit]]/Orders[[#This Row],[OrderTotal]]</f>
        <v>0.52491341265099334</v>
      </c>
      <c r="N159" s="17" t="b">
        <f>COUNTIFS(OrderLines[OrderID],Orders[[#This Row],[OrderID]],OrderLines[Category],"Hot Meal")&gt;0</f>
        <v>0</v>
      </c>
      <c r="O159" s="17" t="b">
        <f>COUNTIFS(OrderLines[OrderID],Orders[[#This Row],[OrderID]],OrderLines[Category],"Snack")&gt;0</f>
        <v>1</v>
      </c>
      <c r="P159" s="17" t="b">
        <f>COUNTIFS(OrderLines[OrderID],Orders[[#This Row],[OrderID]],OrderLines[Category],"Dessert")&gt;0</f>
        <v>1</v>
      </c>
      <c r="Q159" s="11">
        <f>Orders[[#This Row],[OrderTotal]]-Orders[[#This Row],[GrossProfit]]</f>
        <v>158.87</v>
      </c>
    </row>
    <row r="160" spans="1:17" x14ac:dyDescent="0.25">
      <c r="A160" t="s">
        <v>196</v>
      </c>
      <c r="B160" s="1">
        <v>45879.372349537043</v>
      </c>
      <c r="C160" t="s">
        <v>27</v>
      </c>
      <c r="D160" t="s">
        <v>28</v>
      </c>
      <c r="E160" t="s">
        <v>11</v>
      </c>
      <c r="F160" t="s">
        <v>12</v>
      </c>
      <c r="G160" s="5">
        <v>7.0000000000000007E-2</v>
      </c>
      <c r="H160" t="b">
        <f>COUNTIFS(OrderLines[OrderID],Orders[[#This Row],[OrderID]],OrderLines[Category],"Beverage")&gt;0</f>
        <v>0</v>
      </c>
      <c r="I160">
        <f>SUMIFS(OrderLines[Revenue],OrderLines[OrderID],Orders[[#This Row],[OrderID]])</f>
        <v>228.86369999999999</v>
      </c>
      <c r="J160" t="str">
        <f>IF(AND(COUNTIFS(OrderLines[OrderID],Orders[[#This Row],[OrderID]],OrderLines[Category],"Hot Meal")&gt;0,COUNTIFS(OrderLines[OrderID],Orders[[#This Row],[OrderID]],OrderLines[Category],"Beverage")&gt;0),"Combo","Single")</f>
        <v>Single</v>
      </c>
      <c r="K160" s="17" t="str">
        <f>IF(SUMPRODUCT((OrderLines[OrderID]=Orders[[#This Row],[OrderID]])*OrderLines[Qty]*OrderLines[UnitPrice])*Orders[[#This Row],[DiscountPct]]&gt;40,"HighDisc","OK")</f>
        <v>OK</v>
      </c>
      <c r="L160" s="11">
        <f>SUMIFS(OrderLines[Revenue],OrderLines[OrderID],Orders[[#This Row],[OrderID]])-SUMIFS(OrderLines[FoodCost],OrderLines[OrderID],Orders[[#This Row],[OrderID]])</f>
        <v>116.7837</v>
      </c>
      <c r="M160" s="5">
        <f>Orders[[#This Row],[GrossProfit]]/Orders[[#This Row],[OrderTotal]]</f>
        <v>0.5102762036967855</v>
      </c>
      <c r="N160" s="17" t="b">
        <f>COUNTIFS(OrderLines[OrderID],Orders[[#This Row],[OrderID]],OrderLines[Category],"Hot Meal")&gt;0</f>
        <v>1</v>
      </c>
      <c r="O160" s="17" t="b">
        <f>COUNTIFS(OrderLines[OrderID],Orders[[#This Row],[OrderID]],OrderLines[Category],"Snack")&gt;0</f>
        <v>0</v>
      </c>
      <c r="P160" s="17" t="b">
        <f>COUNTIFS(OrderLines[OrderID],Orders[[#This Row],[OrderID]],OrderLines[Category],"Dessert")&gt;0</f>
        <v>0</v>
      </c>
      <c r="Q160" s="11">
        <f>Orders[[#This Row],[OrderTotal]]-Orders[[#This Row],[GrossProfit]]</f>
        <v>112.08</v>
      </c>
    </row>
    <row r="161" spans="1:17" x14ac:dyDescent="0.25">
      <c r="A161" t="s">
        <v>197</v>
      </c>
      <c r="B161" s="1">
        <v>45887.648877314823</v>
      </c>
      <c r="C161" t="s">
        <v>9</v>
      </c>
      <c r="D161" t="s">
        <v>16</v>
      </c>
      <c r="E161" t="s">
        <v>17</v>
      </c>
      <c r="F161" t="s">
        <v>22</v>
      </c>
      <c r="G161" s="5">
        <v>0.08</v>
      </c>
      <c r="H161" t="b">
        <f>COUNTIFS(OrderLines[OrderID],Orders[[#This Row],[OrderID]],OrderLines[Category],"Beverage")&gt;0</f>
        <v>0</v>
      </c>
      <c r="I161">
        <f>SUMIFS(OrderLines[Revenue],OrderLines[OrderID],Orders[[#This Row],[OrderID]])</f>
        <v>314.32720000000006</v>
      </c>
      <c r="J161" t="str">
        <f>IF(AND(COUNTIFS(OrderLines[OrderID],Orders[[#This Row],[OrderID]],OrderLines[Category],"Hot Meal")&gt;0,COUNTIFS(OrderLines[OrderID],Orders[[#This Row],[OrderID]],OrderLines[Category],"Beverage")&gt;0),"Combo","Single")</f>
        <v>Single</v>
      </c>
      <c r="K161" s="17" t="str">
        <f>IF(SUMPRODUCT((OrderLines[OrderID]=Orders[[#This Row],[OrderID]])*OrderLines[Qty]*OrderLines[UnitPrice])*Orders[[#This Row],[DiscountPct]]&gt;40,"HighDisc","OK")</f>
        <v>OK</v>
      </c>
      <c r="L161" s="11">
        <f>SUMIFS(OrderLines[Revenue],OrderLines[OrderID],Orders[[#This Row],[OrderID]])-SUMIFS(OrderLines[FoodCost],OrderLines[OrderID],Orders[[#This Row],[OrderID]])</f>
        <v>166.18720000000008</v>
      </c>
      <c r="M161" s="5">
        <f>Orders[[#This Row],[GrossProfit]]/Orders[[#This Row],[OrderTotal]]</f>
        <v>0.52870766513365708</v>
      </c>
      <c r="N161" s="17" t="b">
        <f>COUNTIFS(OrderLines[OrderID],Orders[[#This Row],[OrderID]],OrderLines[Category],"Hot Meal")&gt;0</f>
        <v>1</v>
      </c>
      <c r="O161" s="17" t="b">
        <f>COUNTIFS(OrderLines[OrderID],Orders[[#This Row],[OrderID]],OrderLines[Category],"Snack")&gt;0</f>
        <v>0</v>
      </c>
      <c r="P161" s="17" t="b">
        <f>COUNTIFS(OrderLines[OrderID],Orders[[#This Row],[OrderID]],OrderLines[Category],"Dessert")&gt;0</f>
        <v>0</v>
      </c>
      <c r="Q161" s="11">
        <f>Orders[[#This Row],[OrderTotal]]-Orders[[#This Row],[GrossProfit]]</f>
        <v>148.13999999999999</v>
      </c>
    </row>
    <row r="162" spans="1:17" x14ac:dyDescent="0.25">
      <c r="A162" t="s">
        <v>198</v>
      </c>
      <c r="B162" s="1">
        <v>45865.178587962961</v>
      </c>
      <c r="C162" t="s">
        <v>9</v>
      </c>
      <c r="D162" t="s">
        <v>28</v>
      </c>
      <c r="E162" t="s">
        <v>21</v>
      </c>
      <c r="F162" t="s">
        <v>12</v>
      </c>
      <c r="G162" s="5">
        <v>0.1</v>
      </c>
      <c r="H162" t="b">
        <f>COUNTIFS(OrderLines[OrderID],Orders[[#This Row],[OrderID]],OrderLines[Category],"Beverage")&gt;0</f>
        <v>1</v>
      </c>
      <c r="I162">
        <f>SUMIFS(OrderLines[Revenue],OrderLines[OrderID],Orders[[#This Row],[OrderID]])</f>
        <v>636.94800000000009</v>
      </c>
      <c r="J162" t="str">
        <f>IF(AND(COUNTIFS(OrderLines[OrderID],Orders[[#This Row],[OrderID]],OrderLines[Category],"Hot Meal")&gt;0,COUNTIFS(OrderLines[OrderID],Orders[[#This Row],[OrderID]],OrderLines[Category],"Beverage")&gt;0),"Combo","Single")</f>
        <v>Combo</v>
      </c>
      <c r="K162" s="17" t="str">
        <f>IF(SUMPRODUCT((OrderLines[OrderID]=Orders[[#This Row],[OrderID]])*OrderLines[Qty]*OrderLines[UnitPrice])*Orders[[#This Row],[DiscountPct]]&gt;40,"HighDisc","OK")</f>
        <v>HighDisc</v>
      </c>
      <c r="L162" s="11">
        <f>SUMIFS(OrderLines[Revenue],OrderLines[OrderID],Orders[[#This Row],[OrderID]])-SUMIFS(OrderLines[FoodCost],OrderLines[OrderID],Orders[[#This Row],[OrderID]])</f>
        <v>307.53800000000012</v>
      </c>
      <c r="M162" s="5">
        <f>Orders[[#This Row],[GrossProfit]]/Orders[[#This Row],[OrderTotal]]</f>
        <v>0.48283062353598738</v>
      </c>
      <c r="N162" s="17" t="b">
        <f>COUNTIFS(OrderLines[OrderID],Orders[[#This Row],[OrderID]],OrderLines[Category],"Hot Meal")&gt;0</f>
        <v>1</v>
      </c>
      <c r="O162" s="17" t="b">
        <f>COUNTIFS(OrderLines[OrderID],Orders[[#This Row],[OrderID]],OrderLines[Category],"Snack")&gt;0</f>
        <v>0</v>
      </c>
      <c r="P162" s="17" t="b">
        <f>COUNTIFS(OrderLines[OrderID],Orders[[#This Row],[OrderID]],OrderLines[Category],"Dessert")&gt;0</f>
        <v>1</v>
      </c>
      <c r="Q162" s="11">
        <f>Orders[[#This Row],[OrderTotal]]-Orders[[#This Row],[GrossProfit]]</f>
        <v>329.40999999999997</v>
      </c>
    </row>
    <row r="163" spans="1:17" x14ac:dyDescent="0.25">
      <c r="A163" t="s">
        <v>199</v>
      </c>
      <c r="B163" s="1">
        <v>45886.310844907413</v>
      </c>
      <c r="C163" t="s">
        <v>27</v>
      </c>
      <c r="D163" t="s">
        <v>28</v>
      </c>
      <c r="E163" t="s">
        <v>11</v>
      </c>
      <c r="F163" t="s">
        <v>12</v>
      </c>
      <c r="G163" s="5">
        <v>0.1</v>
      </c>
      <c r="H163" t="b">
        <f>COUNTIFS(OrderLines[OrderID],Orders[[#This Row],[OrderID]],OrderLines[Category],"Beverage")&gt;0</f>
        <v>0</v>
      </c>
      <c r="I163">
        <f>SUMIFS(OrderLines[Revenue],OrderLines[OrderID],Orders[[#This Row],[OrderID]])</f>
        <v>406.53899999999999</v>
      </c>
      <c r="J163" t="str">
        <f>IF(AND(COUNTIFS(OrderLines[OrderID],Orders[[#This Row],[OrderID]],OrderLines[Category],"Hot Meal")&gt;0,COUNTIFS(OrderLines[OrderID],Orders[[#This Row],[OrderID]],OrderLines[Category],"Beverage")&gt;0),"Combo","Single")</f>
        <v>Single</v>
      </c>
      <c r="K163" s="17" t="str">
        <f>IF(SUMPRODUCT((OrderLines[OrderID]=Orders[[#This Row],[OrderID]])*OrderLines[Qty]*OrderLines[UnitPrice])*Orders[[#This Row],[DiscountPct]]&gt;40,"HighDisc","OK")</f>
        <v>HighDisc</v>
      </c>
      <c r="L163" s="11">
        <f>SUMIFS(OrderLines[Revenue],OrderLines[OrderID],Orders[[#This Row],[OrderID]])-SUMIFS(OrderLines[FoodCost],OrderLines[OrderID],Orders[[#This Row],[OrderID]])</f>
        <v>185.22899999999998</v>
      </c>
      <c r="M163" s="5">
        <f>Orders[[#This Row],[GrossProfit]]/Orders[[#This Row],[OrderTotal]]</f>
        <v>0.45562418365765645</v>
      </c>
      <c r="N163" s="17" t="b">
        <f>COUNTIFS(OrderLines[OrderID],Orders[[#This Row],[OrderID]],OrderLines[Category],"Hot Meal")&gt;0</f>
        <v>1</v>
      </c>
      <c r="O163" s="17" t="b">
        <f>COUNTIFS(OrderLines[OrderID],Orders[[#This Row],[OrderID]],OrderLines[Category],"Snack")&gt;0</f>
        <v>1</v>
      </c>
      <c r="P163" s="17" t="b">
        <f>COUNTIFS(OrderLines[OrderID],Orders[[#This Row],[OrderID]],OrderLines[Category],"Dessert")&gt;0</f>
        <v>1</v>
      </c>
      <c r="Q163" s="11">
        <f>Orders[[#This Row],[OrderTotal]]-Orders[[#This Row],[GrossProfit]]</f>
        <v>221.31</v>
      </c>
    </row>
    <row r="164" spans="1:17" x14ac:dyDescent="0.25">
      <c r="A164" t="s">
        <v>200</v>
      </c>
      <c r="B164" s="1">
        <v>45854.62699074074</v>
      </c>
      <c r="C164" t="s">
        <v>15</v>
      </c>
      <c r="D164" t="s">
        <v>10</v>
      </c>
      <c r="E164" t="s">
        <v>17</v>
      </c>
      <c r="F164" t="s">
        <v>22</v>
      </c>
      <c r="G164" s="5">
        <v>0</v>
      </c>
      <c r="H164" t="b">
        <f>COUNTIFS(OrderLines[OrderID],Orders[[#This Row],[OrderID]],OrderLines[Category],"Beverage")&gt;0</f>
        <v>0</v>
      </c>
      <c r="I164">
        <f>SUMIFS(OrderLines[Revenue],OrderLines[OrderID],Orders[[#This Row],[OrderID]])</f>
        <v>633.67000000000007</v>
      </c>
      <c r="J164" t="str">
        <f>IF(AND(COUNTIFS(OrderLines[OrderID],Orders[[#This Row],[OrderID]],OrderLines[Category],"Hot Meal")&gt;0,COUNTIFS(OrderLines[OrderID],Orders[[#This Row],[OrderID]],OrderLines[Category],"Beverage")&gt;0),"Combo","Single")</f>
        <v>Single</v>
      </c>
      <c r="K164" s="17" t="str">
        <f>IF(SUMPRODUCT((OrderLines[OrderID]=Orders[[#This Row],[OrderID]])*OrderLines[Qty]*OrderLines[UnitPrice])*Orders[[#This Row],[DiscountPct]]&gt;40,"HighDisc","OK")</f>
        <v>OK</v>
      </c>
      <c r="L164" s="11">
        <f>SUMIFS(OrderLines[Revenue],OrderLines[OrderID],Orders[[#This Row],[OrderID]])-SUMIFS(OrderLines[FoodCost],OrderLines[OrderID],Orders[[#This Row],[OrderID]])</f>
        <v>344.66000000000008</v>
      </c>
      <c r="M164" s="5">
        <f>Orders[[#This Row],[GrossProfit]]/Orders[[#This Row],[OrderTotal]]</f>
        <v>0.54391086843309611</v>
      </c>
      <c r="N164" s="17" t="b">
        <f>COUNTIFS(OrderLines[OrderID],Orders[[#This Row],[OrderID]],OrderLines[Category],"Hot Meal")&gt;0</f>
        <v>1</v>
      </c>
      <c r="O164" s="17" t="b">
        <f>COUNTIFS(OrderLines[OrderID],Orders[[#This Row],[OrderID]],OrderLines[Category],"Snack")&gt;0</f>
        <v>1</v>
      </c>
      <c r="P164" s="17" t="b">
        <f>COUNTIFS(OrderLines[OrderID],Orders[[#This Row],[OrderID]],OrderLines[Category],"Dessert")&gt;0</f>
        <v>0</v>
      </c>
      <c r="Q164" s="11">
        <f>Orders[[#This Row],[OrderTotal]]-Orders[[#This Row],[GrossProfit]]</f>
        <v>289.01</v>
      </c>
    </row>
    <row r="165" spans="1:17" x14ac:dyDescent="0.25">
      <c r="A165" t="s">
        <v>201</v>
      </c>
      <c r="B165" s="1">
        <v>45878.861956018518</v>
      </c>
      <c r="C165" t="s">
        <v>27</v>
      </c>
      <c r="D165" t="s">
        <v>28</v>
      </c>
      <c r="E165" t="s">
        <v>17</v>
      </c>
      <c r="F165" t="s">
        <v>18</v>
      </c>
      <c r="G165" s="5">
        <v>0.02</v>
      </c>
      <c r="H165" t="b">
        <f>COUNTIFS(OrderLines[OrderID],Orders[[#This Row],[OrderID]],OrderLines[Category],"Beverage")&gt;0</f>
        <v>0</v>
      </c>
      <c r="I165">
        <f>SUMIFS(OrderLines[Revenue],OrderLines[OrderID],Orders[[#This Row],[OrderID]])</f>
        <v>194.18700000000001</v>
      </c>
      <c r="J165" t="str">
        <f>IF(AND(COUNTIFS(OrderLines[OrderID],Orders[[#This Row],[OrderID]],OrderLines[Category],"Hot Meal")&gt;0,COUNTIFS(OrderLines[OrderID],Orders[[#This Row],[OrderID]],OrderLines[Category],"Beverage")&gt;0),"Combo","Single")</f>
        <v>Single</v>
      </c>
      <c r="K165" s="17" t="str">
        <f>IF(SUMPRODUCT((OrderLines[OrderID]=Orders[[#This Row],[OrderID]])*OrderLines[Qty]*OrderLines[UnitPrice])*Orders[[#This Row],[DiscountPct]]&gt;40,"HighDisc","OK")</f>
        <v>OK</v>
      </c>
      <c r="L165" s="11">
        <f>SUMIFS(OrderLines[Revenue],OrderLines[OrderID],Orders[[#This Row],[OrderID]])-SUMIFS(OrderLines[FoodCost],OrderLines[OrderID],Orders[[#This Row],[OrderID]])</f>
        <v>93.427000000000007</v>
      </c>
      <c r="M165" s="5">
        <f>Orders[[#This Row],[GrossProfit]]/Orders[[#This Row],[OrderTotal]]</f>
        <v>0.48111871546498991</v>
      </c>
      <c r="N165" s="17" t="b">
        <f>COUNTIFS(OrderLines[OrderID],Orders[[#This Row],[OrderID]],OrderLines[Category],"Hot Meal")&gt;0</f>
        <v>0</v>
      </c>
      <c r="O165" s="17" t="b">
        <f>COUNTIFS(OrderLines[OrderID],Orders[[#This Row],[OrderID]],OrderLines[Category],"Snack")&gt;0</f>
        <v>1</v>
      </c>
      <c r="P165" s="17" t="b">
        <f>COUNTIFS(OrderLines[OrderID],Orders[[#This Row],[OrderID]],OrderLines[Category],"Dessert")&gt;0</f>
        <v>1</v>
      </c>
      <c r="Q165" s="11">
        <f>Orders[[#This Row],[OrderTotal]]-Orders[[#This Row],[GrossProfit]]</f>
        <v>100.76</v>
      </c>
    </row>
    <row r="166" spans="1:17" x14ac:dyDescent="0.25">
      <c r="A166" t="s">
        <v>202</v>
      </c>
      <c r="B166" s="1">
        <v>45850.654826388891</v>
      </c>
      <c r="C166" t="s">
        <v>9</v>
      </c>
      <c r="D166" t="s">
        <v>28</v>
      </c>
      <c r="E166" t="s">
        <v>21</v>
      </c>
      <c r="F166" t="s">
        <v>22</v>
      </c>
      <c r="G166" s="5">
        <v>0.08</v>
      </c>
      <c r="H166" t="b">
        <f>COUNTIFS(OrderLines[OrderID],Orders[[#This Row],[OrderID]],OrderLines[Category],"Beverage")&gt;0</f>
        <v>1</v>
      </c>
      <c r="I166">
        <f>SUMIFS(OrderLines[Revenue],OrderLines[OrderID],Orders[[#This Row],[OrderID]])</f>
        <v>146.00400000000002</v>
      </c>
      <c r="J166" t="str">
        <f>IF(AND(COUNTIFS(OrderLines[OrderID],Orders[[#This Row],[OrderID]],OrderLines[Category],"Hot Meal")&gt;0,COUNTIFS(OrderLines[OrderID],Orders[[#This Row],[OrderID]],OrderLines[Category],"Beverage")&gt;0),"Combo","Single")</f>
        <v>Single</v>
      </c>
      <c r="K166" s="17" t="str">
        <f>IF(SUMPRODUCT((OrderLines[OrderID]=Orders[[#This Row],[OrderID]])*OrderLines[Qty]*OrderLines[UnitPrice])*Orders[[#This Row],[DiscountPct]]&gt;40,"HighDisc","OK")</f>
        <v>OK</v>
      </c>
      <c r="L166" s="11">
        <f>SUMIFS(OrderLines[Revenue],OrderLines[OrderID],Orders[[#This Row],[OrderID]])-SUMIFS(OrderLines[FoodCost],OrderLines[OrderID],Orders[[#This Row],[OrderID]])</f>
        <v>77.134000000000015</v>
      </c>
      <c r="M166" s="5">
        <f>Orders[[#This Row],[GrossProfit]]/Orders[[#This Row],[OrderTotal]]</f>
        <v>0.52830059450426015</v>
      </c>
      <c r="N166" s="17" t="b">
        <f>COUNTIFS(OrderLines[OrderID],Orders[[#This Row],[OrderID]],OrderLines[Category],"Hot Meal")&gt;0</f>
        <v>0</v>
      </c>
      <c r="O166" s="17" t="b">
        <f>COUNTIFS(OrderLines[OrderID],Orders[[#This Row],[OrderID]],OrderLines[Category],"Snack")&gt;0</f>
        <v>1</v>
      </c>
      <c r="P166" s="17" t="b">
        <f>COUNTIFS(OrderLines[OrderID],Orders[[#This Row],[OrderID]],OrderLines[Category],"Dessert")&gt;0</f>
        <v>0</v>
      </c>
      <c r="Q166" s="11">
        <f>Orders[[#This Row],[OrderTotal]]-Orders[[#This Row],[GrossProfit]]</f>
        <v>68.87</v>
      </c>
    </row>
    <row r="167" spans="1:17" x14ac:dyDescent="0.25">
      <c r="A167" t="s">
        <v>203</v>
      </c>
      <c r="B167" s="1">
        <v>45888.6565625</v>
      </c>
      <c r="C167" t="s">
        <v>9</v>
      </c>
      <c r="D167" t="s">
        <v>16</v>
      </c>
      <c r="E167" t="s">
        <v>21</v>
      </c>
      <c r="F167" t="s">
        <v>22</v>
      </c>
      <c r="G167" s="5">
        <v>0.08</v>
      </c>
      <c r="H167" t="b">
        <f>COUNTIFS(OrderLines[OrderID],Orders[[#This Row],[OrderID]],OrderLines[Category],"Beverage")&gt;0</f>
        <v>1</v>
      </c>
      <c r="I167">
        <f>SUMIFS(OrderLines[Revenue],OrderLines[OrderID],Orders[[#This Row],[OrderID]])</f>
        <v>91.024799999999999</v>
      </c>
      <c r="J167" t="str">
        <f>IF(AND(COUNTIFS(OrderLines[OrderID],Orders[[#This Row],[OrderID]],OrderLines[Category],"Hot Meal")&gt;0,COUNTIFS(OrderLines[OrderID],Orders[[#This Row],[OrderID]],OrderLines[Category],"Beverage")&gt;0),"Combo","Single")</f>
        <v>Single</v>
      </c>
      <c r="K167" s="17" t="str">
        <f>IF(SUMPRODUCT((OrderLines[OrderID]=Orders[[#This Row],[OrderID]])*OrderLines[Qty]*OrderLines[UnitPrice])*Orders[[#This Row],[DiscountPct]]&gt;40,"HighDisc","OK")</f>
        <v>OK</v>
      </c>
      <c r="L167" s="11">
        <f>SUMIFS(OrderLines[Revenue],OrderLines[OrderID],Orders[[#This Row],[OrderID]])-SUMIFS(OrderLines[FoodCost],OrderLines[OrderID],Orders[[#This Row],[OrderID]])</f>
        <v>55.504800000000003</v>
      </c>
      <c r="M167" s="5">
        <f>Orders[[#This Row],[GrossProfit]]/Orders[[#This Row],[OrderTotal]]</f>
        <v>0.60977667624647358</v>
      </c>
      <c r="N167" s="17" t="b">
        <f>COUNTIFS(OrderLines[OrderID],Orders[[#This Row],[OrderID]],OrderLines[Category],"Hot Meal")&gt;0</f>
        <v>0</v>
      </c>
      <c r="O167" s="17" t="b">
        <f>COUNTIFS(OrderLines[OrderID],Orders[[#This Row],[OrderID]],OrderLines[Category],"Snack")&gt;0</f>
        <v>0</v>
      </c>
      <c r="P167" s="17" t="b">
        <f>COUNTIFS(OrderLines[OrderID],Orders[[#This Row],[OrderID]],OrderLines[Category],"Dessert")&gt;0</f>
        <v>0</v>
      </c>
      <c r="Q167" s="11">
        <f>Orders[[#This Row],[OrderTotal]]-Orders[[#This Row],[GrossProfit]]</f>
        <v>35.519999999999996</v>
      </c>
    </row>
    <row r="168" spans="1:17" x14ac:dyDescent="0.25">
      <c r="A168" t="s">
        <v>204</v>
      </c>
      <c r="B168" s="1">
        <v>45885.097986111112</v>
      </c>
      <c r="C168" t="s">
        <v>27</v>
      </c>
      <c r="D168" t="s">
        <v>16</v>
      </c>
      <c r="E168" t="s">
        <v>11</v>
      </c>
      <c r="F168" t="s">
        <v>12</v>
      </c>
      <c r="G168" s="5">
        <v>0.08</v>
      </c>
      <c r="H168" t="b">
        <f>COUNTIFS(OrderLines[OrderID],Orders[[#This Row],[OrderID]],OrderLines[Category],"Beverage")&gt;0</f>
        <v>1</v>
      </c>
      <c r="I168">
        <f>SUMIFS(OrderLines[Revenue],OrderLines[OrderID],Orders[[#This Row],[OrderID]])</f>
        <v>37.002400000000002</v>
      </c>
      <c r="J168" t="str">
        <f>IF(AND(COUNTIFS(OrderLines[OrderID],Orders[[#This Row],[OrderID]],OrderLines[Category],"Hot Meal")&gt;0,COUNTIFS(OrderLines[OrderID],Orders[[#This Row],[OrderID]],OrderLines[Category],"Beverage")&gt;0),"Combo","Single")</f>
        <v>Single</v>
      </c>
      <c r="K168" s="17" t="str">
        <f>IF(SUMPRODUCT((OrderLines[OrderID]=Orders[[#This Row],[OrderID]])*OrderLines[Qty]*OrderLines[UnitPrice])*Orders[[#This Row],[DiscountPct]]&gt;40,"HighDisc","OK")</f>
        <v>OK</v>
      </c>
      <c r="L168" s="11">
        <f>SUMIFS(OrderLines[Revenue],OrderLines[OrderID],Orders[[#This Row],[OrderID]])-SUMIFS(OrderLines[FoodCost],OrderLines[OrderID],Orders[[#This Row],[OrderID]])</f>
        <v>21.002400000000002</v>
      </c>
      <c r="M168" s="5">
        <f>Orders[[#This Row],[GrossProfit]]/Orders[[#This Row],[OrderTotal]]</f>
        <v>0.5675956154195404</v>
      </c>
      <c r="N168" s="17" t="b">
        <f>COUNTIFS(OrderLines[OrderID],Orders[[#This Row],[OrderID]],OrderLines[Category],"Hot Meal")&gt;0</f>
        <v>0</v>
      </c>
      <c r="O168" s="17" t="b">
        <f>COUNTIFS(OrderLines[OrderID],Orders[[#This Row],[OrderID]],OrderLines[Category],"Snack")&gt;0</f>
        <v>0</v>
      </c>
      <c r="P168" s="17" t="b">
        <f>COUNTIFS(OrderLines[OrderID],Orders[[#This Row],[OrderID]],OrderLines[Category],"Dessert")&gt;0</f>
        <v>0</v>
      </c>
      <c r="Q168" s="11">
        <f>Orders[[#This Row],[OrderTotal]]-Orders[[#This Row],[GrossProfit]]</f>
        <v>16</v>
      </c>
    </row>
    <row r="169" spans="1:17" x14ac:dyDescent="0.25">
      <c r="A169" t="s">
        <v>205</v>
      </c>
      <c r="B169" s="1">
        <v>45876.4925</v>
      </c>
      <c r="C169" t="s">
        <v>27</v>
      </c>
      <c r="D169" t="s">
        <v>10</v>
      </c>
      <c r="E169" t="s">
        <v>11</v>
      </c>
      <c r="F169" t="s">
        <v>22</v>
      </c>
      <c r="G169" s="5">
        <v>0.21</v>
      </c>
      <c r="H169" t="b">
        <f>COUNTIFS(OrderLines[OrderID],Orders[[#This Row],[OrderID]],OrderLines[Category],"Beverage")&gt;0</f>
        <v>0</v>
      </c>
      <c r="I169">
        <f>SUMIFS(OrderLines[Revenue],OrderLines[OrderID],Orders[[#This Row],[OrderID]])</f>
        <v>331.4366</v>
      </c>
      <c r="J169" t="str">
        <f>IF(AND(COUNTIFS(OrderLines[OrderID],Orders[[#This Row],[OrderID]],OrderLines[Category],"Hot Meal")&gt;0,COUNTIFS(OrderLines[OrderID],Orders[[#This Row],[OrderID]],OrderLines[Category],"Beverage")&gt;0),"Combo","Single")</f>
        <v>Single</v>
      </c>
      <c r="K169" s="17" t="str">
        <f>IF(SUMPRODUCT((OrderLines[OrderID]=Orders[[#This Row],[OrderID]])*OrderLines[Qty]*OrderLines[UnitPrice])*Orders[[#This Row],[DiscountPct]]&gt;40,"HighDisc","OK")</f>
        <v>HighDisc</v>
      </c>
      <c r="L169" s="11">
        <f>SUMIFS(OrderLines[Revenue],OrderLines[OrderID],Orders[[#This Row],[OrderID]])-SUMIFS(OrderLines[FoodCost],OrderLines[OrderID],Orders[[#This Row],[OrderID]])</f>
        <v>108.75660000000002</v>
      </c>
      <c r="M169" s="5">
        <f>Orders[[#This Row],[GrossProfit]]/Orders[[#This Row],[OrderTotal]]</f>
        <v>0.3281369649580041</v>
      </c>
      <c r="N169" s="17" t="b">
        <f>COUNTIFS(OrderLines[OrderID],Orders[[#This Row],[OrderID]],OrderLines[Category],"Hot Meal")&gt;0</f>
        <v>1</v>
      </c>
      <c r="O169" s="17" t="b">
        <f>COUNTIFS(OrderLines[OrderID],Orders[[#This Row],[OrderID]],OrderLines[Category],"Snack")&gt;0</f>
        <v>1</v>
      </c>
      <c r="P169" s="17" t="b">
        <f>COUNTIFS(OrderLines[OrderID],Orders[[#This Row],[OrderID]],OrderLines[Category],"Dessert")&gt;0</f>
        <v>1</v>
      </c>
      <c r="Q169" s="11">
        <f>Orders[[#This Row],[OrderTotal]]-Orders[[#This Row],[GrossProfit]]</f>
        <v>222.67999999999998</v>
      </c>
    </row>
    <row r="170" spans="1:17" x14ac:dyDescent="0.25">
      <c r="A170" t="s">
        <v>206</v>
      </c>
      <c r="B170" s="1">
        <v>45846.027881944443</v>
      </c>
      <c r="C170" t="s">
        <v>15</v>
      </c>
      <c r="D170" t="s">
        <v>16</v>
      </c>
      <c r="E170" t="s">
        <v>21</v>
      </c>
      <c r="F170" t="s">
        <v>12</v>
      </c>
      <c r="G170" s="5">
        <v>0.08</v>
      </c>
      <c r="H170" t="b">
        <f>COUNTIFS(OrderLines[OrderID],Orders[[#This Row],[OrderID]],OrderLines[Category],"Beverage")&gt;0</f>
        <v>1</v>
      </c>
      <c r="I170">
        <f>SUMIFS(OrderLines[Revenue],OrderLines[OrderID],Orders[[#This Row],[OrderID]])</f>
        <v>318.40280000000001</v>
      </c>
      <c r="J170" t="str">
        <f>IF(AND(COUNTIFS(OrderLines[OrderID],Orders[[#This Row],[OrderID]],OrderLines[Category],"Hot Meal")&gt;0,COUNTIFS(OrderLines[OrderID],Orders[[#This Row],[OrderID]],OrderLines[Category],"Beverage")&gt;0),"Combo","Single")</f>
        <v>Combo</v>
      </c>
      <c r="K170" s="17" t="str">
        <f>IF(SUMPRODUCT((OrderLines[OrderID]=Orders[[#This Row],[OrderID]])*OrderLines[Qty]*OrderLines[UnitPrice])*Orders[[#This Row],[DiscountPct]]&gt;40,"HighDisc","OK")</f>
        <v>OK</v>
      </c>
      <c r="L170" s="11">
        <f>SUMIFS(OrderLines[Revenue],OrderLines[OrderID],Orders[[#This Row],[OrderID]])-SUMIFS(OrderLines[FoodCost],OrderLines[OrderID],Orders[[#This Row],[OrderID]])</f>
        <v>167.31280000000004</v>
      </c>
      <c r="M170" s="5">
        <f>Orders[[#This Row],[GrossProfit]]/Orders[[#This Row],[OrderTotal]]</f>
        <v>0.52547527848373199</v>
      </c>
      <c r="N170" s="17" t="b">
        <f>COUNTIFS(OrderLines[OrderID],Orders[[#This Row],[OrderID]],OrderLines[Category],"Hot Meal")&gt;0</f>
        <v>1</v>
      </c>
      <c r="O170" s="17" t="b">
        <f>COUNTIFS(OrderLines[OrderID],Orders[[#This Row],[OrderID]],OrderLines[Category],"Snack")&gt;0</f>
        <v>0</v>
      </c>
      <c r="P170" s="17" t="b">
        <f>COUNTIFS(OrderLines[OrderID],Orders[[#This Row],[OrderID]],OrderLines[Category],"Dessert")&gt;0</f>
        <v>1</v>
      </c>
      <c r="Q170" s="11">
        <f>Orders[[#This Row],[OrderTotal]]-Orders[[#This Row],[GrossProfit]]</f>
        <v>151.08999999999997</v>
      </c>
    </row>
    <row r="171" spans="1:17" x14ac:dyDescent="0.25">
      <c r="A171" t="s">
        <v>207</v>
      </c>
      <c r="B171" s="1">
        <v>45865.189884259264</v>
      </c>
      <c r="C171" t="s">
        <v>27</v>
      </c>
      <c r="D171" t="s">
        <v>16</v>
      </c>
      <c r="E171" t="s">
        <v>11</v>
      </c>
      <c r="F171" t="s">
        <v>12</v>
      </c>
      <c r="G171" s="5">
        <v>0.11</v>
      </c>
      <c r="H171" t="b">
        <f>COUNTIFS(OrderLines[OrderID],Orders[[#This Row],[OrderID]],OrderLines[Category],"Beverage")&gt;0</f>
        <v>1</v>
      </c>
      <c r="I171">
        <f>SUMIFS(OrderLines[Revenue],OrderLines[OrderID],Orders[[#This Row],[OrderID]])</f>
        <v>153.614</v>
      </c>
      <c r="J171" t="str">
        <f>IF(AND(COUNTIFS(OrderLines[OrderID],Orders[[#This Row],[OrderID]],OrderLines[Category],"Hot Meal")&gt;0,COUNTIFS(OrderLines[OrderID],Orders[[#This Row],[OrderID]],OrderLines[Category],"Beverage")&gt;0),"Combo","Single")</f>
        <v>Single</v>
      </c>
      <c r="K171" s="17" t="str">
        <f>IF(SUMPRODUCT((OrderLines[OrderID]=Orders[[#This Row],[OrderID]])*OrderLines[Qty]*OrderLines[UnitPrice])*Orders[[#This Row],[DiscountPct]]&gt;40,"HighDisc","OK")</f>
        <v>OK</v>
      </c>
      <c r="L171" s="11">
        <f>SUMIFS(OrderLines[Revenue],OrderLines[OrderID],Orders[[#This Row],[OrderID]])-SUMIFS(OrderLines[FoodCost],OrderLines[OrderID],Orders[[#This Row],[OrderID]])</f>
        <v>77.183999999999997</v>
      </c>
      <c r="M171" s="5">
        <f>Orders[[#This Row],[GrossProfit]]/Orders[[#This Row],[OrderTotal]]</f>
        <v>0.50245420339291991</v>
      </c>
      <c r="N171" s="17" t="b">
        <f>COUNTIFS(OrderLines[OrderID],Orders[[#This Row],[OrderID]],OrderLines[Category],"Hot Meal")&gt;0</f>
        <v>0</v>
      </c>
      <c r="O171" s="17" t="b">
        <f>COUNTIFS(OrderLines[OrderID],Orders[[#This Row],[OrderID]],OrderLines[Category],"Snack")&gt;0</f>
        <v>1</v>
      </c>
      <c r="P171" s="17" t="b">
        <f>COUNTIFS(OrderLines[OrderID],Orders[[#This Row],[OrderID]],OrderLines[Category],"Dessert")&gt;0</f>
        <v>0</v>
      </c>
      <c r="Q171" s="11">
        <f>Orders[[#This Row],[OrderTotal]]-Orders[[#This Row],[GrossProfit]]</f>
        <v>76.430000000000007</v>
      </c>
    </row>
    <row r="172" spans="1:17" x14ac:dyDescent="0.25">
      <c r="A172" t="s">
        <v>208</v>
      </c>
      <c r="B172" s="1">
        <v>45896.235995370371</v>
      </c>
      <c r="C172" t="s">
        <v>9</v>
      </c>
      <c r="D172" t="s">
        <v>10</v>
      </c>
      <c r="E172" t="s">
        <v>21</v>
      </c>
      <c r="F172" t="s">
        <v>12</v>
      </c>
      <c r="G172" s="5">
        <v>0.1</v>
      </c>
      <c r="H172" t="b">
        <f>COUNTIFS(OrderLines[OrderID],Orders[[#This Row],[OrderID]],OrderLines[Category],"Beverage")&gt;0</f>
        <v>0</v>
      </c>
      <c r="I172">
        <f>SUMIFS(OrderLines[Revenue],OrderLines[OrderID],Orders[[#This Row],[OrderID]])</f>
        <v>502.74000000000007</v>
      </c>
      <c r="J172" t="str">
        <f>IF(AND(COUNTIFS(OrderLines[OrderID],Orders[[#This Row],[OrderID]],OrderLines[Category],"Hot Meal")&gt;0,COUNTIFS(OrderLines[OrderID],Orders[[#This Row],[OrderID]],OrderLines[Category],"Beverage")&gt;0),"Combo","Single")</f>
        <v>Single</v>
      </c>
      <c r="K172" s="17" t="str">
        <f>IF(SUMPRODUCT((OrderLines[OrderID]=Orders[[#This Row],[OrderID]])*OrderLines[Qty]*OrderLines[UnitPrice])*Orders[[#This Row],[DiscountPct]]&gt;40,"HighDisc","OK")</f>
        <v>HighDisc</v>
      </c>
      <c r="L172" s="11">
        <f>SUMIFS(OrderLines[Revenue],OrderLines[OrderID],Orders[[#This Row],[OrderID]])-SUMIFS(OrderLines[FoodCost],OrderLines[OrderID],Orders[[#This Row],[OrderID]])</f>
        <v>237.87000000000006</v>
      </c>
      <c r="M172" s="5">
        <f>Orders[[#This Row],[GrossProfit]]/Orders[[#This Row],[OrderTotal]]</f>
        <v>0.47314715359828147</v>
      </c>
      <c r="N172" s="17" t="b">
        <f>COUNTIFS(OrderLines[OrderID],Orders[[#This Row],[OrderID]],OrderLines[Category],"Hot Meal")&gt;0</f>
        <v>1</v>
      </c>
      <c r="O172" s="17" t="b">
        <f>COUNTIFS(OrderLines[OrderID],Orders[[#This Row],[OrderID]],OrderLines[Category],"Snack")&gt;0</f>
        <v>1</v>
      </c>
      <c r="P172" s="17" t="b">
        <f>COUNTIFS(OrderLines[OrderID],Orders[[#This Row],[OrderID]],OrderLines[Category],"Dessert")&gt;0</f>
        <v>0</v>
      </c>
      <c r="Q172" s="11">
        <f>Orders[[#This Row],[OrderTotal]]-Orders[[#This Row],[GrossProfit]]</f>
        <v>264.87</v>
      </c>
    </row>
    <row r="173" spans="1:17" x14ac:dyDescent="0.25">
      <c r="A173" t="s">
        <v>209</v>
      </c>
      <c r="B173" s="1">
        <v>45882.605451388888</v>
      </c>
      <c r="C173" t="s">
        <v>9</v>
      </c>
      <c r="D173" t="s">
        <v>16</v>
      </c>
      <c r="E173" t="s">
        <v>21</v>
      </c>
      <c r="F173" t="s">
        <v>22</v>
      </c>
      <c r="G173" s="5">
        <v>0.09</v>
      </c>
      <c r="H173" t="b">
        <f>COUNTIFS(OrderLines[OrderID],Orders[[#This Row],[OrderID]],OrderLines[Category],"Beverage")&gt;0</f>
        <v>0</v>
      </c>
      <c r="I173">
        <f>SUMIFS(OrderLines[Revenue],OrderLines[OrderID],Orders[[#This Row],[OrderID]])</f>
        <v>414.25020000000006</v>
      </c>
      <c r="J173" t="str">
        <f>IF(AND(COUNTIFS(OrderLines[OrderID],Orders[[#This Row],[OrderID]],OrderLines[Category],"Hot Meal")&gt;0,COUNTIFS(OrderLines[OrderID],Orders[[#This Row],[OrderID]],OrderLines[Category],"Beverage")&gt;0),"Combo","Single")</f>
        <v>Single</v>
      </c>
      <c r="K173" s="17" t="str">
        <f>IF(SUMPRODUCT((OrderLines[OrderID]=Orders[[#This Row],[OrderID]])*OrderLines[Qty]*OrderLines[UnitPrice])*Orders[[#This Row],[DiscountPct]]&gt;40,"HighDisc","OK")</f>
        <v>HighDisc</v>
      </c>
      <c r="L173" s="11">
        <f>SUMIFS(OrderLines[Revenue],OrderLines[OrderID],Orders[[#This Row],[OrderID]])-SUMIFS(OrderLines[FoodCost],OrderLines[OrderID],Orders[[#This Row],[OrderID]])</f>
        <v>221.81020000000007</v>
      </c>
      <c r="M173" s="5">
        <f>Orders[[#This Row],[GrossProfit]]/Orders[[#This Row],[OrderTotal]]</f>
        <v>0.53544983200973717</v>
      </c>
      <c r="N173" s="17" t="b">
        <f>COUNTIFS(OrderLines[OrderID],Orders[[#This Row],[OrderID]],OrderLines[Category],"Hot Meal")&gt;0</f>
        <v>1</v>
      </c>
      <c r="O173" s="17" t="b">
        <f>COUNTIFS(OrderLines[OrderID],Orders[[#This Row],[OrderID]],OrderLines[Category],"Snack")&gt;0</f>
        <v>0</v>
      </c>
      <c r="P173" s="17" t="b">
        <f>COUNTIFS(OrderLines[OrderID],Orders[[#This Row],[OrderID]],OrderLines[Category],"Dessert")&gt;0</f>
        <v>0</v>
      </c>
      <c r="Q173" s="11">
        <f>Orders[[#This Row],[OrderTotal]]-Orders[[#This Row],[GrossProfit]]</f>
        <v>192.44</v>
      </c>
    </row>
    <row r="174" spans="1:17" x14ac:dyDescent="0.25">
      <c r="A174" t="s">
        <v>210</v>
      </c>
      <c r="B174" s="1">
        <v>45892.835856481477</v>
      </c>
      <c r="C174" t="s">
        <v>9</v>
      </c>
      <c r="D174" t="s">
        <v>16</v>
      </c>
      <c r="E174" t="s">
        <v>21</v>
      </c>
      <c r="F174" t="s">
        <v>18</v>
      </c>
      <c r="G174" s="5">
        <v>0.05</v>
      </c>
      <c r="H174" t="b">
        <f>COUNTIFS(OrderLines[OrderID],Orders[[#This Row],[OrderID]],OrderLines[Category],"Beverage")&gt;0</f>
        <v>0</v>
      </c>
      <c r="I174">
        <f>SUMIFS(OrderLines[Revenue],OrderLines[OrderID],Orders[[#This Row],[OrderID]])</f>
        <v>488.12900000000002</v>
      </c>
      <c r="J174" t="str">
        <f>IF(AND(COUNTIFS(OrderLines[OrderID],Orders[[#This Row],[OrderID]],OrderLines[Category],"Hot Meal")&gt;0,COUNTIFS(OrderLines[OrderID],Orders[[#This Row],[OrderID]],OrderLines[Category],"Beverage")&gt;0),"Combo","Single")</f>
        <v>Single</v>
      </c>
      <c r="K174" s="17" t="str">
        <f>IF(SUMPRODUCT((OrderLines[OrderID]=Orders[[#This Row],[OrderID]])*OrderLines[Qty]*OrderLines[UnitPrice])*Orders[[#This Row],[DiscountPct]]&gt;40,"HighDisc","OK")</f>
        <v>OK</v>
      </c>
      <c r="L174" s="11">
        <f>SUMIFS(OrderLines[Revenue],OrderLines[OrderID],Orders[[#This Row],[OrderID]])-SUMIFS(OrderLines[FoodCost],OrderLines[OrderID],Orders[[#This Row],[OrderID]])</f>
        <v>245.64900000000003</v>
      </c>
      <c r="M174" s="5">
        <f>Orders[[#This Row],[GrossProfit]]/Orders[[#This Row],[OrderTotal]]</f>
        <v>0.50324606815001771</v>
      </c>
      <c r="N174" s="17" t="b">
        <f>COUNTIFS(OrderLines[OrderID],Orders[[#This Row],[OrderID]],OrderLines[Category],"Hot Meal")&gt;0</f>
        <v>1</v>
      </c>
      <c r="O174" s="17" t="b">
        <f>COUNTIFS(OrderLines[OrderID],Orders[[#This Row],[OrderID]],OrderLines[Category],"Snack")&gt;0</f>
        <v>0</v>
      </c>
      <c r="P174" s="17" t="b">
        <f>COUNTIFS(OrderLines[OrderID],Orders[[#This Row],[OrderID]],OrderLines[Category],"Dessert")&gt;0</f>
        <v>0</v>
      </c>
      <c r="Q174" s="11">
        <f>Orders[[#This Row],[OrderTotal]]-Orders[[#This Row],[GrossProfit]]</f>
        <v>242.48</v>
      </c>
    </row>
    <row r="175" spans="1:17" x14ac:dyDescent="0.25">
      <c r="A175" t="s">
        <v>211</v>
      </c>
      <c r="B175" s="1">
        <v>45857.566319444442</v>
      </c>
      <c r="C175" t="s">
        <v>9</v>
      </c>
      <c r="D175" t="s">
        <v>28</v>
      </c>
      <c r="E175" t="s">
        <v>11</v>
      </c>
      <c r="F175" t="s">
        <v>22</v>
      </c>
      <c r="G175" s="5">
        <v>0.09</v>
      </c>
      <c r="H175" t="b">
        <f>COUNTIFS(OrderLines[OrderID],Orders[[#This Row],[OrderID]],OrderLines[Category],"Beverage")&gt;0</f>
        <v>1</v>
      </c>
      <c r="I175">
        <f>SUMIFS(OrderLines[Revenue],OrderLines[OrderID],Orders[[#This Row],[OrderID]])</f>
        <v>243.8982</v>
      </c>
      <c r="J175" t="str">
        <f>IF(AND(COUNTIFS(OrderLines[OrderID],Orders[[#This Row],[OrderID]],OrderLines[Category],"Hot Meal")&gt;0,COUNTIFS(OrderLines[OrderID],Orders[[#This Row],[OrderID]],OrderLines[Category],"Beverage")&gt;0),"Combo","Single")</f>
        <v>Single</v>
      </c>
      <c r="K175" s="17" t="str">
        <f>IF(SUMPRODUCT((OrderLines[OrderID]=Orders[[#This Row],[OrderID]])*OrderLines[Qty]*OrderLines[UnitPrice])*Orders[[#This Row],[DiscountPct]]&gt;40,"HighDisc","OK")</f>
        <v>OK</v>
      </c>
      <c r="L175" s="11">
        <f>SUMIFS(OrderLines[Revenue],OrderLines[OrderID],Orders[[#This Row],[OrderID]])-SUMIFS(OrderLines[FoodCost],OrderLines[OrderID],Orders[[#This Row],[OrderID]])</f>
        <v>124.3182</v>
      </c>
      <c r="M175" s="5">
        <f>Orders[[#This Row],[GrossProfit]]/Orders[[#This Row],[OrderTotal]]</f>
        <v>0.50971347882026186</v>
      </c>
      <c r="N175" s="17" t="b">
        <f>COUNTIFS(OrderLines[OrderID],Orders[[#This Row],[OrderID]],OrderLines[Category],"Hot Meal")&gt;0</f>
        <v>0</v>
      </c>
      <c r="O175" s="17" t="b">
        <f>COUNTIFS(OrderLines[OrderID],Orders[[#This Row],[OrderID]],OrderLines[Category],"Snack")&gt;0</f>
        <v>0</v>
      </c>
      <c r="P175" s="17" t="b">
        <f>COUNTIFS(OrderLines[OrderID],Orders[[#This Row],[OrderID]],OrderLines[Category],"Dessert")&gt;0</f>
        <v>1</v>
      </c>
      <c r="Q175" s="11">
        <f>Orders[[#This Row],[OrderTotal]]-Orders[[#This Row],[GrossProfit]]</f>
        <v>119.58</v>
      </c>
    </row>
    <row r="176" spans="1:17" x14ac:dyDescent="0.25">
      <c r="A176" t="s">
        <v>212</v>
      </c>
      <c r="B176" s="1">
        <v>45861.926655092589</v>
      </c>
      <c r="C176" t="s">
        <v>15</v>
      </c>
      <c r="D176" t="s">
        <v>28</v>
      </c>
      <c r="E176" t="s">
        <v>21</v>
      </c>
      <c r="F176" t="s">
        <v>18</v>
      </c>
      <c r="G176" s="5">
        <v>0.03</v>
      </c>
      <c r="H176" t="b">
        <f>COUNTIFS(OrderLines[OrderID],Orders[[#This Row],[OrderID]],OrderLines[Category],"Beverage")&gt;0</f>
        <v>0</v>
      </c>
      <c r="I176">
        <f>SUMIFS(OrderLines[Revenue],OrderLines[OrderID],Orders[[#This Row],[OrderID]])</f>
        <v>318.15030000000002</v>
      </c>
      <c r="J176" t="str">
        <f>IF(AND(COUNTIFS(OrderLines[OrderID],Orders[[#This Row],[OrderID]],OrderLines[Category],"Hot Meal")&gt;0,COUNTIFS(OrderLines[OrderID],Orders[[#This Row],[OrderID]],OrderLines[Category],"Beverage")&gt;0),"Combo","Single")</f>
        <v>Single</v>
      </c>
      <c r="K176" s="17" t="str">
        <f>IF(SUMPRODUCT((OrderLines[OrderID]=Orders[[#This Row],[OrderID]])*OrderLines[Qty]*OrderLines[UnitPrice])*Orders[[#This Row],[DiscountPct]]&gt;40,"HighDisc","OK")</f>
        <v>OK</v>
      </c>
      <c r="L176" s="11">
        <f>SUMIFS(OrderLines[Revenue],OrderLines[OrderID],Orders[[#This Row],[OrderID]])-SUMIFS(OrderLines[FoodCost],OrderLines[OrderID],Orders[[#This Row],[OrderID]])</f>
        <v>176.71030000000002</v>
      </c>
      <c r="M176" s="5">
        <f>Orders[[#This Row],[GrossProfit]]/Orders[[#This Row],[OrderTotal]]</f>
        <v>0.55543024790484252</v>
      </c>
      <c r="N176" s="17" t="b">
        <f>COUNTIFS(OrderLines[OrderID],Orders[[#This Row],[OrderID]],OrderLines[Category],"Hot Meal")&gt;0</f>
        <v>1</v>
      </c>
      <c r="O176" s="17" t="b">
        <f>COUNTIFS(OrderLines[OrderID],Orders[[#This Row],[OrderID]],OrderLines[Category],"Snack")&gt;0</f>
        <v>1</v>
      </c>
      <c r="P176" s="17" t="b">
        <f>COUNTIFS(OrderLines[OrderID],Orders[[#This Row],[OrderID]],OrderLines[Category],"Dessert")&gt;0</f>
        <v>0</v>
      </c>
      <c r="Q176" s="11">
        <f>Orders[[#This Row],[OrderTotal]]-Orders[[#This Row],[GrossProfit]]</f>
        <v>141.44</v>
      </c>
    </row>
    <row r="177" spans="1:17" x14ac:dyDescent="0.25">
      <c r="A177" t="s">
        <v>213</v>
      </c>
      <c r="B177" s="1">
        <v>45876.263865740737</v>
      </c>
      <c r="C177" t="s">
        <v>15</v>
      </c>
      <c r="D177" t="s">
        <v>10</v>
      </c>
      <c r="E177" t="s">
        <v>11</v>
      </c>
      <c r="F177" t="s">
        <v>12</v>
      </c>
      <c r="G177" s="5">
        <v>0.05</v>
      </c>
      <c r="H177" t="b">
        <f>COUNTIFS(OrderLines[OrderID],Orders[[#This Row],[OrderID]],OrderLines[Category],"Beverage")&gt;0</f>
        <v>1</v>
      </c>
      <c r="I177">
        <f>SUMIFS(OrderLines[Revenue],OrderLines[OrderID],Orders[[#This Row],[OrderID]])</f>
        <v>479.39850000000001</v>
      </c>
      <c r="J177" t="str">
        <f>IF(AND(COUNTIFS(OrderLines[OrderID],Orders[[#This Row],[OrderID]],OrderLines[Category],"Hot Meal")&gt;0,COUNTIFS(OrderLines[OrderID],Orders[[#This Row],[OrderID]],OrderLines[Category],"Beverage")&gt;0),"Combo","Single")</f>
        <v>Combo</v>
      </c>
      <c r="K177" s="17" t="str">
        <f>IF(SUMPRODUCT((OrderLines[OrderID]=Orders[[#This Row],[OrderID]])*OrderLines[Qty]*OrderLines[UnitPrice])*Orders[[#This Row],[DiscountPct]]&gt;40,"HighDisc","OK")</f>
        <v>OK</v>
      </c>
      <c r="L177" s="11">
        <f>SUMIFS(OrderLines[Revenue],OrderLines[OrderID],Orders[[#This Row],[OrderID]])-SUMIFS(OrderLines[FoodCost],OrderLines[OrderID],Orders[[#This Row],[OrderID]])</f>
        <v>253.9385</v>
      </c>
      <c r="M177" s="5">
        <f>Orders[[#This Row],[GrossProfit]]/Orders[[#This Row],[OrderTotal]]</f>
        <v>0.52970232489254765</v>
      </c>
      <c r="N177" s="17" t="b">
        <f>COUNTIFS(OrderLines[OrderID],Orders[[#This Row],[OrderID]],OrderLines[Category],"Hot Meal")&gt;0</f>
        <v>1</v>
      </c>
      <c r="O177" s="17" t="b">
        <f>COUNTIFS(OrderLines[OrderID],Orders[[#This Row],[OrderID]],OrderLines[Category],"Snack")&gt;0</f>
        <v>0</v>
      </c>
      <c r="P177" s="17" t="b">
        <f>COUNTIFS(OrderLines[OrderID],Orders[[#This Row],[OrderID]],OrderLines[Category],"Dessert")&gt;0</f>
        <v>0</v>
      </c>
      <c r="Q177" s="11">
        <f>Orders[[#This Row],[OrderTotal]]-Orders[[#This Row],[GrossProfit]]</f>
        <v>225.46</v>
      </c>
    </row>
    <row r="178" spans="1:17" x14ac:dyDescent="0.25">
      <c r="A178" t="s">
        <v>214</v>
      </c>
      <c r="B178" s="1">
        <v>45887.341631944437</v>
      </c>
      <c r="C178" t="s">
        <v>27</v>
      </c>
      <c r="D178" t="s">
        <v>28</v>
      </c>
      <c r="E178" t="s">
        <v>11</v>
      </c>
      <c r="F178" t="s">
        <v>12</v>
      </c>
      <c r="G178" s="5">
        <v>0.04</v>
      </c>
      <c r="H178" t="b">
        <f>COUNTIFS(OrderLines[OrderID],Orders[[#This Row],[OrderID]],OrderLines[Category],"Beverage")&gt;0</f>
        <v>1</v>
      </c>
      <c r="I178">
        <f>SUMIFS(OrderLines[Revenue],OrderLines[OrderID],Orders[[#This Row],[OrderID]])</f>
        <v>145.91039999999998</v>
      </c>
      <c r="J178" t="str">
        <f>IF(AND(COUNTIFS(OrderLines[OrderID],Orders[[#This Row],[OrderID]],OrderLines[Category],"Hot Meal")&gt;0,COUNTIFS(OrderLines[OrderID],Orders[[#This Row],[OrderID]],OrderLines[Category],"Beverage")&gt;0),"Combo","Single")</f>
        <v>Single</v>
      </c>
      <c r="K178" s="17" t="str">
        <f>IF(SUMPRODUCT((OrderLines[OrderID]=Orders[[#This Row],[OrderID]])*OrderLines[Qty]*OrderLines[UnitPrice])*Orders[[#This Row],[DiscountPct]]&gt;40,"HighDisc","OK")</f>
        <v>OK</v>
      </c>
      <c r="L178" s="11">
        <f>SUMIFS(OrderLines[Revenue],OrderLines[OrderID],Orders[[#This Row],[OrderID]])-SUMIFS(OrderLines[FoodCost],OrderLines[OrderID],Orders[[#This Row],[OrderID]])</f>
        <v>69.440399999999983</v>
      </c>
      <c r="M178" s="5">
        <f>Orders[[#This Row],[GrossProfit]]/Orders[[#This Row],[OrderTotal]]</f>
        <v>0.4759112441608</v>
      </c>
      <c r="N178" s="17" t="b">
        <f>COUNTIFS(OrderLines[OrderID],Orders[[#This Row],[OrderID]],OrderLines[Category],"Hot Meal")&gt;0</f>
        <v>0</v>
      </c>
      <c r="O178" s="17" t="b">
        <f>COUNTIFS(OrderLines[OrderID],Orders[[#This Row],[OrderID]],OrderLines[Category],"Snack")&gt;0</f>
        <v>1</v>
      </c>
      <c r="P178" s="17" t="b">
        <f>COUNTIFS(OrderLines[OrderID],Orders[[#This Row],[OrderID]],OrderLines[Category],"Dessert")&gt;0</f>
        <v>1</v>
      </c>
      <c r="Q178" s="11">
        <f>Orders[[#This Row],[OrderTotal]]-Orders[[#This Row],[GrossProfit]]</f>
        <v>76.47</v>
      </c>
    </row>
    <row r="179" spans="1:17" x14ac:dyDescent="0.25">
      <c r="A179" t="s">
        <v>215</v>
      </c>
      <c r="B179" s="1">
        <v>45848.994432870371</v>
      </c>
      <c r="C179" t="s">
        <v>15</v>
      </c>
      <c r="D179" t="s">
        <v>28</v>
      </c>
      <c r="E179" t="s">
        <v>11</v>
      </c>
      <c r="F179" t="s">
        <v>18</v>
      </c>
      <c r="G179" s="5">
        <v>0.06</v>
      </c>
      <c r="H179" t="b">
        <f>COUNTIFS(OrderLines[OrderID],Orders[[#This Row],[OrderID]],OrderLines[Category],"Beverage")&gt;0</f>
        <v>0</v>
      </c>
      <c r="I179">
        <f>SUMIFS(OrderLines[Revenue],OrderLines[OrderID],Orders[[#This Row],[OrderID]])</f>
        <v>976.71639999999991</v>
      </c>
      <c r="J179" t="str">
        <f>IF(AND(COUNTIFS(OrderLines[OrderID],Orders[[#This Row],[OrderID]],OrderLines[Category],"Hot Meal")&gt;0,COUNTIFS(OrderLines[OrderID],Orders[[#This Row],[OrderID]],OrderLines[Category],"Beverage")&gt;0),"Combo","Single")</f>
        <v>Single</v>
      </c>
      <c r="K179" s="17" t="str">
        <f>IF(SUMPRODUCT((OrderLines[OrderID]=Orders[[#This Row],[OrderID]])*OrderLines[Qty]*OrderLines[UnitPrice])*Orders[[#This Row],[DiscountPct]]&gt;40,"HighDisc","OK")</f>
        <v>HighDisc</v>
      </c>
      <c r="L179" s="11">
        <f>SUMIFS(OrderLines[Revenue],OrderLines[OrderID],Orders[[#This Row],[OrderID]])-SUMIFS(OrderLines[FoodCost],OrderLines[OrderID],Orders[[#This Row],[OrderID]])</f>
        <v>497.87639999999999</v>
      </c>
      <c r="M179" s="5">
        <f>Orders[[#This Row],[GrossProfit]]/Orders[[#This Row],[OrderTotal]]</f>
        <v>0.5097451010344457</v>
      </c>
      <c r="N179" s="17" t="b">
        <f>COUNTIFS(OrderLines[OrderID],Orders[[#This Row],[OrderID]],OrderLines[Category],"Hot Meal")&gt;0</f>
        <v>1</v>
      </c>
      <c r="O179" s="17" t="b">
        <f>COUNTIFS(OrderLines[OrderID],Orders[[#This Row],[OrderID]],OrderLines[Category],"Snack")&gt;0</f>
        <v>0</v>
      </c>
      <c r="P179" s="17" t="b">
        <f>COUNTIFS(OrderLines[OrderID],Orders[[#This Row],[OrderID]],OrderLines[Category],"Dessert")&gt;0</f>
        <v>1</v>
      </c>
      <c r="Q179" s="11">
        <f>Orders[[#This Row],[OrderTotal]]-Orders[[#This Row],[GrossProfit]]</f>
        <v>478.83999999999992</v>
      </c>
    </row>
    <row r="180" spans="1:17" x14ac:dyDescent="0.25">
      <c r="A180" t="s">
        <v>216</v>
      </c>
      <c r="B180" s="1">
        <v>45840.74009259259</v>
      </c>
      <c r="C180" t="s">
        <v>9</v>
      </c>
      <c r="D180" t="s">
        <v>28</v>
      </c>
      <c r="E180" t="s">
        <v>21</v>
      </c>
      <c r="F180" t="s">
        <v>18</v>
      </c>
      <c r="G180" s="5">
        <v>0.15</v>
      </c>
      <c r="H180" t="b">
        <f>COUNTIFS(OrderLines[OrderID],Orders[[#This Row],[OrderID]],OrderLines[Category],"Beverage")&gt;0</f>
        <v>0</v>
      </c>
      <c r="I180">
        <f>SUMIFS(OrderLines[Revenue],OrderLines[OrderID],Orders[[#This Row],[OrderID]])</f>
        <v>339.08199999999999</v>
      </c>
      <c r="J180" t="str">
        <f>IF(AND(COUNTIFS(OrderLines[OrderID],Orders[[#This Row],[OrderID]],OrderLines[Category],"Hot Meal")&gt;0,COUNTIFS(OrderLines[OrderID],Orders[[#This Row],[OrderID]],OrderLines[Category],"Beverage")&gt;0),"Combo","Single")</f>
        <v>Single</v>
      </c>
      <c r="K180" s="17" t="str">
        <f>IF(SUMPRODUCT((OrderLines[OrderID]=Orders[[#This Row],[OrderID]])*OrderLines[Qty]*OrderLines[UnitPrice])*Orders[[#This Row],[DiscountPct]]&gt;40,"HighDisc","OK")</f>
        <v>HighDisc</v>
      </c>
      <c r="L180" s="11">
        <f>SUMIFS(OrderLines[Revenue],OrderLines[OrderID],Orders[[#This Row],[OrderID]])-SUMIFS(OrderLines[FoodCost],OrderLines[OrderID],Orders[[#This Row],[OrderID]])</f>
        <v>155.98199999999997</v>
      </c>
      <c r="M180" s="5">
        <f>Orders[[#This Row],[GrossProfit]]/Orders[[#This Row],[OrderTotal]]</f>
        <v>0.46001262231554602</v>
      </c>
      <c r="N180" s="17" t="b">
        <f>COUNTIFS(OrderLines[OrderID],Orders[[#This Row],[OrderID]],OrderLines[Category],"Hot Meal")&gt;0</f>
        <v>1</v>
      </c>
      <c r="O180" s="17" t="b">
        <f>COUNTIFS(OrderLines[OrderID],Orders[[#This Row],[OrderID]],OrderLines[Category],"Snack")&gt;0</f>
        <v>1</v>
      </c>
      <c r="P180" s="17" t="b">
        <f>COUNTIFS(OrderLines[OrderID],Orders[[#This Row],[OrderID]],OrderLines[Category],"Dessert")&gt;0</f>
        <v>0</v>
      </c>
      <c r="Q180" s="11">
        <f>Orders[[#This Row],[OrderTotal]]-Orders[[#This Row],[GrossProfit]]</f>
        <v>183.10000000000002</v>
      </c>
    </row>
    <row r="181" spans="1:17" x14ac:dyDescent="0.25">
      <c r="A181" t="s">
        <v>217</v>
      </c>
      <c r="B181" s="1">
        <v>45846.515092592592</v>
      </c>
      <c r="C181" t="s">
        <v>15</v>
      </c>
      <c r="D181" t="s">
        <v>16</v>
      </c>
      <c r="E181" t="s">
        <v>21</v>
      </c>
      <c r="F181" t="s">
        <v>22</v>
      </c>
      <c r="G181" s="5">
        <v>0</v>
      </c>
      <c r="H181" t="b">
        <f>COUNTIFS(OrderLines[OrderID],Orders[[#This Row],[OrderID]],OrderLines[Category],"Beverage")&gt;0</f>
        <v>1</v>
      </c>
      <c r="I181">
        <f>SUMIFS(OrderLines[Revenue],OrderLines[OrderID],Orders[[#This Row],[OrderID]])</f>
        <v>28.43</v>
      </c>
      <c r="J181" t="str">
        <f>IF(AND(COUNTIFS(OrderLines[OrderID],Orders[[#This Row],[OrderID]],OrderLines[Category],"Hot Meal")&gt;0,COUNTIFS(OrderLines[OrderID],Orders[[#This Row],[OrderID]],OrderLines[Category],"Beverage")&gt;0),"Combo","Single")</f>
        <v>Single</v>
      </c>
      <c r="K181" s="17" t="str">
        <f>IF(SUMPRODUCT((OrderLines[OrderID]=Orders[[#This Row],[OrderID]])*OrderLines[Qty]*OrderLines[UnitPrice])*Orders[[#This Row],[DiscountPct]]&gt;40,"HighDisc","OK")</f>
        <v>OK</v>
      </c>
      <c r="L181" s="11">
        <f>SUMIFS(OrderLines[Revenue],OrderLines[OrderID],Orders[[#This Row],[OrderID]])-SUMIFS(OrderLines[FoodCost],OrderLines[OrderID],Orders[[#This Row],[OrderID]])</f>
        <v>14.54</v>
      </c>
      <c r="M181" s="5">
        <f>Orders[[#This Row],[GrossProfit]]/Orders[[#This Row],[OrderTotal]]</f>
        <v>0.51143158635244457</v>
      </c>
      <c r="N181" s="17" t="b">
        <f>COUNTIFS(OrderLines[OrderID],Orders[[#This Row],[OrderID]],OrderLines[Category],"Hot Meal")&gt;0</f>
        <v>0</v>
      </c>
      <c r="O181" s="17" t="b">
        <f>COUNTIFS(OrderLines[OrderID],Orders[[#This Row],[OrderID]],OrderLines[Category],"Snack")&gt;0</f>
        <v>0</v>
      </c>
      <c r="P181" s="17" t="b">
        <f>COUNTIFS(OrderLines[OrderID],Orders[[#This Row],[OrderID]],OrderLines[Category],"Dessert")&gt;0</f>
        <v>0</v>
      </c>
      <c r="Q181" s="11">
        <f>Orders[[#This Row],[OrderTotal]]-Orders[[#This Row],[GrossProfit]]</f>
        <v>13.89</v>
      </c>
    </row>
    <row r="182" spans="1:17" x14ac:dyDescent="0.25">
      <c r="A182" t="s">
        <v>218</v>
      </c>
      <c r="B182" s="1">
        <v>45847.047835648147</v>
      </c>
      <c r="C182" t="s">
        <v>15</v>
      </c>
      <c r="D182" t="s">
        <v>10</v>
      </c>
      <c r="E182" t="s">
        <v>11</v>
      </c>
      <c r="F182" t="s">
        <v>12</v>
      </c>
      <c r="G182" s="5">
        <v>0.09</v>
      </c>
      <c r="H182" t="b">
        <f>COUNTIFS(OrderLines[OrderID],Orders[[#This Row],[OrderID]],OrderLines[Category],"Beverage")&gt;0</f>
        <v>0</v>
      </c>
      <c r="I182">
        <f>SUMIFS(OrderLines[Revenue],OrderLines[OrderID],Orders[[#This Row],[OrderID]])</f>
        <v>1182.9727000000003</v>
      </c>
      <c r="J182" t="str">
        <f>IF(AND(COUNTIFS(OrderLines[OrderID],Orders[[#This Row],[OrderID]],OrderLines[Category],"Hot Meal")&gt;0,COUNTIFS(OrderLines[OrderID],Orders[[#This Row],[OrderID]],OrderLines[Category],"Beverage")&gt;0),"Combo","Single")</f>
        <v>Single</v>
      </c>
      <c r="K182" s="17" t="str">
        <f>IF(SUMPRODUCT((OrderLines[OrderID]=Orders[[#This Row],[OrderID]])*OrderLines[Qty]*OrderLines[UnitPrice])*Orders[[#This Row],[DiscountPct]]&gt;40,"HighDisc","OK")</f>
        <v>HighDisc</v>
      </c>
      <c r="L182" s="11">
        <f>SUMIFS(OrderLines[Revenue],OrderLines[OrderID],Orders[[#This Row],[OrderID]])-SUMIFS(OrderLines[FoodCost],OrderLines[OrderID],Orders[[#This Row],[OrderID]])</f>
        <v>602.71270000000038</v>
      </c>
      <c r="M182" s="5">
        <f>Orders[[#This Row],[GrossProfit]]/Orders[[#This Row],[OrderTotal]]</f>
        <v>0.50948994850007967</v>
      </c>
      <c r="N182" s="17" t="b">
        <f>COUNTIFS(OrderLines[OrderID],Orders[[#This Row],[OrderID]],OrderLines[Category],"Hot Meal")&gt;0</f>
        <v>1</v>
      </c>
      <c r="O182" s="17" t="b">
        <f>COUNTIFS(OrderLines[OrderID],Orders[[#This Row],[OrderID]],OrderLines[Category],"Snack")&gt;0</f>
        <v>0</v>
      </c>
      <c r="P182" s="17" t="b">
        <f>COUNTIFS(OrderLines[OrderID],Orders[[#This Row],[OrderID]],OrderLines[Category],"Dessert")&gt;0</f>
        <v>1</v>
      </c>
      <c r="Q182" s="11">
        <f>Orders[[#This Row],[OrderTotal]]-Orders[[#This Row],[GrossProfit]]</f>
        <v>580.25999999999988</v>
      </c>
    </row>
    <row r="183" spans="1:17" x14ac:dyDescent="0.25">
      <c r="A183" t="s">
        <v>219</v>
      </c>
      <c r="B183" s="1">
        <v>45869.994745370372</v>
      </c>
      <c r="C183" t="s">
        <v>9</v>
      </c>
      <c r="D183" t="s">
        <v>10</v>
      </c>
      <c r="E183" t="s">
        <v>21</v>
      </c>
      <c r="F183" t="s">
        <v>18</v>
      </c>
      <c r="G183" s="5">
        <v>0</v>
      </c>
      <c r="H183" t="b">
        <f>COUNTIFS(OrderLines[OrderID],Orders[[#This Row],[OrderID]],OrderLines[Category],"Beverage")&gt;0</f>
        <v>0</v>
      </c>
      <c r="I183">
        <f>SUMIFS(OrderLines[Revenue],OrderLines[OrderID],Orders[[#This Row],[OrderID]])</f>
        <v>52.45</v>
      </c>
      <c r="J183" t="str">
        <f>IF(AND(COUNTIFS(OrderLines[OrderID],Orders[[#This Row],[OrderID]],OrderLines[Category],"Hot Meal")&gt;0,COUNTIFS(OrderLines[OrderID],Orders[[#This Row],[OrderID]],OrderLines[Category],"Beverage")&gt;0),"Combo","Single")</f>
        <v>Single</v>
      </c>
      <c r="K183" s="17" t="str">
        <f>IF(SUMPRODUCT((OrderLines[OrderID]=Orders[[#This Row],[OrderID]])*OrderLines[Qty]*OrderLines[UnitPrice])*Orders[[#This Row],[DiscountPct]]&gt;40,"HighDisc","OK")</f>
        <v>OK</v>
      </c>
      <c r="L183" s="11">
        <f>SUMIFS(OrderLines[Revenue],OrderLines[OrderID],Orders[[#This Row],[OrderID]])-SUMIFS(OrderLines[FoodCost],OrderLines[OrderID],Orders[[#This Row],[OrderID]])</f>
        <v>26.650000000000002</v>
      </c>
      <c r="M183" s="5">
        <f>Orders[[#This Row],[GrossProfit]]/Orders[[#This Row],[OrderTotal]]</f>
        <v>0.50810295519542426</v>
      </c>
      <c r="N183" s="17" t="b">
        <f>COUNTIFS(OrderLines[OrderID],Orders[[#This Row],[OrderID]],OrderLines[Category],"Hot Meal")&gt;0</f>
        <v>0</v>
      </c>
      <c r="O183" s="17" t="b">
        <f>COUNTIFS(OrderLines[OrderID],Orders[[#This Row],[OrderID]],OrderLines[Category],"Snack")&gt;0</f>
        <v>1</v>
      </c>
      <c r="P183" s="17" t="b">
        <f>COUNTIFS(OrderLines[OrderID],Orders[[#This Row],[OrderID]],OrderLines[Category],"Dessert")&gt;0</f>
        <v>0</v>
      </c>
      <c r="Q183" s="11">
        <f>Orders[[#This Row],[OrderTotal]]-Orders[[#This Row],[GrossProfit]]</f>
        <v>25.8</v>
      </c>
    </row>
    <row r="184" spans="1:17" x14ac:dyDescent="0.25">
      <c r="A184" t="s">
        <v>220</v>
      </c>
      <c r="B184" s="1">
        <v>45842.735451388893</v>
      </c>
      <c r="C184" t="s">
        <v>9</v>
      </c>
      <c r="D184" t="s">
        <v>28</v>
      </c>
      <c r="E184" t="s">
        <v>17</v>
      </c>
      <c r="F184" t="s">
        <v>18</v>
      </c>
      <c r="G184" s="5">
        <v>0.04</v>
      </c>
      <c r="H184" t="b">
        <f>COUNTIFS(OrderLines[OrderID],Orders[[#This Row],[OrderID]],OrderLines[Category],"Beverage")&gt;0</f>
        <v>1</v>
      </c>
      <c r="I184">
        <f>SUMIFS(OrderLines[Revenue],OrderLines[OrderID],Orders[[#This Row],[OrderID]])</f>
        <v>150.70079999999999</v>
      </c>
      <c r="J184" t="str">
        <f>IF(AND(COUNTIFS(OrderLines[OrderID],Orders[[#This Row],[OrderID]],OrderLines[Category],"Hot Meal")&gt;0,COUNTIFS(OrderLines[OrderID],Orders[[#This Row],[OrderID]],OrderLines[Category],"Beverage")&gt;0),"Combo","Single")</f>
        <v>Single</v>
      </c>
      <c r="K184" s="17" t="str">
        <f>IF(SUMPRODUCT((OrderLines[OrderID]=Orders[[#This Row],[OrderID]])*OrderLines[Qty]*OrderLines[UnitPrice])*Orders[[#This Row],[DiscountPct]]&gt;40,"HighDisc","OK")</f>
        <v>OK</v>
      </c>
      <c r="L184" s="11">
        <f>SUMIFS(OrderLines[Revenue],OrderLines[OrderID],Orders[[#This Row],[OrderID]])-SUMIFS(OrderLines[FoodCost],OrderLines[OrderID],Orders[[#This Row],[OrderID]])</f>
        <v>84.480799999999988</v>
      </c>
      <c r="M184" s="5">
        <f>Orders[[#This Row],[GrossProfit]]/Orders[[#This Row],[OrderTotal]]</f>
        <v>0.56058627425999064</v>
      </c>
      <c r="N184" s="17" t="b">
        <f>COUNTIFS(OrderLines[OrderID],Orders[[#This Row],[OrderID]],OrderLines[Category],"Hot Meal")&gt;0</f>
        <v>0</v>
      </c>
      <c r="O184" s="17" t="b">
        <f>COUNTIFS(OrderLines[OrderID],Orders[[#This Row],[OrderID]],OrderLines[Category],"Snack")&gt;0</f>
        <v>0</v>
      </c>
      <c r="P184" s="17" t="b">
        <f>COUNTIFS(OrderLines[OrderID],Orders[[#This Row],[OrderID]],OrderLines[Category],"Dessert")&gt;0</f>
        <v>0</v>
      </c>
      <c r="Q184" s="11">
        <f>Orders[[#This Row],[OrderTotal]]-Orders[[#This Row],[GrossProfit]]</f>
        <v>66.22</v>
      </c>
    </row>
    <row r="185" spans="1:17" x14ac:dyDescent="0.25">
      <c r="A185" t="s">
        <v>221</v>
      </c>
      <c r="B185" s="1">
        <v>45861.336724537039</v>
      </c>
      <c r="C185" t="s">
        <v>9</v>
      </c>
      <c r="D185" t="s">
        <v>28</v>
      </c>
      <c r="E185" t="s">
        <v>21</v>
      </c>
      <c r="F185" t="s">
        <v>12</v>
      </c>
      <c r="G185" s="5">
        <v>0.1</v>
      </c>
      <c r="H185" t="b">
        <f>COUNTIFS(OrderLines[OrderID],Orders[[#This Row],[OrderID]],OrderLines[Category],"Beverage")&gt;0</f>
        <v>0</v>
      </c>
      <c r="I185">
        <f>SUMIFS(OrderLines[Revenue],OrderLines[OrderID],Orders[[#This Row],[OrderID]])</f>
        <v>130.78800000000001</v>
      </c>
      <c r="J185" t="str">
        <f>IF(AND(COUNTIFS(OrderLines[OrderID],Orders[[#This Row],[OrderID]],OrderLines[Category],"Hot Meal")&gt;0,COUNTIFS(OrderLines[OrderID],Orders[[#This Row],[OrderID]],OrderLines[Category],"Beverage")&gt;0),"Combo","Single")</f>
        <v>Single</v>
      </c>
      <c r="K185" s="17" t="str">
        <f>IF(SUMPRODUCT((OrderLines[OrderID]=Orders[[#This Row],[OrderID]])*OrderLines[Qty]*OrderLines[UnitPrice])*Orders[[#This Row],[DiscountPct]]&gt;40,"HighDisc","OK")</f>
        <v>OK</v>
      </c>
      <c r="L185" s="11">
        <f>SUMIFS(OrderLines[Revenue],OrderLines[OrderID],Orders[[#This Row],[OrderID]])-SUMIFS(OrderLines[FoodCost],OrderLines[OrderID],Orders[[#This Row],[OrderID]])</f>
        <v>59.488000000000014</v>
      </c>
      <c r="M185" s="5">
        <f>Orders[[#This Row],[GrossProfit]]/Orders[[#This Row],[OrderTotal]]</f>
        <v>0.45484295195277863</v>
      </c>
      <c r="N185" s="17" t="b">
        <f>COUNTIFS(OrderLines[OrderID],Orders[[#This Row],[OrderID]],OrderLines[Category],"Hot Meal")&gt;0</f>
        <v>0</v>
      </c>
      <c r="O185" s="17" t="b">
        <f>COUNTIFS(OrderLines[OrderID],Orders[[#This Row],[OrderID]],OrderLines[Category],"Snack")&gt;0</f>
        <v>1</v>
      </c>
      <c r="P185" s="17" t="b">
        <f>COUNTIFS(OrderLines[OrderID],Orders[[#This Row],[OrderID]],OrderLines[Category],"Dessert")&gt;0</f>
        <v>1</v>
      </c>
      <c r="Q185" s="11">
        <f>Orders[[#This Row],[OrderTotal]]-Orders[[#This Row],[GrossProfit]]</f>
        <v>71.3</v>
      </c>
    </row>
    <row r="186" spans="1:17" x14ac:dyDescent="0.25">
      <c r="A186" t="s">
        <v>222</v>
      </c>
      <c r="B186" s="1">
        <v>45849.008275462962</v>
      </c>
      <c r="C186" t="s">
        <v>15</v>
      </c>
      <c r="D186" t="s">
        <v>28</v>
      </c>
      <c r="E186" t="s">
        <v>11</v>
      </c>
      <c r="F186" t="s">
        <v>12</v>
      </c>
      <c r="G186" s="5">
        <v>0.06</v>
      </c>
      <c r="H186" t="b">
        <f>COUNTIFS(OrderLines[OrderID],Orders[[#This Row],[OrderID]],OrderLines[Category],"Beverage")&gt;0</f>
        <v>1</v>
      </c>
      <c r="I186">
        <f>SUMIFS(OrderLines[Revenue],OrderLines[OrderID],Orders[[#This Row],[OrderID]])</f>
        <v>138.85679999999999</v>
      </c>
      <c r="J186" t="str">
        <f>IF(AND(COUNTIFS(OrderLines[OrderID],Orders[[#This Row],[OrderID]],OrderLines[Category],"Hot Meal")&gt;0,COUNTIFS(OrderLines[OrderID],Orders[[#This Row],[OrderID]],OrderLines[Category],"Beverage")&gt;0),"Combo","Single")</f>
        <v>Single</v>
      </c>
      <c r="K186" s="17" t="str">
        <f>IF(SUMPRODUCT((OrderLines[OrderID]=Orders[[#This Row],[OrderID]])*OrderLines[Qty]*OrderLines[UnitPrice])*Orders[[#This Row],[DiscountPct]]&gt;40,"HighDisc","OK")</f>
        <v>OK</v>
      </c>
      <c r="L186" s="11">
        <f>SUMIFS(OrderLines[Revenue],OrderLines[OrderID],Orders[[#This Row],[OrderID]])-SUMIFS(OrderLines[FoodCost],OrderLines[OrderID],Orders[[#This Row],[OrderID]])</f>
        <v>65.90679999999999</v>
      </c>
      <c r="M186" s="5">
        <f>Orders[[#This Row],[GrossProfit]]/Orders[[#This Row],[OrderTotal]]</f>
        <v>0.47463862050688188</v>
      </c>
      <c r="N186" s="17" t="b">
        <f>COUNTIFS(OrderLines[OrderID],Orders[[#This Row],[OrderID]],OrderLines[Category],"Hot Meal")&gt;0</f>
        <v>0</v>
      </c>
      <c r="O186" s="17" t="b">
        <f>COUNTIFS(OrderLines[OrderID],Orders[[#This Row],[OrderID]],OrderLines[Category],"Snack")&gt;0</f>
        <v>1</v>
      </c>
      <c r="P186" s="17" t="b">
        <f>COUNTIFS(OrderLines[OrderID],Orders[[#This Row],[OrderID]],OrderLines[Category],"Dessert")&gt;0</f>
        <v>1</v>
      </c>
      <c r="Q186" s="11">
        <f>Orders[[#This Row],[OrderTotal]]-Orders[[#This Row],[GrossProfit]]</f>
        <v>72.95</v>
      </c>
    </row>
    <row r="187" spans="1:17" x14ac:dyDescent="0.25">
      <c r="A187" t="s">
        <v>223</v>
      </c>
      <c r="B187" s="1">
        <v>45842.060497685183</v>
      </c>
      <c r="C187" t="s">
        <v>27</v>
      </c>
      <c r="D187" t="s">
        <v>16</v>
      </c>
      <c r="E187" t="s">
        <v>17</v>
      </c>
      <c r="F187" t="s">
        <v>12</v>
      </c>
      <c r="G187" s="5">
        <v>0.02</v>
      </c>
      <c r="H187" t="b">
        <f>COUNTIFS(OrderLines[OrderID],Orders[[#This Row],[OrderID]],OrderLines[Category],"Beverage")&gt;0</f>
        <v>1</v>
      </c>
      <c r="I187">
        <f>SUMIFS(OrderLines[Revenue],OrderLines[OrderID],Orders[[#This Row],[OrderID]])</f>
        <v>59.4664</v>
      </c>
      <c r="J187" t="str">
        <f>IF(AND(COUNTIFS(OrderLines[OrderID],Orders[[#This Row],[OrderID]],OrderLines[Category],"Hot Meal")&gt;0,COUNTIFS(OrderLines[OrderID],Orders[[#This Row],[OrderID]],OrderLines[Category],"Beverage")&gt;0),"Combo","Single")</f>
        <v>Single</v>
      </c>
      <c r="K187" s="17" t="str">
        <f>IF(SUMPRODUCT((OrderLines[OrderID]=Orders[[#This Row],[OrderID]])*OrderLines[Qty]*OrderLines[UnitPrice])*Orders[[#This Row],[DiscountPct]]&gt;40,"HighDisc","OK")</f>
        <v>OK</v>
      </c>
      <c r="L187" s="11">
        <f>SUMIFS(OrderLines[Revenue],OrderLines[OrderID],Orders[[#This Row],[OrderID]])-SUMIFS(OrderLines[FoodCost],OrderLines[OrderID],Orders[[#This Row],[OrderID]])</f>
        <v>31.106400000000001</v>
      </c>
      <c r="M187" s="5">
        <f>Orders[[#This Row],[GrossProfit]]/Orders[[#This Row],[OrderTotal]]</f>
        <v>0.52309203180283326</v>
      </c>
      <c r="N187" s="17" t="b">
        <f>COUNTIFS(OrderLines[OrderID],Orders[[#This Row],[OrderID]],OrderLines[Category],"Hot Meal")&gt;0</f>
        <v>0</v>
      </c>
      <c r="O187" s="17" t="b">
        <f>COUNTIFS(OrderLines[OrderID],Orders[[#This Row],[OrderID]],OrderLines[Category],"Snack")&gt;0</f>
        <v>0</v>
      </c>
      <c r="P187" s="17" t="b">
        <f>COUNTIFS(OrderLines[OrderID],Orders[[#This Row],[OrderID]],OrderLines[Category],"Dessert")&gt;0</f>
        <v>0</v>
      </c>
      <c r="Q187" s="11">
        <f>Orders[[#This Row],[OrderTotal]]-Orders[[#This Row],[GrossProfit]]</f>
        <v>28.36</v>
      </c>
    </row>
    <row r="188" spans="1:17" x14ac:dyDescent="0.25">
      <c r="A188" t="s">
        <v>224</v>
      </c>
      <c r="B188" s="1">
        <v>45874.053333333337</v>
      </c>
      <c r="C188" t="s">
        <v>15</v>
      </c>
      <c r="D188" t="s">
        <v>16</v>
      </c>
      <c r="E188" t="s">
        <v>17</v>
      </c>
      <c r="F188" t="s">
        <v>12</v>
      </c>
      <c r="G188" s="5">
        <v>0.03</v>
      </c>
      <c r="H188" t="b">
        <f>COUNTIFS(OrderLines[OrderID],Orders[[#This Row],[OrderID]],OrderLines[Category],"Beverage")&gt;0</f>
        <v>1</v>
      </c>
      <c r="I188">
        <f>SUMIFS(OrderLines[Revenue],OrderLines[OrderID],Orders[[#This Row],[OrderID]])</f>
        <v>403.25810000000001</v>
      </c>
      <c r="J188" t="str">
        <f>IF(AND(COUNTIFS(OrderLines[OrderID],Orders[[#This Row],[OrderID]],OrderLines[Category],"Hot Meal")&gt;0,COUNTIFS(OrderLines[OrderID],Orders[[#This Row],[OrderID]],OrderLines[Category],"Beverage")&gt;0),"Combo","Single")</f>
        <v>Combo</v>
      </c>
      <c r="K188" s="17" t="str">
        <f>IF(SUMPRODUCT((OrderLines[OrderID]=Orders[[#This Row],[OrderID]])*OrderLines[Qty]*OrderLines[UnitPrice])*Orders[[#This Row],[DiscountPct]]&gt;40,"HighDisc","OK")</f>
        <v>OK</v>
      </c>
      <c r="L188" s="11">
        <f>SUMIFS(OrderLines[Revenue],OrderLines[OrderID],Orders[[#This Row],[OrderID]])-SUMIFS(OrderLines[FoodCost],OrderLines[OrderID],Orders[[#This Row],[OrderID]])</f>
        <v>225.79810000000003</v>
      </c>
      <c r="M188" s="5">
        <f>Orders[[#This Row],[GrossProfit]]/Orders[[#This Row],[OrderTotal]]</f>
        <v>0.55993444397025138</v>
      </c>
      <c r="N188" s="17" t="b">
        <f>COUNTIFS(OrderLines[OrderID],Orders[[#This Row],[OrderID]],OrderLines[Category],"Hot Meal")&gt;0</f>
        <v>1</v>
      </c>
      <c r="O188" s="17" t="b">
        <f>COUNTIFS(OrderLines[OrderID],Orders[[#This Row],[OrderID]],OrderLines[Category],"Snack")&gt;0</f>
        <v>1</v>
      </c>
      <c r="P188" s="17" t="b">
        <f>COUNTIFS(OrderLines[OrderID],Orders[[#This Row],[OrderID]],OrderLines[Category],"Dessert")&gt;0</f>
        <v>1</v>
      </c>
      <c r="Q188" s="11">
        <f>Orders[[#This Row],[OrderTotal]]-Orders[[#This Row],[GrossProfit]]</f>
        <v>177.45999999999998</v>
      </c>
    </row>
    <row r="189" spans="1:17" x14ac:dyDescent="0.25">
      <c r="A189" t="s">
        <v>225</v>
      </c>
      <c r="B189" s="1">
        <v>45890.821134259262</v>
      </c>
      <c r="C189" t="s">
        <v>15</v>
      </c>
      <c r="D189" t="s">
        <v>10</v>
      </c>
      <c r="E189" t="s">
        <v>11</v>
      </c>
      <c r="F189" t="s">
        <v>18</v>
      </c>
      <c r="G189" s="5">
        <v>0.09</v>
      </c>
      <c r="H189" t="b">
        <f>COUNTIFS(OrderLines[OrderID],Orders[[#This Row],[OrderID]],OrderLines[Category],"Beverage")&gt;0</f>
        <v>1</v>
      </c>
      <c r="I189">
        <f>SUMIFS(OrderLines[Revenue],OrderLines[OrderID],Orders[[#This Row],[OrderID]])</f>
        <v>186.86850000000001</v>
      </c>
      <c r="J189" t="str">
        <f>IF(AND(COUNTIFS(OrderLines[OrderID],Orders[[#This Row],[OrderID]],OrderLines[Category],"Hot Meal")&gt;0,COUNTIFS(OrderLines[OrderID],Orders[[#This Row],[OrderID]],OrderLines[Category],"Beverage")&gt;0),"Combo","Single")</f>
        <v>Single</v>
      </c>
      <c r="K189" s="17" t="str">
        <f>IF(SUMPRODUCT((OrderLines[OrderID]=Orders[[#This Row],[OrderID]])*OrderLines[Qty]*OrderLines[UnitPrice])*Orders[[#This Row],[DiscountPct]]&gt;40,"HighDisc","OK")</f>
        <v>OK</v>
      </c>
      <c r="L189" s="11">
        <f>SUMIFS(OrderLines[Revenue],OrderLines[OrderID],Orders[[#This Row],[OrderID]])-SUMIFS(OrderLines[FoodCost],OrderLines[OrderID],Orders[[#This Row],[OrderID]])</f>
        <v>93.688500000000005</v>
      </c>
      <c r="M189" s="5">
        <f>Orders[[#This Row],[GrossProfit]]/Orders[[#This Row],[OrderTotal]]</f>
        <v>0.50136058244166348</v>
      </c>
      <c r="N189" s="17" t="b">
        <f>COUNTIFS(OrderLines[OrderID],Orders[[#This Row],[OrderID]],OrderLines[Category],"Hot Meal")&gt;0</f>
        <v>0</v>
      </c>
      <c r="O189" s="17" t="b">
        <f>COUNTIFS(OrderLines[OrderID],Orders[[#This Row],[OrderID]],OrderLines[Category],"Snack")&gt;0</f>
        <v>1</v>
      </c>
      <c r="P189" s="17" t="b">
        <f>COUNTIFS(OrderLines[OrderID],Orders[[#This Row],[OrderID]],OrderLines[Category],"Dessert")&gt;0</f>
        <v>0</v>
      </c>
      <c r="Q189" s="11">
        <f>Orders[[#This Row],[OrderTotal]]-Orders[[#This Row],[GrossProfit]]</f>
        <v>93.18</v>
      </c>
    </row>
    <row r="190" spans="1:17" x14ac:dyDescent="0.25">
      <c r="A190" t="s">
        <v>226</v>
      </c>
      <c r="B190" s="1">
        <v>45855.75377314815</v>
      </c>
      <c r="C190" t="s">
        <v>27</v>
      </c>
      <c r="D190" t="s">
        <v>28</v>
      </c>
      <c r="E190" t="s">
        <v>11</v>
      </c>
      <c r="F190" t="s">
        <v>18</v>
      </c>
      <c r="G190" s="5">
        <v>0.03</v>
      </c>
      <c r="H190" t="b">
        <f>COUNTIFS(OrderLines[OrderID],Orders[[#This Row],[OrderID]],OrderLines[Category],"Beverage")&gt;0</f>
        <v>1</v>
      </c>
      <c r="I190">
        <f>SUMIFS(OrderLines[Revenue],OrderLines[OrderID],Orders[[#This Row],[OrderID]])</f>
        <v>584.85180000000003</v>
      </c>
      <c r="J190" t="str">
        <f>IF(AND(COUNTIFS(OrderLines[OrderID],Orders[[#This Row],[OrderID]],OrderLines[Category],"Hot Meal")&gt;0,COUNTIFS(OrderLines[OrderID],Orders[[#This Row],[OrderID]],OrderLines[Category],"Beverage")&gt;0),"Combo","Single")</f>
        <v>Combo</v>
      </c>
      <c r="K190" s="17" t="str">
        <f>IF(SUMPRODUCT((OrderLines[OrderID]=Orders[[#This Row],[OrderID]])*OrderLines[Qty]*OrderLines[UnitPrice])*Orders[[#This Row],[DiscountPct]]&gt;40,"HighDisc","OK")</f>
        <v>OK</v>
      </c>
      <c r="L190" s="11">
        <f>SUMIFS(OrderLines[Revenue],OrderLines[OrderID],Orders[[#This Row],[OrderID]])-SUMIFS(OrderLines[FoodCost],OrderLines[OrderID],Orders[[#This Row],[OrderID]])</f>
        <v>308.8818</v>
      </c>
      <c r="M190" s="5">
        <f>Orders[[#This Row],[GrossProfit]]/Orders[[#This Row],[OrderTotal]]</f>
        <v>0.5281368715972149</v>
      </c>
      <c r="N190" s="17" t="b">
        <f>COUNTIFS(OrderLines[OrderID],Orders[[#This Row],[OrderID]],OrderLines[Category],"Hot Meal")&gt;0</f>
        <v>1</v>
      </c>
      <c r="O190" s="17" t="b">
        <f>COUNTIFS(OrderLines[OrderID],Orders[[#This Row],[OrderID]],OrderLines[Category],"Snack")&gt;0</f>
        <v>1</v>
      </c>
      <c r="P190" s="17" t="b">
        <f>COUNTIFS(OrderLines[OrderID],Orders[[#This Row],[OrderID]],OrderLines[Category],"Dessert")&gt;0</f>
        <v>0</v>
      </c>
      <c r="Q190" s="11">
        <f>Orders[[#This Row],[OrderTotal]]-Orders[[#This Row],[GrossProfit]]</f>
        <v>275.97000000000003</v>
      </c>
    </row>
    <row r="191" spans="1:17" x14ac:dyDescent="0.25">
      <c r="A191" t="s">
        <v>227</v>
      </c>
      <c r="B191" s="1">
        <v>45862.632245370369</v>
      </c>
      <c r="C191" t="s">
        <v>15</v>
      </c>
      <c r="D191" t="s">
        <v>10</v>
      </c>
      <c r="E191" t="s">
        <v>17</v>
      </c>
      <c r="F191" t="s">
        <v>22</v>
      </c>
      <c r="G191" s="5">
        <v>7.0000000000000007E-2</v>
      </c>
      <c r="H191" t="b">
        <f>COUNTIFS(OrderLines[OrderID],Orders[[#This Row],[OrderID]],OrderLines[Category],"Beverage")&gt;0</f>
        <v>0</v>
      </c>
      <c r="I191">
        <f>SUMIFS(OrderLines[Revenue],OrderLines[OrderID],Orders[[#This Row],[OrderID]])</f>
        <v>136.15199999999999</v>
      </c>
      <c r="J191" t="str">
        <f>IF(AND(COUNTIFS(OrderLines[OrderID],Orders[[#This Row],[OrderID]],OrderLines[Category],"Hot Meal")&gt;0,COUNTIFS(OrderLines[OrderID],Orders[[#This Row],[OrderID]],OrderLines[Category],"Beverage")&gt;0),"Combo","Single")</f>
        <v>Single</v>
      </c>
      <c r="K191" s="17" t="str">
        <f>IF(SUMPRODUCT((OrderLines[OrderID]=Orders[[#This Row],[OrderID]])*OrderLines[Qty]*OrderLines[UnitPrice])*Orders[[#This Row],[DiscountPct]]&gt;40,"HighDisc","OK")</f>
        <v>OK</v>
      </c>
      <c r="L191" s="11">
        <f>SUMIFS(OrderLines[Revenue],OrderLines[OrderID],Orders[[#This Row],[OrderID]])-SUMIFS(OrderLines[FoodCost],OrderLines[OrderID],Orders[[#This Row],[OrderID]])</f>
        <v>55.231999999999985</v>
      </c>
      <c r="M191" s="5">
        <f>Orders[[#This Row],[GrossProfit]]/Orders[[#This Row],[OrderTotal]]</f>
        <v>0.40566425759445318</v>
      </c>
      <c r="N191" s="17" t="b">
        <f>COUNTIFS(OrderLines[OrderID],Orders[[#This Row],[OrderID]],OrderLines[Category],"Hot Meal")&gt;0</f>
        <v>1</v>
      </c>
      <c r="O191" s="17" t="b">
        <f>COUNTIFS(OrderLines[OrderID],Orders[[#This Row],[OrderID]],OrderLines[Category],"Snack")&gt;0</f>
        <v>0</v>
      </c>
      <c r="P191" s="17" t="b">
        <f>COUNTIFS(OrderLines[OrderID],Orders[[#This Row],[OrderID]],OrderLines[Category],"Dessert")&gt;0</f>
        <v>0</v>
      </c>
      <c r="Q191" s="11">
        <f>Orders[[#This Row],[OrderTotal]]-Orders[[#This Row],[GrossProfit]]</f>
        <v>80.92</v>
      </c>
    </row>
    <row r="192" spans="1:17" x14ac:dyDescent="0.25">
      <c r="A192" t="s">
        <v>228</v>
      </c>
      <c r="B192" s="1">
        <v>45884.023206018523</v>
      </c>
      <c r="C192" t="s">
        <v>9</v>
      </c>
      <c r="D192" t="s">
        <v>16</v>
      </c>
      <c r="E192" t="s">
        <v>21</v>
      </c>
      <c r="F192" t="s">
        <v>12</v>
      </c>
      <c r="G192" s="5">
        <v>0.06</v>
      </c>
      <c r="H192" t="b">
        <f>COUNTIFS(OrderLines[OrderID],Orders[[#This Row],[OrderID]],OrderLines[Category],"Beverage")&gt;0</f>
        <v>0</v>
      </c>
      <c r="I192">
        <f>SUMIFS(OrderLines[Revenue],OrderLines[OrderID],Orders[[#This Row],[OrderID]])</f>
        <v>255.2946</v>
      </c>
      <c r="J192" t="str">
        <f>IF(AND(COUNTIFS(OrderLines[OrderID],Orders[[#This Row],[OrderID]],OrderLines[Category],"Hot Meal")&gt;0,COUNTIFS(OrderLines[OrderID],Orders[[#This Row],[OrderID]],OrderLines[Category],"Beverage")&gt;0),"Combo","Single")</f>
        <v>Single</v>
      </c>
      <c r="K192" s="17" t="str">
        <f>IF(SUMPRODUCT((OrderLines[OrderID]=Orders[[#This Row],[OrderID]])*OrderLines[Qty]*OrderLines[UnitPrice])*Orders[[#This Row],[DiscountPct]]&gt;40,"HighDisc","OK")</f>
        <v>OK</v>
      </c>
      <c r="L192" s="11">
        <f>SUMIFS(OrderLines[Revenue],OrderLines[OrderID],Orders[[#This Row],[OrderID]])-SUMIFS(OrderLines[FoodCost],OrderLines[OrderID],Orders[[#This Row],[OrderID]])</f>
        <v>122.65460000000002</v>
      </c>
      <c r="M192" s="5">
        <f>Orders[[#This Row],[GrossProfit]]/Orders[[#This Row],[OrderTotal]]</f>
        <v>0.48044337796412462</v>
      </c>
      <c r="N192" s="17" t="b">
        <f>COUNTIFS(OrderLines[OrderID],Orders[[#This Row],[OrderID]],OrderLines[Category],"Hot Meal")&gt;0</f>
        <v>0</v>
      </c>
      <c r="O192" s="17" t="b">
        <f>COUNTIFS(OrderLines[OrderID],Orders[[#This Row],[OrderID]],OrderLines[Category],"Snack")&gt;0</f>
        <v>1</v>
      </c>
      <c r="P192" s="17" t="b">
        <f>COUNTIFS(OrderLines[OrderID],Orders[[#This Row],[OrderID]],OrderLines[Category],"Dessert")&gt;0</f>
        <v>1</v>
      </c>
      <c r="Q192" s="11">
        <f>Orders[[#This Row],[OrderTotal]]-Orders[[#This Row],[GrossProfit]]</f>
        <v>132.63999999999999</v>
      </c>
    </row>
    <row r="193" spans="1:17" x14ac:dyDescent="0.25">
      <c r="A193" t="s">
        <v>229</v>
      </c>
      <c r="B193" s="1">
        <v>45840.162395833337</v>
      </c>
      <c r="C193" t="s">
        <v>15</v>
      </c>
      <c r="D193" t="s">
        <v>16</v>
      </c>
      <c r="E193" t="s">
        <v>11</v>
      </c>
      <c r="F193" t="s">
        <v>12</v>
      </c>
      <c r="G193" s="5">
        <v>0.03</v>
      </c>
      <c r="H193" t="b">
        <f>COUNTIFS(OrderLines[OrderID],Orders[[#This Row],[OrderID]],OrderLines[Category],"Beverage")&gt;0</f>
        <v>0</v>
      </c>
      <c r="I193">
        <f>SUMIFS(OrderLines[Revenue],OrderLines[OrderID],Orders[[#This Row],[OrderID]])</f>
        <v>498.40540000000004</v>
      </c>
      <c r="J193" t="str">
        <f>IF(AND(COUNTIFS(OrderLines[OrderID],Orders[[#This Row],[OrderID]],OrderLines[Category],"Hot Meal")&gt;0,COUNTIFS(OrderLines[OrderID],Orders[[#This Row],[OrderID]],OrderLines[Category],"Beverage")&gt;0),"Combo","Single")</f>
        <v>Single</v>
      </c>
      <c r="K193" s="17" t="str">
        <f>IF(SUMPRODUCT((OrderLines[OrderID]=Orders[[#This Row],[OrderID]])*OrderLines[Qty]*OrderLines[UnitPrice])*Orders[[#This Row],[DiscountPct]]&gt;40,"HighDisc","OK")</f>
        <v>OK</v>
      </c>
      <c r="L193" s="11">
        <f>SUMIFS(OrderLines[Revenue],OrderLines[OrderID],Orders[[#This Row],[OrderID]])-SUMIFS(OrderLines[FoodCost],OrderLines[OrderID],Orders[[#This Row],[OrderID]])</f>
        <v>255.92540000000005</v>
      </c>
      <c r="M193" s="5">
        <f>Orders[[#This Row],[GrossProfit]]/Orders[[#This Row],[OrderTotal]]</f>
        <v>0.51348841726032668</v>
      </c>
      <c r="N193" s="17" t="b">
        <f>COUNTIFS(OrderLines[OrderID],Orders[[#This Row],[OrderID]],OrderLines[Category],"Hot Meal")&gt;0</f>
        <v>1</v>
      </c>
      <c r="O193" s="17" t="b">
        <f>COUNTIFS(OrderLines[OrderID],Orders[[#This Row],[OrderID]],OrderLines[Category],"Snack")&gt;0</f>
        <v>0</v>
      </c>
      <c r="P193" s="17" t="b">
        <f>COUNTIFS(OrderLines[OrderID],Orders[[#This Row],[OrderID]],OrderLines[Category],"Dessert")&gt;0</f>
        <v>0</v>
      </c>
      <c r="Q193" s="11">
        <f>Orders[[#This Row],[OrderTotal]]-Orders[[#This Row],[GrossProfit]]</f>
        <v>242.48</v>
      </c>
    </row>
    <row r="194" spans="1:17" x14ac:dyDescent="0.25">
      <c r="A194" t="s">
        <v>230</v>
      </c>
      <c r="B194" s="1">
        <v>45854.587905092587</v>
      </c>
      <c r="C194" t="s">
        <v>27</v>
      </c>
      <c r="D194" t="s">
        <v>16</v>
      </c>
      <c r="E194" t="s">
        <v>21</v>
      </c>
      <c r="F194" t="s">
        <v>22</v>
      </c>
      <c r="G194" s="5">
        <v>0.15</v>
      </c>
      <c r="H194" t="b">
        <f>COUNTIFS(OrderLines[OrderID],Orders[[#This Row],[OrderID]],OrderLines[Category],"Beverage")&gt;0</f>
        <v>1</v>
      </c>
      <c r="I194">
        <f>SUMIFS(OrderLines[Revenue],OrderLines[OrderID],Orders[[#This Row],[OrderID]])</f>
        <v>209.661</v>
      </c>
      <c r="J194" t="str">
        <f>IF(AND(COUNTIFS(OrderLines[OrderID],Orders[[#This Row],[OrderID]],OrderLines[Category],"Hot Meal")&gt;0,COUNTIFS(OrderLines[OrderID],Orders[[#This Row],[OrderID]],OrderLines[Category],"Beverage")&gt;0),"Combo","Single")</f>
        <v>Single</v>
      </c>
      <c r="K194" s="17" t="str">
        <f>IF(SUMPRODUCT((OrderLines[OrderID]=Orders[[#This Row],[OrderID]])*OrderLines[Qty]*OrderLines[UnitPrice])*Orders[[#This Row],[DiscountPct]]&gt;40,"HighDisc","OK")</f>
        <v>OK</v>
      </c>
      <c r="L194" s="11">
        <f>SUMIFS(OrderLines[Revenue],OrderLines[OrderID],Orders[[#This Row],[OrderID]])-SUMIFS(OrderLines[FoodCost],OrderLines[OrderID],Orders[[#This Row],[OrderID]])</f>
        <v>101.191</v>
      </c>
      <c r="M194" s="5">
        <f>Orders[[#This Row],[GrossProfit]]/Orders[[#This Row],[OrderTotal]]</f>
        <v>0.482641025274133</v>
      </c>
      <c r="N194" s="17" t="b">
        <f>COUNTIFS(OrderLines[OrderID],Orders[[#This Row],[OrderID]],OrderLines[Category],"Hot Meal")&gt;0</f>
        <v>0</v>
      </c>
      <c r="O194" s="17" t="b">
        <f>COUNTIFS(OrderLines[OrderID],Orders[[#This Row],[OrderID]],OrderLines[Category],"Snack")&gt;0</f>
        <v>1</v>
      </c>
      <c r="P194" s="17" t="b">
        <f>COUNTIFS(OrderLines[OrderID],Orders[[#This Row],[OrderID]],OrderLines[Category],"Dessert")&gt;0</f>
        <v>1</v>
      </c>
      <c r="Q194" s="11">
        <f>Orders[[#This Row],[OrderTotal]]-Orders[[#This Row],[GrossProfit]]</f>
        <v>108.47</v>
      </c>
    </row>
    <row r="195" spans="1:17" x14ac:dyDescent="0.25">
      <c r="A195" t="s">
        <v>231</v>
      </c>
      <c r="B195" s="1">
        <v>45880.44630787037</v>
      </c>
      <c r="C195" t="s">
        <v>9</v>
      </c>
      <c r="D195" t="s">
        <v>16</v>
      </c>
      <c r="E195" t="s">
        <v>21</v>
      </c>
      <c r="F195" t="s">
        <v>12</v>
      </c>
      <c r="G195" s="5">
        <v>0.09</v>
      </c>
      <c r="H195" t="b">
        <f>COUNTIFS(OrderLines[OrderID],Orders[[#This Row],[OrderID]],OrderLines[Category],"Beverage")&gt;0</f>
        <v>1</v>
      </c>
      <c r="I195">
        <f>SUMIFS(OrderLines[Revenue],OrderLines[OrderID],Orders[[#This Row],[OrderID]])</f>
        <v>227.2088</v>
      </c>
      <c r="J195" t="str">
        <f>IF(AND(COUNTIFS(OrderLines[OrderID],Orders[[#This Row],[OrderID]],OrderLines[Category],"Hot Meal")&gt;0,COUNTIFS(OrderLines[OrderID],Orders[[#This Row],[OrderID]],OrderLines[Category],"Beverage")&gt;0),"Combo","Single")</f>
        <v>Single</v>
      </c>
      <c r="K195" s="17" t="str">
        <f>IF(SUMPRODUCT((OrderLines[OrderID]=Orders[[#This Row],[OrderID]])*OrderLines[Qty]*OrderLines[UnitPrice])*Orders[[#This Row],[DiscountPct]]&gt;40,"HighDisc","OK")</f>
        <v>OK</v>
      </c>
      <c r="L195" s="11">
        <f>SUMIFS(OrderLines[Revenue],OrderLines[OrderID],Orders[[#This Row],[OrderID]])-SUMIFS(OrderLines[FoodCost],OrderLines[OrderID],Orders[[#This Row],[OrderID]])</f>
        <v>111.62879999999998</v>
      </c>
      <c r="M195" s="5">
        <f>Orders[[#This Row],[GrossProfit]]/Orders[[#This Row],[OrderTotal]]</f>
        <v>0.49130491424627915</v>
      </c>
      <c r="N195" s="17" t="b">
        <f>COUNTIFS(OrderLines[OrderID],Orders[[#This Row],[OrderID]],OrderLines[Category],"Hot Meal")&gt;0</f>
        <v>0</v>
      </c>
      <c r="O195" s="17" t="b">
        <f>COUNTIFS(OrderLines[OrderID],Orders[[#This Row],[OrderID]],OrderLines[Category],"Snack")&gt;0</f>
        <v>1</v>
      </c>
      <c r="P195" s="17" t="b">
        <f>COUNTIFS(OrderLines[OrderID],Orders[[#This Row],[OrderID]],OrderLines[Category],"Dessert")&gt;0</f>
        <v>0</v>
      </c>
      <c r="Q195" s="11">
        <f>Orders[[#This Row],[OrderTotal]]-Orders[[#This Row],[GrossProfit]]</f>
        <v>115.58000000000001</v>
      </c>
    </row>
    <row r="196" spans="1:17" x14ac:dyDescent="0.25">
      <c r="A196" t="s">
        <v>232</v>
      </c>
      <c r="B196" s="1">
        <v>45858.592048611114</v>
      </c>
      <c r="C196" t="s">
        <v>15</v>
      </c>
      <c r="D196" t="s">
        <v>16</v>
      </c>
      <c r="E196" t="s">
        <v>17</v>
      </c>
      <c r="F196" t="s">
        <v>22</v>
      </c>
      <c r="G196" s="5">
        <v>0</v>
      </c>
      <c r="H196" t="b">
        <f>COUNTIFS(OrderLines[OrderID],Orders[[#This Row],[OrderID]],OrderLines[Category],"Beverage")&gt;0</f>
        <v>0</v>
      </c>
      <c r="I196">
        <f>SUMIFS(OrderLines[Revenue],OrderLines[OrderID],Orders[[#This Row],[OrderID]])</f>
        <v>731</v>
      </c>
      <c r="J196" t="str">
        <f>IF(AND(COUNTIFS(OrderLines[OrderID],Orders[[#This Row],[OrderID]],OrderLines[Category],"Hot Meal")&gt;0,COUNTIFS(OrderLines[OrderID],Orders[[#This Row],[OrderID]],OrderLines[Category],"Beverage")&gt;0),"Combo","Single")</f>
        <v>Single</v>
      </c>
      <c r="K196" s="17" t="str">
        <f>IF(SUMPRODUCT((OrderLines[OrderID]=Orders[[#This Row],[OrderID]])*OrderLines[Qty]*OrderLines[UnitPrice])*Orders[[#This Row],[DiscountPct]]&gt;40,"HighDisc","OK")</f>
        <v>OK</v>
      </c>
      <c r="L196" s="11">
        <f>SUMIFS(OrderLines[Revenue],OrderLines[OrderID],Orders[[#This Row],[OrderID]])-SUMIFS(OrderLines[FoodCost],OrderLines[OrderID],Orders[[#This Row],[OrderID]])</f>
        <v>394.33000000000004</v>
      </c>
      <c r="M196" s="5">
        <f>Orders[[#This Row],[GrossProfit]]/Orders[[#This Row],[OrderTotal]]</f>
        <v>0.53943912448700415</v>
      </c>
      <c r="N196" s="17" t="b">
        <f>COUNTIFS(OrderLines[OrderID],Orders[[#This Row],[OrderID]],OrderLines[Category],"Hot Meal")&gt;0</f>
        <v>1</v>
      </c>
      <c r="O196" s="17" t="b">
        <f>COUNTIFS(OrderLines[OrderID],Orders[[#This Row],[OrderID]],OrderLines[Category],"Snack")&gt;0</f>
        <v>1</v>
      </c>
      <c r="P196" s="17" t="b">
        <f>COUNTIFS(OrderLines[OrderID],Orders[[#This Row],[OrderID]],OrderLines[Category],"Dessert")&gt;0</f>
        <v>1</v>
      </c>
      <c r="Q196" s="11">
        <f>Orders[[#This Row],[OrderTotal]]-Orders[[#This Row],[GrossProfit]]</f>
        <v>336.66999999999996</v>
      </c>
    </row>
    <row r="197" spans="1:17" x14ac:dyDescent="0.25">
      <c r="A197" t="s">
        <v>233</v>
      </c>
      <c r="B197" s="1">
        <v>45876.27679398148</v>
      </c>
      <c r="C197" t="s">
        <v>9</v>
      </c>
      <c r="D197" t="s">
        <v>16</v>
      </c>
      <c r="E197" t="s">
        <v>11</v>
      </c>
      <c r="F197" t="s">
        <v>12</v>
      </c>
      <c r="G197" s="5">
        <v>7.0000000000000007E-2</v>
      </c>
      <c r="H197" t="b">
        <f>COUNTIFS(OrderLines[OrderID],Orders[[#This Row],[OrderID]],OrderLines[Category],"Beverage")&gt;0</f>
        <v>0</v>
      </c>
      <c r="I197">
        <f>SUMIFS(OrderLines[Revenue],OrderLines[OrderID],Orders[[#This Row],[OrderID]])</f>
        <v>318.80399999999997</v>
      </c>
      <c r="J197" t="str">
        <f>IF(AND(COUNTIFS(OrderLines[OrderID],Orders[[#This Row],[OrderID]],OrderLines[Category],"Hot Meal")&gt;0,COUNTIFS(OrderLines[OrderID],Orders[[#This Row],[OrderID]],OrderLines[Category],"Beverage")&gt;0),"Combo","Single")</f>
        <v>Single</v>
      </c>
      <c r="K197" s="17" t="str">
        <f>IF(SUMPRODUCT((OrderLines[OrderID]=Orders[[#This Row],[OrderID]])*OrderLines[Qty]*OrderLines[UnitPrice])*Orders[[#This Row],[DiscountPct]]&gt;40,"HighDisc","OK")</f>
        <v>OK</v>
      </c>
      <c r="L197" s="11">
        <f>SUMIFS(OrderLines[Revenue],OrderLines[OrderID],Orders[[#This Row],[OrderID]])-SUMIFS(OrderLines[FoodCost],OrderLines[OrderID],Orders[[#This Row],[OrderID]])</f>
        <v>153.12399999999997</v>
      </c>
      <c r="M197" s="5">
        <f>Orders[[#This Row],[GrossProfit]]/Orders[[#This Row],[OrderTotal]]</f>
        <v>0.48030764984128171</v>
      </c>
      <c r="N197" s="17" t="b">
        <f>COUNTIFS(OrderLines[OrderID],Orders[[#This Row],[OrderID]],OrderLines[Category],"Hot Meal")&gt;0</f>
        <v>1</v>
      </c>
      <c r="O197" s="17" t="b">
        <f>COUNTIFS(OrderLines[OrderID],Orders[[#This Row],[OrderID]],OrderLines[Category],"Snack")&gt;0</f>
        <v>1</v>
      </c>
      <c r="P197" s="17" t="b">
        <f>COUNTIFS(OrderLines[OrderID],Orders[[#This Row],[OrderID]],OrderLines[Category],"Dessert")&gt;0</f>
        <v>1</v>
      </c>
      <c r="Q197" s="11">
        <f>Orders[[#This Row],[OrderTotal]]-Orders[[#This Row],[GrossProfit]]</f>
        <v>165.68</v>
      </c>
    </row>
    <row r="198" spans="1:17" x14ac:dyDescent="0.25">
      <c r="A198" t="s">
        <v>234</v>
      </c>
      <c r="B198" s="1">
        <v>45867.9140625</v>
      </c>
      <c r="C198" t="s">
        <v>27</v>
      </c>
      <c r="D198" t="s">
        <v>10</v>
      </c>
      <c r="E198" t="s">
        <v>21</v>
      </c>
      <c r="F198" t="s">
        <v>18</v>
      </c>
      <c r="G198" s="5">
        <v>0.03</v>
      </c>
      <c r="H198" t="b">
        <f>COUNTIFS(OrderLines[OrderID],Orders[[#This Row],[OrderID]],OrderLines[Category],"Beverage")&gt;0</f>
        <v>1</v>
      </c>
      <c r="I198">
        <f>SUMIFS(OrderLines[Revenue],OrderLines[OrderID],Orders[[#This Row],[OrderID]])</f>
        <v>308.06230000000005</v>
      </c>
      <c r="J198" t="str">
        <f>IF(AND(COUNTIFS(OrderLines[OrderID],Orders[[#This Row],[OrderID]],OrderLines[Category],"Hot Meal")&gt;0,COUNTIFS(OrderLines[OrderID],Orders[[#This Row],[OrderID]],OrderLines[Category],"Beverage")&gt;0),"Combo","Single")</f>
        <v>Combo</v>
      </c>
      <c r="K198" s="17" t="str">
        <f>IF(SUMPRODUCT((OrderLines[OrderID]=Orders[[#This Row],[OrderID]])*OrderLines[Qty]*OrderLines[UnitPrice])*Orders[[#This Row],[DiscountPct]]&gt;40,"HighDisc","OK")</f>
        <v>OK</v>
      </c>
      <c r="L198" s="11">
        <f>SUMIFS(OrderLines[Revenue],OrderLines[OrderID],Orders[[#This Row],[OrderID]])-SUMIFS(OrderLines[FoodCost],OrderLines[OrderID],Orders[[#This Row],[OrderID]])</f>
        <v>158.46230000000006</v>
      </c>
      <c r="M198" s="5">
        <f>Orders[[#This Row],[GrossProfit]]/Orders[[#This Row],[OrderTotal]]</f>
        <v>0.51438394117034125</v>
      </c>
      <c r="N198" s="17" t="b">
        <f>COUNTIFS(OrderLines[OrderID],Orders[[#This Row],[OrderID]],OrderLines[Category],"Hot Meal")&gt;0</f>
        <v>1</v>
      </c>
      <c r="O198" s="17" t="b">
        <f>COUNTIFS(OrderLines[OrderID],Orders[[#This Row],[OrderID]],OrderLines[Category],"Snack")&gt;0</f>
        <v>0</v>
      </c>
      <c r="P198" s="17" t="b">
        <f>COUNTIFS(OrderLines[OrderID],Orders[[#This Row],[OrderID]],OrderLines[Category],"Dessert")&gt;0</f>
        <v>0</v>
      </c>
      <c r="Q198" s="11">
        <f>Orders[[#This Row],[OrderTotal]]-Orders[[#This Row],[GrossProfit]]</f>
        <v>149.6</v>
      </c>
    </row>
    <row r="199" spans="1:17" x14ac:dyDescent="0.25">
      <c r="A199" t="s">
        <v>235</v>
      </c>
      <c r="B199" s="1">
        <v>45840.036226851851</v>
      </c>
      <c r="C199" t="s">
        <v>9</v>
      </c>
      <c r="D199" t="s">
        <v>10</v>
      </c>
      <c r="E199" t="s">
        <v>11</v>
      </c>
      <c r="F199" t="s">
        <v>12</v>
      </c>
      <c r="G199" s="5">
        <v>0.09</v>
      </c>
      <c r="H199" t="b">
        <f>COUNTIFS(OrderLines[OrderID],Orders[[#This Row],[OrderID]],OrderLines[Category],"Beverage")&gt;0</f>
        <v>1</v>
      </c>
      <c r="I199">
        <f>SUMIFS(OrderLines[Revenue],OrderLines[OrderID],Orders[[#This Row],[OrderID]])</f>
        <v>107.1525</v>
      </c>
      <c r="J199" t="str">
        <f>IF(AND(COUNTIFS(OrderLines[OrderID],Orders[[#This Row],[OrderID]],OrderLines[Category],"Hot Meal")&gt;0,COUNTIFS(OrderLines[OrderID],Orders[[#This Row],[OrderID]],OrderLines[Category],"Beverage")&gt;0),"Combo","Single")</f>
        <v>Single</v>
      </c>
      <c r="K199" s="17" t="str">
        <f>IF(SUMPRODUCT((OrderLines[OrderID]=Orders[[#This Row],[OrderID]])*OrderLines[Qty]*OrderLines[UnitPrice])*Orders[[#This Row],[DiscountPct]]&gt;40,"HighDisc","OK")</f>
        <v>OK</v>
      </c>
      <c r="L199" s="11">
        <f>SUMIFS(OrderLines[Revenue],OrderLines[OrderID],Orders[[#This Row],[OrderID]])-SUMIFS(OrderLines[FoodCost],OrderLines[OrderID],Orders[[#This Row],[OrderID]])</f>
        <v>49.652500000000003</v>
      </c>
      <c r="M199" s="5">
        <f>Orders[[#This Row],[GrossProfit]]/Orders[[#This Row],[OrderTotal]]</f>
        <v>0.46338162898672453</v>
      </c>
      <c r="N199" s="17" t="b">
        <f>COUNTIFS(OrderLines[OrderID],Orders[[#This Row],[OrderID]],OrderLines[Category],"Hot Meal")&gt;0</f>
        <v>0</v>
      </c>
      <c r="O199" s="17" t="b">
        <f>COUNTIFS(OrderLines[OrderID],Orders[[#This Row],[OrderID]],OrderLines[Category],"Snack")&gt;0</f>
        <v>0</v>
      </c>
      <c r="P199" s="17" t="b">
        <f>COUNTIFS(OrderLines[OrderID],Orders[[#This Row],[OrderID]],OrderLines[Category],"Dessert")&gt;0</f>
        <v>1</v>
      </c>
      <c r="Q199" s="11">
        <f>Orders[[#This Row],[OrderTotal]]-Orders[[#This Row],[GrossProfit]]</f>
        <v>57.5</v>
      </c>
    </row>
    <row r="200" spans="1:17" x14ac:dyDescent="0.25">
      <c r="A200" t="s">
        <v>236</v>
      </c>
      <c r="B200" s="1">
        <v>45898.126226851848</v>
      </c>
      <c r="C200" t="s">
        <v>9</v>
      </c>
      <c r="D200" t="s">
        <v>16</v>
      </c>
      <c r="E200" t="s">
        <v>21</v>
      </c>
      <c r="F200" t="s">
        <v>12</v>
      </c>
      <c r="G200" s="5">
        <v>0.03</v>
      </c>
      <c r="H200" t="b">
        <f>COUNTIFS(OrderLines[OrderID],Orders[[#This Row],[OrderID]],OrderLines[Category],"Beverage")&gt;0</f>
        <v>1</v>
      </c>
      <c r="I200">
        <f>SUMIFS(OrderLines[Revenue],OrderLines[OrderID],Orders[[#This Row],[OrderID]])</f>
        <v>851.31080000000009</v>
      </c>
      <c r="J200" t="str">
        <f>IF(AND(COUNTIFS(OrderLines[OrderID],Orders[[#This Row],[OrderID]],OrderLines[Category],"Hot Meal")&gt;0,COUNTIFS(OrderLines[OrderID],Orders[[#This Row],[OrderID]],OrderLines[Category],"Beverage")&gt;0),"Combo","Single")</f>
        <v>Combo</v>
      </c>
      <c r="K200" s="17" t="str">
        <f>IF(SUMPRODUCT((OrderLines[OrderID]=Orders[[#This Row],[OrderID]])*OrderLines[Qty]*OrderLines[UnitPrice])*Orders[[#This Row],[DiscountPct]]&gt;40,"HighDisc","OK")</f>
        <v>OK</v>
      </c>
      <c r="L200" s="11">
        <f>SUMIFS(OrderLines[Revenue],OrderLines[OrderID],Orders[[#This Row],[OrderID]])-SUMIFS(OrderLines[FoodCost],OrderLines[OrderID],Orders[[#This Row],[OrderID]])</f>
        <v>458.01080000000013</v>
      </c>
      <c r="M200" s="5">
        <f>Orders[[#This Row],[GrossProfit]]/Orders[[#This Row],[OrderTotal]]</f>
        <v>0.5380065658746489</v>
      </c>
      <c r="N200" s="17" t="b">
        <f>COUNTIFS(OrderLines[OrderID],Orders[[#This Row],[OrderID]],OrderLines[Category],"Hot Meal")&gt;0</f>
        <v>1</v>
      </c>
      <c r="O200" s="17" t="b">
        <f>COUNTIFS(OrderLines[OrderID],Orders[[#This Row],[OrderID]],OrderLines[Category],"Snack")&gt;0</f>
        <v>0</v>
      </c>
      <c r="P200" s="17" t="b">
        <f>COUNTIFS(OrderLines[OrderID],Orders[[#This Row],[OrderID]],OrderLines[Category],"Dessert")&gt;0</f>
        <v>0</v>
      </c>
      <c r="Q200" s="11">
        <f>Orders[[#This Row],[OrderTotal]]-Orders[[#This Row],[GrossProfit]]</f>
        <v>393.29999999999995</v>
      </c>
    </row>
    <row r="201" spans="1:17" x14ac:dyDescent="0.25">
      <c r="A201" t="s">
        <v>237</v>
      </c>
      <c r="B201" s="1">
        <v>45898.190162037034</v>
      </c>
      <c r="C201" t="s">
        <v>15</v>
      </c>
      <c r="D201" t="s">
        <v>28</v>
      </c>
      <c r="E201" t="s">
        <v>11</v>
      </c>
      <c r="F201" t="s">
        <v>12</v>
      </c>
      <c r="G201" s="5">
        <v>0.06</v>
      </c>
      <c r="H201" t="b">
        <f>COUNTIFS(OrderLines[OrderID],Orders[[#This Row],[OrderID]],OrderLines[Category],"Beverage")&gt;0</f>
        <v>0</v>
      </c>
      <c r="I201">
        <f>SUMIFS(OrderLines[Revenue],OrderLines[OrderID],Orders[[#This Row],[OrderID]])</f>
        <v>37.552999999999997</v>
      </c>
      <c r="J201" t="str">
        <f>IF(AND(COUNTIFS(OrderLines[OrderID],Orders[[#This Row],[OrderID]],OrderLines[Category],"Hot Meal")&gt;0,COUNTIFS(OrderLines[OrderID],Orders[[#This Row],[OrderID]],OrderLines[Category],"Beverage")&gt;0),"Combo","Single")</f>
        <v>Single</v>
      </c>
      <c r="K201" s="17" t="str">
        <f>IF(SUMPRODUCT((OrderLines[OrderID]=Orders[[#This Row],[OrderID]])*OrderLines[Qty]*OrderLines[UnitPrice])*Orders[[#This Row],[DiscountPct]]&gt;40,"HighDisc","OK")</f>
        <v>OK</v>
      </c>
      <c r="L201" s="11">
        <f>SUMIFS(OrderLines[Revenue],OrderLines[OrderID],Orders[[#This Row],[OrderID]])-SUMIFS(OrderLines[FoodCost],OrderLines[OrderID],Orders[[#This Row],[OrderID]])</f>
        <v>22.042999999999999</v>
      </c>
      <c r="M201" s="5">
        <f>Orders[[#This Row],[GrossProfit]]/Orders[[#This Row],[OrderTotal]]</f>
        <v>0.58698372966207757</v>
      </c>
      <c r="N201" s="17" t="b">
        <f>COUNTIFS(OrderLines[OrderID],Orders[[#This Row],[OrderID]],OrderLines[Category],"Hot Meal")&gt;0</f>
        <v>0</v>
      </c>
      <c r="O201" s="17" t="b">
        <f>COUNTIFS(OrderLines[OrderID],Orders[[#This Row],[OrderID]],OrderLines[Category],"Snack")&gt;0</f>
        <v>1</v>
      </c>
      <c r="P201" s="17" t="b">
        <f>COUNTIFS(OrderLines[OrderID],Orders[[#This Row],[OrderID]],OrderLines[Category],"Dessert")&gt;0</f>
        <v>0</v>
      </c>
      <c r="Q201" s="11">
        <f>Orders[[#This Row],[OrderTotal]]-Orders[[#This Row],[GrossProfit]]</f>
        <v>15.509999999999998</v>
      </c>
    </row>
    <row r="202" spans="1:17" x14ac:dyDescent="0.25">
      <c r="A202" t="s">
        <v>238</v>
      </c>
      <c r="B202" s="1">
        <v>45863.583437499998</v>
      </c>
      <c r="C202" t="s">
        <v>9</v>
      </c>
      <c r="D202" t="s">
        <v>10</v>
      </c>
      <c r="E202" t="s">
        <v>11</v>
      </c>
      <c r="F202" t="s">
        <v>22</v>
      </c>
      <c r="G202" s="5">
        <v>0.08</v>
      </c>
      <c r="H202" t="b">
        <f>COUNTIFS(OrderLines[OrderID],Orders[[#This Row],[OrderID]],OrderLines[Category],"Beverage")&gt;0</f>
        <v>0</v>
      </c>
      <c r="I202">
        <f>SUMIFS(OrderLines[Revenue],OrderLines[OrderID],Orders[[#This Row],[OrderID]])</f>
        <v>35.0152</v>
      </c>
      <c r="J202" t="str">
        <f>IF(AND(COUNTIFS(OrderLines[OrderID],Orders[[#This Row],[OrderID]],OrderLines[Category],"Hot Meal")&gt;0,COUNTIFS(OrderLines[OrderID],Orders[[#This Row],[OrderID]],OrderLines[Category],"Beverage")&gt;0),"Combo","Single")</f>
        <v>Single</v>
      </c>
      <c r="K202" s="17" t="str">
        <f>IF(SUMPRODUCT((OrderLines[OrderID]=Orders[[#This Row],[OrderID]])*OrderLines[Qty]*OrderLines[UnitPrice])*Orders[[#This Row],[DiscountPct]]&gt;40,"HighDisc","OK")</f>
        <v>OK</v>
      </c>
      <c r="L202" s="11">
        <f>SUMIFS(OrderLines[Revenue],OrderLines[OrderID],Orders[[#This Row],[OrderID]])-SUMIFS(OrderLines[FoodCost],OrderLines[OrderID],Orders[[#This Row],[OrderID]])</f>
        <v>15.465199999999999</v>
      </c>
      <c r="M202" s="5">
        <f>Orders[[#This Row],[GrossProfit]]/Orders[[#This Row],[OrderTotal]]</f>
        <v>0.44167104571728849</v>
      </c>
      <c r="N202" s="17" t="b">
        <f>COUNTIFS(OrderLines[OrderID],Orders[[#This Row],[OrderID]],OrderLines[Category],"Hot Meal")&gt;0</f>
        <v>0</v>
      </c>
      <c r="O202" s="17" t="b">
        <f>COUNTIFS(OrderLines[OrderID],Orders[[#This Row],[OrderID]],OrderLines[Category],"Snack")&gt;0</f>
        <v>1</v>
      </c>
      <c r="P202" s="17" t="b">
        <f>COUNTIFS(OrderLines[OrderID],Orders[[#This Row],[OrderID]],OrderLines[Category],"Dessert")&gt;0</f>
        <v>0</v>
      </c>
      <c r="Q202" s="11">
        <f>Orders[[#This Row],[OrderTotal]]-Orders[[#This Row],[GrossProfit]]</f>
        <v>19.55</v>
      </c>
    </row>
    <row r="203" spans="1:17" x14ac:dyDescent="0.25">
      <c r="A203" t="s">
        <v>239</v>
      </c>
      <c r="B203" s="1">
        <v>45848.683680555558</v>
      </c>
      <c r="C203" t="s">
        <v>9</v>
      </c>
      <c r="D203" t="s">
        <v>10</v>
      </c>
      <c r="E203" t="s">
        <v>17</v>
      </c>
      <c r="F203" t="s">
        <v>18</v>
      </c>
      <c r="G203" s="5">
        <v>0.09</v>
      </c>
      <c r="H203" t="b">
        <f>COUNTIFS(OrderLines[OrderID],Orders[[#This Row],[OrderID]],OrderLines[Category],"Beverage")&gt;0</f>
        <v>0</v>
      </c>
      <c r="I203">
        <f>SUMIFS(OrderLines[Revenue],OrderLines[OrderID],Orders[[#This Row],[OrderID]])</f>
        <v>155.45530000000002</v>
      </c>
      <c r="J203" t="str">
        <f>IF(AND(COUNTIFS(OrderLines[OrderID],Orders[[#This Row],[OrderID]],OrderLines[Category],"Hot Meal")&gt;0,COUNTIFS(OrderLines[OrderID],Orders[[#This Row],[OrderID]],OrderLines[Category],"Beverage")&gt;0),"Combo","Single")</f>
        <v>Single</v>
      </c>
      <c r="K203" s="17" t="str">
        <f>IF(SUMPRODUCT((OrderLines[OrderID]=Orders[[#This Row],[OrderID]])*OrderLines[Qty]*OrderLines[UnitPrice])*Orders[[#This Row],[DiscountPct]]&gt;40,"HighDisc","OK")</f>
        <v>OK</v>
      </c>
      <c r="L203" s="11">
        <f>SUMIFS(OrderLines[Revenue],OrderLines[OrderID],Orders[[#This Row],[OrderID]])-SUMIFS(OrderLines[FoodCost],OrderLines[OrderID],Orders[[#This Row],[OrderID]])</f>
        <v>81.385300000000029</v>
      </c>
      <c r="M203" s="5">
        <f>Orders[[#This Row],[GrossProfit]]/Orders[[#This Row],[OrderTotal]]</f>
        <v>0.52352862848677417</v>
      </c>
      <c r="N203" s="17" t="b">
        <f>COUNTIFS(OrderLines[OrderID],Orders[[#This Row],[OrderID]],OrderLines[Category],"Hot Meal")&gt;0</f>
        <v>1</v>
      </c>
      <c r="O203" s="17" t="b">
        <f>COUNTIFS(OrderLines[OrderID],Orders[[#This Row],[OrderID]],OrderLines[Category],"Snack")&gt;0</f>
        <v>0</v>
      </c>
      <c r="P203" s="17" t="b">
        <f>COUNTIFS(OrderLines[OrderID],Orders[[#This Row],[OrderID]],OrderLines[Category],"Dessert")&gt;0</f>
        <v>0</v>
      </c>
      <c r="Q203" s="11">
        <f>Orders[[#This Row],[OrderTotal]]-Orders[[#This Row],[GrossProfit]]</f>
        <v>74.069999999999993</v>
      </c>
    </row>
    <row r="204" spans="1:17" x14ac:dyDescent="0.25">
      <c r="A204" t="s">
        <v>240</v>
      </c>
      <c r="B204" s="1">
        <v>45882.049675925933</v>
      </c>
      <c r="C204" t="s">
        <v>27</v>
      </c>
      <c r="D204" t="s">
        <v>10</v>
      </c>
      <c r="E204" t="s">
        <v>21</v>
      </c>
      <c r="F204" t="s">
        <v>12</v>
      </c>
      <c r="G204" s="5">
        <v>0.01</v>
      </c>
      <c r="H204" t="b">
        <f>COUNTIFS(OrderLines[OrderID],Orders[[#This Row],[OrderID]],OrderLines[Category],"Beverage")&gt;0</f>
        <v>0</v>
      </c>
      <c r="I204">
        <f>SUMIFS(OrderLines[Revenue],OrderLines[OrderID],Orders[[#This Row],[OrderID]])</f>
        <v>252.25200000000001</v>
      </c>
      <c r="J204" t="str">
        <f>IF(AND(COUNTIFS(OrderLines[OrderID],Orders[[#This Row],[OrderID]],OrderLines[Category],"Hot Meal")&gt;0,COUNTIFS(OrderLines[OrderID],Orders[[#This Row],[OrderID]],OrderLines[Category],"Beverage")&gt;0),"Combo","Single")</f>
        <v>Single</v>
      </c>
      <c r="K204" s="17" t="str">
        <f>IF(SUMPRODUCT((OrderLines[OrderID]=Orders[[#This Row],[OrderID]])*OrderLines[Qty]*OrderLines[UnitPrice])*Orders[[#This Row],[DiscountPct]]&gt;40,"HighDisc","OK")</f>
        <v>OK</v>
      </c>
      <c r="L204" s="11">
        <f>SUMIFS(OrderLines[Revenue],OrderLines[OrderID],Orders[[#This Row],[OrderID]])-SUMIFS(OrderLines[FoodCost],OrderLines[OrderID],Orders[[#This Row],[OrderID]])</f>
        <v>127.43200000000002</v>
      </c>
      <c r="M204" s="5">
        <f>Orders[[#This Row],[GrossProfit]]/Orders[[#This Row],[OrderTotal]]</f>
        <v>0.50517736232021948</v>
      </c>
      <c r="N204" s="17" t="b">
        <f>COUNTIFS(OrderLines[OrderID],Orders[[#This Row],[OrderID]],OrderLines[Category],"Hot Meal")&gt;0</f>
        <v>1</v>
      </c>
      <c r="O204" s="17" t="b">
        <f>COUNTIFS(OrderLines[OrderID],Orders[[#This Row],[OrderID]],OrderLines[Category],"Snack")&gt;0</f>
        <v>0</v>
      </c>
      <c r="P204" s="17" t="b">
        <f>COUNTIFS(OrderLines[OrderID],Orders[[#This Row],[OrderID]],OrderLines[Category],"Dessert")&gt;0</f>
        <v>1</v>
      </c>
      <c r="Q204" s="11">
        <f>Orders[[#This Row],[OrderTotal]]-Orders[[#This Row],[GrossProfit]]</f>
        <v>124.82</v>
      </c>
    </row>
    <row r="205" spans="1:17" x14ac:dyDescent="0.25">
      <c r="A205" t="s">
        <v>241</v>
      </c>
      <c r="B205" s="1">
        <v>45848.001076388893</v>
      </c>
      <c r="C205" t="s">
        <v>15</v>
      </c>
      <c r="D205" t="s">
        <v>16</v>
      </c>
      <c r="E205" t="s">
        <v>11</v>
      </c>
      <c r="F205" t="s">
        <v>12</v>
      </c>
      <c r="G205" s="5">
        <v>0.05</v>
      </c>
      <c r="H205" t="b">
        <f>COUNTIFS(OrderLines[OrderID],Orders[[#This Row],[OrderID]],OrderLines[Category],"Beverage")&gt;0</f>
        <v>1</v>
      </c>
      <c r="I205">
        <f>SUMIFS(OrderLines[Revenue],OrderLines[OrderID],Orders[[#This Row],[OrderID]])</f>
        <v>903.56399999999996</v>
      </c>
      <c r="J205" t="str">
        <f>IF(AND(COUNTIFS(OrderLines[OrderID],Orders[[#This Row],[OrderID]],OrderLines[Category],"Hot Meal")&gt;0,COUNTIFS(OrderLines[OrderID],Orders[[#This Row],[OrderID]],OrderLines[Category],"Beverage")&gt;0),"Combo","Single")</f>
        <v>Combo</v>
      </c>
      <c r="K205" s="17" t="str">
        <f>IF(SUMPRODUCT((OrderLines[OrderID]=Orders[[#This Row],[OrderID]])*OrderLines[Qty]*OrderLines[UnitPrice])*Orders[[#This Row],[DiscountPct]]&gt;40,"HighDisc","OK")</f>
        <v>HighDisc</v>
      </c>
      <c r="L205" s="11">
        <f>SUMIFS(OrderLines[Revenue],OrderLines[OrderID],Orders[[#This Row],[OrderID]])-SUMIFS(OrderLines[FoodCost],OrderLines[OrderID],Orders[[#This Row],[OrderID]])</f>
        <v>493.44400000000002</v>
      </c>
      <c r="M205" s="5">
        <f>Orders[[#This Row],[GrossProfit]]/Orders[[#This Row],[OrderTotal]]</f>
        <v>0.54610852136649979</v>
      </c>
      <c r="N205" s="17" t="b">
        <f>COUNTIFS(OrderLines[OrderID],Orders[[#This Row],[OrderID]],OrderLines[Category],"Hot Meal")&gt;0</f>
        <v>1</v>
      </c>
      <c r="O205" s="17" t="b">
        <f>COUNTIFS(OrderLines[OrderID],Orders[[#This Row],[OrderID]],OrderLines[Category],"Snack")&gt;0</f>
        <v>0</v>
      </c>
      <c r="P205" s="17" t="b">
        <f>COUNTIFS(OrderLines[OrderID],Orders[[#This Row],[OrderID]],OrderLines[Category],"Dessert")&gt;0</f>
        <v>0</v>
      </c>
      <c r="Q205" s="11">
        <f>Orders[[#This Row],[OrderTotal]]-Orders[[#This Row],[GrossProfit]]</f>
        <v>410.11999999999995</v>
      </c>
    </row>
    <row r="206" spans="1:17" x14ac:dyDescent="0.25">
      <c r="A206" t="s">
        <v>242</v>
      </c>
      <c r="B206" s="1">
        <v>45856.302951388891</v>
      </c>
      <c r="C206" t="s">
        <v>27</v>
      </c>
      <c r="D206" t="s">
        <v>28</v>
      </c>
      <c r="E206" t="s">
        <v>11</v>
      </c>
      <c r="F206" t="s">
        <v>12</v>
      </c>
      <c r="G206" s="5">
        <v>0.04</v>
      </c>
      <c r="H206" t="b">
        <f>COUNTIFS(OrderLines[OrderID],Orders[[#This Row],[OrderID]],OrderLines[Category],"Beverage")&gt;0</f>
        <v>1</v>
      </c>
      <c r="I206">
        <f>SUMIFS(OrderLines[Revenue],OrderLines[OrderID],Orders[[#This Row],[OrderID]])</f>
        <v>296.72640000000001</v>
      </c>
      <c r="J206" t="str">
        <f>IF(AND(COUNTIFS(OrderLines[OrderID],Orders[[#This Row],[OrderID]],OrderLines[Category],"Hot Meal")&gt;0,COUNTIFS(OrderLines[OrderID],Orders[[#This Row],[OrderID]],OrderLines[Category],"Beverage")&gt;0),"Combo","Single")</f>
        <v>Combo</v>
      </c>
      <c r="K206" s="17" t="str">
        <f>IF(SUMPRODUCT((OrderLines[OrderID]=Orders[[#This Row],[OrderID]])*OrderLines[Qty]*OrderLines[UnitPrice])*Orders[[#This Row],[DiscountPct]]&gt;40,"HighDisc","OK")</f>
        <v>OK</v>
      </c>
      <c r="L206" s="11">
        <f>SUMIFS(OrderLines[Revenue],OrderLines[OrderID],Orders[[#This Row],[OrderID]])-SUMIFS(OrderLines[FoodCost],OrderLines[OrderID],Orders[[#This Row],[OrderID]])</f>
        <v>144.8064</v>
      </c>
      <c r="M206" s="5">
        <f>Orders[[#This Row],[GrossProfit]]/Orders[[#This Row],[OrderTotal]]</f>
        <v>0.48801320003882359</v>
      </c>
      <c r="N206" s="17" t="b">
        <f>COUNTIFS(OrderLines[OrderID],Orders[[#This Row],[OrderID]],OrderLines[Category],"Hot Meal")&gt;0</f>
        <v>1</v>
      </c>
      <c r="O206" s="17" t="b">
        <f>COUNTIFS(OrderLines[OrderID],Orders[[#This Row],[OrderID]],OrderLines[Category],"Snack")&gt;0</f>
        <v>1</v>
      </c>
      <c r="P206" s="17" t="b">
        <f>COUNTIFS(OrderLines[OrderID],Orders[[#This Row],[OrderID]],OrderLines[Category],"Dessert")&gt;0</f>
        <v>0</v>
      </c>
      <c r="Q206" s="11">
        <f>Orders[[#This Row],[OrderTotal]]-Orders[[#This Row],[GrossProfit]]</f>
        <v>151.92000000000002</v>
      </c>
    </row>
    <row r="207" spans="1:17" x14ac:dyDescent="0.25">
      <c r="A207" t="s">
        <v>243</v>
      </c>
      <c r="B207" s="1">
        <v>45890.790648148148</v>
      </c>
      <c r="C207" t="s">
        <v>9</v>
      </c>
      <c r="D207" t="s">
        <v>16</v>
      </c>
      <c r="E207" t="s">
        <v>17</v>
      </c>
      <c r="F207" t="s">
        <v>18</v>
      </c>
      <c r="G207" s="5">
        <v>0.03</v>
      </c>
      <c r="H207" t="b">
        <f>COUNTIFS(OrderLines[OrderID],Orders[[#This Row],[OrderID]],OrderLines[Category],"Beverage")&gt;0</f>
        <v>1</v>
      </c>
      <c r="I207">
        <f>SUMIFS(OrderLines[Revenue],OrderLines[OrderID],Orders[[#This Row],[OrderID]])</f>
        <v>213.06049999999999</v>
      </c>
      <c r="J207" t="str">
        <f>IF(AND(COUNTIFS(OrderLines[OrderID],Orders[[#This Row],[OrderID]],OrderLines[Category],"Hot Meal")&gt;0,COUNTIFS(OrderLines[OrderID],Orders[[#This Row],[OrderID]],OrderLines[Category],"Beverage")&gt;0),"Combo","Single")</f>
        <v>Single</v>
      </c>
      <c r="K207" s="17" t="str">
        <f>IF(SUMPRODUCT((OrderLines[OrderID]=Orders[[#This Row],[OrderID]])*OrderLines[Qty]*OrderLines[UnitPrice])*Orders[[#This Row],[DiscountPct]]&gt;40,"HighDisc","OK")</f>
        <v>OK</v>
      </c>
      <c r="L207" s="11">
        <f>SUMIFS(OrderLines[Revenue],OrderLines[OrderID],Orders[[#This Row],[OrderID]])-SUMIFS(OrderLines[FoodCost],OrderLines[OrderID],Orders[[#This Row],[OrderID]])</f>
        <v>113.98049999999998</v>
      </c>
      <c r="M207" s="5">
        <f>Orders[[#This Row],[GrossProfit]]/Orders[[#This Row],[OrderTotal]]</f>
        <v>0.53496776737123952</v>
      </c>
      <c r="N207" s="17" t="b">
        <f>COUNTIFS(OrderLines[OrderID],Orders[[#This Row],[OrderID]],OrderLines[Category],"Hot Meal")&gt;0</f>
        <v>0</v>
      </c>
      <c r="O207" s="17" t="b">
        <f>COUNTIFS(OrderLines[OrderID],Orders[[#This Row],[OrderID]],OrderLines[Category],"Snack")&gt;0</f>
        <v>1</v>
      </c>
      <c r="P207" s="17" t="b">
        <f>COUNTIFS(OrderLines[OrderID],Orders[[#This Row],[OrderID]],OrderLines[Category],"Dessert")&gt;0</f>
        <v>0</v>
      </c>
      <c r="Q207" s="11">
        <f>Orders[[#This Row],[OrderTotal]]-Orders[[#This Row],[GrossProfit]]</f>
        <v>99.080000000000013</v>
      </c>
    </row>
    <row r="208" spans="1:17" x14ac:dyDescent="0.25">
      <c r="A208" t="s">
        <v>244</v>
      </c>
      <c r="B208" s="1">
        <v>45886.032777777778</v>
      </c>
      <c r="C208" t="s">
        <v>15</v>
      </c>
      <c r="D208" t="s">
        <v>10</v>
      </c>
      <c r="E208" t="s">
        <v>21</v>
      </c>
      <c r="F208" t="s">
        <v>12</v>
      </c>
      <c r="G208" s="5">
        <v>0.13</v>
      </c>
      <c r="H208" t="b">
        <f>COUNTIFS(OrderLines[OrderID],Orders[[#This Row],[OrderID]],OrderLines[Category],"Beverage")&gt;0</f>
        <v>0</v>
      </c>
      <c r="I208">
        <f>SUMIFS(OrderLines[Revenue],OrderLines[OrderID],Orders[[#This Row],[OrderID]])</f>
        <v>363.05099999999999</v>
      </c>
      <c r="J208" t="str">
        <f>IF(AND(COUNTIFS(OrderLines[OrderID],Orders[[#This Row],[OrderID]],OrderLines[Category],"Hot Meal")&gt;0,COUNTIFS(OrderLines[OrderID],Orders[[#This Row],[OrderID]],OrderLines[Category],"Beverage")&gt;0),"Combo","Single")</f>
        <v>Single</v>
      </c>
      <c r="K208" s="17" t="str">
        <f>IF(SUMPRODUCT((OrderLines[OrderID]=Orders[[#This Row],[OrderID]])*OrderLines[Qty]*OrderLines[UnitPrice])*Orders[[#This Row],[DiscountPct]]&gt;40,"HighDisc","OK")</f>
        <v>HighDisc</v>
      </c>
      <c r="L208" s="11">
        <f>SUMIFS(OrderLines[Revenue],OrderLines[OrderID],Orders[[#This Row],[OrderID]])-SUMIFS(OrderLines[FoodCost],OrderLines[OrderID],Orders[[#This Row],[OrderID]])</f>
        <v>163.55099999999999</v>
      </c>
      <c r="M208" s="5">
        <f>Orders[[#This Row],[GrossProfit]]/Orders[[#This Row],[OrderTotal]]</f>
        <v>0.45049042696480657</v>
      </c>
      <c r="N208" s="17" t="b">
        <f>COUNTIFS(OrderLines[OrderID],Orders[[#This Row],[OrderID]],OrderLines[Category],"Hot Meal")&gt;0</f>
        <v>1</v>
      </c>
      <c r="O208" s="17" t="b">
        <f>COUNTIFS(OrderLines[OrderID],Orders[[#This Row],[OrderID]],OrderLines[Category],"Snack")&gt;0</f>
        <v>0</v>
      </c>
      <c r="P208" s="17" t="b">
        <f>COUNTIFS(OrderLines[OrderID],Orders[[#This Row],[OrderID]],OrderLines[Category],"Dessert")&gt;0</f>
        <v>1</v>
      </c>
      <c r="Q208" s="11">
        <f>Orders[[#This Row],[OrderTotal]]-Orders[[#This Row],[GrossProfit]]</f>
        <v>199.5</v>
      </c>
    </row>
    <row r="209" spans="1:17" x14ac:dyDescent="0.25">
      <c r="A209" t="s">
        <v>245</v>
      </c>
      <c r="B209" s="1">
        <v>45884.720462962963</v>
      </c>
      <c r="C209" t="s">
        <v>27</v>
      </c>
      <c r="D209" t="s">
        <v>28</v>
      </c>
      <c r="E209" t="s">
        <v>17</v>
      </c>
      <c r="F209" t="s">
        <v>18</v>
      </c>
      <c r="G209" s="5">
        <v>0.08</v>
      </c>
      <c r="H209" t="b">
        <f>COUNTIFS(OrderLines[OrderID],Orders[[#This Row],[OrderID]],OrderLines[Category],"Beverage")&gt;0</f>
        <v>1</v>
      </c>
      <c r="I209">
        <f>SUMIFS(OrderLines[Revenue],OrderLines[OrderID],Orders[[#This Row],[OrderID]])</f>
        <v>131.30240000000001</v>
      </c>
      <c r="J209" t="str">
        <f>IF(AND(COUNTIFS(OrderLines[OrderID],Orders[[#This Row],[OrderID]],OrderLines[Category],"Hot Meal")&gt;0,COUNTIFS(OrderLines[OrderID],Orders[[#This Row],[OrderID]],OrderLines[Category],"Beverage")&gt;0),"Combo","Single")</f>
        <v>Single</v>
      </c>
      <c r="K209" s="17" t="str">
        <f>IF(SUMPRODUCT((OrderLines[OrderID]=Orders[[#This Row],[OrderID]])*OrderLines[Qty]*OrderLines[UnitPrice])*Orders[[#This Row],[DiscountPct]]&gt;40,"HighDisc","OK")</f>
        <v>OK</v>
      </c>
      <c r="L209" s="11">
        <f>SUMIFS(OrderLines[Revenue],OrderLines[OrderID],Orders[[#This Row],[OrderID]])-SUMIFS(OrderLines[FoodCost],OrderLines[OrderID],Orders[[#This Row],[OrderID]])</f>
        <v>64.062399999999997</v>
      </c>
      <c r="M209" s="5">
        <f>Orders[[#This Row],[GrossProfit]]/Orders[[#This Row],[OrderTotal]]</f>
        <v>0.48789968804835243</v>
      </c>
      <c r="N209" s="17" t="b">
        <f>COUNTIFS(OrderLines[OrderID],Orders[[#This Row],[OrderID]],OrderLines[Category],"Hot Meal")&gt;0</f>
        <v>0</v>
      </c>
      <c r="O209" s="17" t="b">
        <f>COUNTIFS(OrderLines[OrderID],Orders[[#This Row],[OrderID]],OrderLines[Category],"Snack")&gt;0</f>
        <v>1</v>
      </c>
      <c r="P209" s="17" t="b">
        <f>COUNTIFS(OrderLines[OrderID],Orders[[#This Row],[OrderID]],OrderLines[Category],"Dessert")&gt;0</f>
        <v>0</v>
      </c>
      <c r="Q209" s="11">
        <f>Orders[[#This Row],[OrderTotal]]-Orders[[#This Row],[GrossProfit]]</f>
        <v>67.240000000000009</v>
      </c>
    </row>
    <row r="210" spans="1:17" x14ac:dyDescent="0.25">
      <c r="A210" t="s">
        <v>246</v>
      </c>
      <c r="B210" s="1">
        <v>45893.3596875</v>
      </c>
      <c r="C210" t="s">
        <v>15</v>
      </c>
      <c r="D210" t="s">
        <v>28</v>
      </c>
      <c r="E210" t="s">
        <v>21</v>
      </c>
      <c r="F210" t="s">
        <v>12</v>
      </c>
      <c r="G210" s="5">
        <v>0.01</v>
      </c>
      <c r="H210" t="b">
        <f>COUNTIFS(OrderLines[OrderID],Orders[[#This Row],[OrderID]],OrderLines[Category],"Beverage")&gt;0</f>
        <v>1</v>
      </c>
      <c r="I210">
        <f>SUMIFS(OrderLines[Revenue],OrderLines[OrderID],Orders[[#This Row],[OrderID]])</f>
        <v>225.26459999999997</v>
      </c>
      <c r="J210" t="str">
        <f>IF(AND(COUNTIFS(OrderLines[OrderID],Orders[[#This Row],[OrderID]],OrderLines[Category],"Hot Meal")&gt;0,COUNTIFS(OrderLines[OrderID],Orders[[#This Row],[OrderID]],OrderLines[Category],"Beverage")&gt;0),"Combo","Single")</f>
        <v>Single</v>
      </c>
      <c r="K210" s="17" t="str">
        <f>IF(SUMPRODUCT((OrderLines[OrderID]=Orders[[#This Row],[OrderID]])*OrderLines[Qty]*OrderLines[UnitPrice])*Orders[[#This Row],[DiscountPct]]&gt;40,"HighDisc","OK")</f>
        <v>OK</v>
      </c>
      <c r="L210" s="11">
        <f>SUMIFS(OrderLines[Revenue],OrderLines[OrderID],Orders[[#This Row],[OrderID]])-SUMIFS(OrderLines[FoodCost],OrderLines[OrderID],Orders[[#This Row],[OrderID]])</f>
        <v>121.65459999999997</v>
      </c>
      <c r="M210" s="5">
        <f>Orders[[#This Row],[GrossProfit]]/Orders[[#This Row],[OrderTotal]]</f>
        <v>0.54005200994741287</v>
      </c>
      <c r="N210" s="17" t="b">
        <f>COUNTIFS(OrderLines[OrderID],Orders[[#This Row],[OrderID]],OrderLines[Category],"Hot Meal")&gt;0</f>
        <v>0</v>
      </c>
      <c r="O210" s="17" t="b">
        <f>COUNTIFS(OrderLines[OrderID],Orders[[#This Row],[OrderID]],OrderLines[Category],"Snack")&gt;0</f>
        <v>1</v>
      </c>
      <c r="P210" s="17" t="b">
        <f>COUNTIFS(OrderLines[OrderID],Orders[[#This Row],[OrderID]],OrderLines[Category],"Dessert")&gt;0</f>
        <v>0</v>
      </c>
      <c r="Q210" s="11">
        <f>Orders[[#This Row],[OrderTotal]]-Orders[[#This Row],[GrossProfit]]</f>
        <v>103.61</v>
      </c>
    </row>
    <row r="211" spans="1:17" x14ac:dyDescent="0.25">
      <c r="A211" t="s">
        <v>247</v>
      </c>
      <c r="B211" s="1">
        <v>45864.926377314812</v>
      </c>
      <c r="C211" t="s">
        <v>9</v>
      </c>
      <c r="D211" t="s">
        <v>28</v>
      </c>
      <c r="E211" t="s">
        <v>21</v>
      </c>
      <c r="F211" t="s">
        <v>18</v>
      </c>
      <c r="G211" s="5">
        <v>0.1</v>
      </c>
      <c r="H211" t="b">
        <f>COUNTIFS(OrderLines[OrderID],Orders[[#This Row],[OrderID]],OrderLines[Category],"Beverage")&gt;0</f>
        <v>1</v>
      </c>
      <c r="I211">
        <f>SUMIFS(OrderLines[Revenue],OrderLines[OrderID],Orders[[#This Row],[OrderID]])</f>
        <v>481.041</v>
      </c>
      <c r="J211" t="str">
        <f>IF(AND(COUNTIFS(OrderLines[OrderID],Orders[[#This Row],[OrderID]],OrderLines[Category],"Hot Meal")&gt;0,COUNTIFS(OrderLines[OrderID],Orders[[#This Row],[OrderID]],OrderLines[Category],"Beverage")&gt;0),"Combo","Single")</f>
        <v>Combo</v>
      </c>
      <c r="K211" s="17" t="str">
        <f>IF(SUMPRODUCT((OrderLines[OrderID]=Orders[[#This Row],[OrderID]])*OrderLines[Qty]*OrderLines[UnitPrice])*Orders[[#This Row],[DiscountPct]]&gt;40,"HighDisc","OK")</f>
        <v>HighDisc</v>
      </c>
      <c r="L211" s="11">
        <f>SUMIFS(OrderLines[Revenue],OrderLines[OrderID],Orders[[#This Row],[OrderID]])-SUMIFS(OrderLines[FoodCost],OrderLines[OrderID],Orders[[#This Row],[OrderID]])</f>
        <v>239.501</v>
      </c>
      <c r="M211" s="5">
        <f>Orders[[#This Row],[GrossProfit]]/Orders[[#This Row],[OrderTotal]]</f>
        <v>0.49788063803293275</v>
      </c>
      <c r="N211" s="17" t="b">
        <f>COUNTIFS(OrderLines[OrderID],Orders[[#This Row],[OrderID]],OrderLines[Category],"Hot Meal")&gt;0</f>
        <v>1</v>
      </c>
      <c r="O211" s="17" t="b">
        <f>COUNTIFS(OrderLines[OrderID],Orders[[#This Row],[OrderID]],OrderLines[Category],"Snack")&gt;0</f>
        <v>0</v>
      </c>
      <c r="P211" s="17" t="b">
        <f>COUNTIFS(OrderLines[OrderID],Orders[[#This Row],[OrderID]],OrderLines[Category],"Dessert")&gt;0</f>
        <v>0</v>
      </c>
      <c r="Q211" s="11">
        <f>Orders[[#This Row],[OrderTotal]]-Orders[[#This Row],[GrossProfit]]</f>
        <v>241.54</v>
      </c>
    </row>
    <row r="212" spans="1:17" x14ac:dyDescent="0.25">
      <c r="A212" t="s">
        <v>248</v>
      </c>
      <c r="B212" s="1">
        <v>45864.703344907408</v>
      </c>
      <c r="C212" t="s">
        <v>9</v>
      </c>
      <c r="D212" t="s">
        <v>16</v>
      </c>
      <c r="E212" t="s">
        <v>11</v>
      </c>
      <c r="F212" t="s">
        <v>18</v>
      </c>
      <c r="G212" s="5">
        <v>0.14000000000000001</v>
      </c>
      <c r="H212" t="b">
        <f>COUNTIFS(OrderLines[OrderID],Orders[[#This Row],[OrderID]],OrderLines[Category],"Beverage")&gt;0</f>
        <v>0</v>
      </c>
      <c r="I212">
        <f>SUMIFS(OrderLines[Revenue],OrderLines[OrderID],Orders[[#This Row],[OrderID]])</f>
        <v>844.82100000000003</v>
      </c>
      <c r="J212" t="str">
        <f>IF(AND(COUNTIFS(OrderLines[OrderID],Orders[[#This Row],[OrderID]],OrderLines[Category],"Hot Meal")&gt;0,COUNTIFS(OrderLines[OrderID],Orders[[#This Row],[OrderID]],OrderLines[Category],"Beverage")&gt;0),"Combo","Single")</f>
        <v>Single</v>
      </c>
      <c r="K212" s="17" t="str">
        <f>IF(SUMPRODUCT((OrderLines[OrderID]=Orders[[#This Row],[OrderID]])*OrderLines[Qty]*OrderLines[UnitPrice])*Orders[[#This Row],[DiscountPct]]&gt;40,"HighDisc","OK")</f>
        <v>HighDisc</v>
      </c>
      <c r="L212" s="11">
        <f>SUMIFS(OrderLines[Revenue],OrderLines[OrderID],Orders[[#This Row],[OrderID]])-SUMIFS(OrderLines[FoodCost],OrderLines[OrderID],Orders[[#This Row],[OrderID]])</f>
        <v>373.67100000000005</v>
      </c>
      <c r="M212" s="5">
        <f>Orders[[#This Row],[GrossProfit]]/Orders[[#This Row],[OrderTotal]]</f>
        <v>0.44230789717585151</v>
      </c>
      <c r="N212" s="17" t="b">
        <f>COUNTIFS(OrderLines[OrderID],Orders[[#This Row],[OrderID]],OrderLines[Category],"Hot Meal")&gt;0</f>
        <v>1</v>
      </c>
      <c r="O212" s="17" t="b">
        <f>COUNTIFS(OrderLines[OrderID],Orders[[#This Row],[OrderID]],OrderLines[Category],"Snack")&gt;0</f>
        <v>1</v>
      </c>
      <c r="P212" s="17" t="b">
        <f>COUNTIFS(OrderLines[OrderID],Orders[[#This Row],[OrderID]],OrderLines[Category],"Dessert")&gt;0</f>
        <v>0</v>
      </c>
      <c r="Q212" s="11">
        <f>Orders[[#This Row],[OrderTotal]]-Orders[[#This Row],[GrossProfit]]</f>
        <v>471.15</v>
      </c>
    </row>
    <row r="213" spans="1:17" x14ac:dyDescent="0.25">
      <c r="A213" t="s">
        <v>249</v>
      </c>
      <c r="B213" s="1">
        <v>45849.76935185185</v>
      </c>
      <c r="C213" t="s">
        <v>9</v>
      </c>
      <c r="D213" t="s">
        <v>28</v>
      </c>
      <c r="E213" t="s">
        <v>21</v>
      </c>
      <c r="F213" t="s">
        <v>18</v>
      </c>
      <c r="G213" s="5">
        <v>0.1</v>
      </c>
      <c r="H213" t="b">
        <f>COUNTIFS(OrderLines[OrderID],Orders[[#This Row],[OrderID]],OrderLines[Category],"Beverage")&gt;0</f>
        <v>1</v>
      </c>
      <c r="I213">
        <f>SUMIFS(OrderLines[Revenue],OrderLines[OrderID],Orders[[#This Row],[OrderID]])</f>
        <v>317.75400000000002</v>
      </c>
      <c r="J213" t="str">
        <f>IF(AND(COUNTIFS(OrderLines[OrderID],Orders[[#This Row],[OrderID]],OrderLines[Category],"Hot Meal")&gt;0,COUNTIFS(OrderLines[OrderID],Orders[[#This Row],[OrderID]],OrderLines[Category],"Beverage")&gt;0),"Combo","Single")</f>
        <v>Combo</v>
      </c>
      <c r="K213" s="17" t="str">
        <f>IF(SUMPRODUCT((OrderLines[OrderID]=Orders[[#This Row],[OrderID]])*OrderLines[Qty]*OrderLines[UnitPrice])*Orders[[#This Row],[DiscountPct]]&gt;40,"HighDisc","OK")</f>
        <v>OK</v>
      </c>
      <c r="L213" s="11">
        <f>SUMIFS(OrderLines[Revenue],OrderLines[OrderID],Orders[[#This Row],[OrderID]])-SUMIFS(OrderLines[FoodCost],OrderLines[OrderID],Orders[[#This Row],[OrderID]])</f>
        <v>162.99400000000003</v>
      </c>
      <c r="M213" s="5">
        <f>Orders[[#This Row],[GrossProfit]]/Orders[[#This Row],[OrderTotal]]</f>
        <v>0.51295656388275213</v>
      </c>
      <c r="N213" s="17" t="b">
        <f>COUNTIFS(OrderLines[OrderID],Orders[[#This Row],[OrderID]],OrderLines[Category],"Hot Meal")&gt;0</f>
        <v>1</v>
      </c>
      <c r="O213" s="17" t="b">
        <f>COUNTIFS(OrderLines[OrderID],Orders[[#This Row],[OrderID]],OrderLines[Category],"Snack")&gt;0</f>
        <v>1</v>
      </c>
      <c r="P213" s="17" t="b">
        <f>COUNTIFS(OrderLines[OrderID],Orders[[#This Row],[OrderID]],OrderLines[Category],"Dessert")&gt;0</f>
        <v>1</v>
      </c>
      <c r="Q213" s="11">
        <f>Orders[[#This Row],[OrderTotal]]-Orders[[#This Row],[GrossProfit]]</f>
        <v>154.76</v>
      </c>
    </row>
    <row r="214" spans="1:17" x14ac:dyDescent="0.25">
      <c r="A214" t="s">
        <v>250</v>
      </c>
      <c r="B214" s="1">
        <v>45893.757245370369</v>
      </c>
      <c r="C214" t="s">
        <v>15</v>
      </c>
      <c r="D214" t="s">
        <v>10</v>
      </c>
      <c r="E214" t="s">
        <v>17</v>
      </c>
      <c r="F214" t="s">
        <v>18</v>
      </c>
      <c r="G214" s="5">
        <v>0</v>
      </c>
      <c r="H214" t="b">
        <f>COUNTIFS(OrderLines[OrderID],Orders[[#This Row],[OrderID]],OrderLines[Category],"Beverage")&gt;0</f>
        <v>0</v>
      </c>
      <c r="I214">
        <f>SUMIFS(OrderLines[Revenue],OrderLines[OrderID],Orders[[#This Row],[OrderID]])</f>
        <v>442.17</v>
      </c>
      <c r="J214" t="str">
        <f>IF(AND(COUNTIFS(OrderLines[OrderID],Orders[[#This Row],[OrderID]],OrderLines[Category],"Hot Meal")&gt;0,COUNTIFS(OrderLines[OrderID],Orders[[#This Row],[OrderID]],OrderLines[Category],"Beverage")&gt;0),"Combo","Single")</f>
        <v>Single</v>
      </c>
      <c r="K214" s="17" t="str">
        <f>IF(SUMPRODUCT((OrderLines[OrderID]=Orders[[#This Row],[OrderID]])*OrderLines[Qty]*OrderLines[UnitPrice])*Orders[[#This Row],[DiscountPct]]&gt;40,"HighDisc","OK")</f>
        <v>OK</v>
      </c>
      <c r="L214" s="11">
        <f>SUMIFS(OrderLines[Revenue],OrderLines[OrderID],Orders[[#This Row],[OrderID]])-SUMIFS(OrderLines[FoodCost],OrderLines[OrderID],Orders[[#This Row],[OrderID]])</f>
        <v>242.08</v>
      </c>
      <c r="M214" s="5">
        <f>Orders[[#This Row],[GrossProfit]]/Orders[[#This Row],[OrderTotal]]</f>
        <v>0.54748173779315645</v>
      </c>
      <c r="N214" s="17" t="b">
        <f>COUNTIFS(OrderLines[OrderID],Orders[[#This Row],[OrderID]],OrderLines[Category],"Hot Meal")&gt;0</f>
        <v>1</v>
      </c>
      <c r="O214" s="17" t="b">
        <f>COUNTIFS(OrderLines[OrderID],Orders[[#This Row],[OrderID]],OrderLines[Category],"Snack")&gt;0</f>
        <v>1</v>
      </c>
      <c r="P214" s="17" t="b">
        <f>COUNTIFS(OrderLines[OrderID],Orders[[#This Row],[OrderID]],OrderLines[Category],"Dessert")&gt;0</f>
        <v>0</v>
      </c>
      <c r="Q214" s="11">
        <f>Orders[[#This Row],[OrderTotal]]-Orders[[#This Row],[GrossProfit]]</f>
        <v>200.09</v>
      </c>
    </row>
    <row r="215" spans="1:17" x14ac:dyDescent="0.25">
      <c r="A215" t="s">
        <v>251</v>
      </c>
      <c r="B215" s="1">
        <v>45884.325902777768</v>
      </c>
      <c r="C215" t="s">
        <v>9</v>
      </c>
      <c r="D215" t="s">
        <v>16</v>
      </c>
      <c r="E215" t="s">
        <v>11</v>
      </c>
      <c r="F215" t="s">
        <v>12</v>
      </c>
      <c r="G215" s="5">
        <v>0.04</v>
      </c>
      <c r="H215" t="b">
        <f>COUNTIFS(OrderLines[OrderID],Orders[[#This Row],[OrderID]],OrderLines[Category],"Beverage")&gt;0</f>
        <v>1</v>
      </c>
      <c r="I215">
        <f>SUMIFS(OrderLines[Revenue],OrderLines[OrderID],Orders[[#This Row],[OrderID]])</f>
        <v>731.61599999999999</v>
      </c>
      <c r="J215" t="str">
        <f>IF(AND(COUNTIFS(OrderLines[OrderID],Orders[[#This Row],[OrderID]],OrderLines[Category],"Hot Meal")&gt;0,COUNTIFS(OrderLines[OrderID],Orders[[#This Row],[OrderID]],OrderLines[Category],"Beverage")&gt;0),"Combo","Single")</f>
        <v>Combo</v>
      </c>
      <c r="K215" s="17" t="str">
        <f>IF(SUMPRODUCT((OrderLines[OrderID]=Orders[[#This Row],[OrderID]])*OrderLines[Qty]*OrderLines[UnitPrice])*Orders[[#This Row],[DiscountPct]]&gt;40,"HighDisc","OK")</f>
        <v>OK</v>
      </c>
      <c r="L215" s="11">
        <f>SUMIFS(OrderLines[Revenue],OrderLines[OrderID],Orders[[#This Row],[OrderID]])-SUMIFS(OrderLines[FoodCost],OrderLines[OrderID],Orders[[#This Row],[OrderID]])</f>
        <v>404.43600000000004</v>
      </c>
      <c r="M215" s="5">
        <f>Orders[[#This Row],[GrossProfit]]/Orders[[#This Row],[OrderTotal]]</f>
        <v>0.55279818921401391</v>
      </c>
      <c r="N215" s="17" t="b">
        <f>COUNTIFS(OrderLines[OrderID],Orders[[#This Row],[OrderID]],OrderLines[Category],"Hot Meal")&gt;0</f>
        <v>1</v>
      </c>
      <c r="O215" s="17" t="b">
        <f>COUNTIFS(OrderLines[OrderID],Orders[[#This Row],[OrderID]],OrderLines[Category],"Snack")&gt;0</f>
        <v>0</v>
      </c>
      <c r="P215" s="17" t="b">
        <f>COUNTIFS(OrderLines[OrderID],Orders[[#This Row],[OrderID]],OrderLines[Category],"Dessert")&gt;0</f>
        <v>1</v>
      </c>
      <c r="Q215" s="11">
        <f>Orders[[#This Row],[OrderTotal]]-Orders[[#This Row],[GrossProfit]]</f>
        <v>327.17999999999995</v>
      </c>
    </row>
    <row r="216" spans="1:17" x14ac:dyDescent="0.25">
      <c r="A216" t="s">
        <v>252</v>
      </c>
      <c r="B216" s="1">
        <v>45850.578101851846</v>
      </c>
      <c r="C216" t="s">
        <v>27</v>
      </c>
      <c r="D216" t="s">
        <v>28</v>
      </c>
      <c r="E216" t="s">
        <v>17</v>
      </c>
      <c r="F216" t="s">
        <v>22</v>
      </c>
      <c r="G216" s="5">
        <v>0.11</v>
      </c>
      <c r="H216" t="b">
        <f>COUNTIFS(OrderLines[OrderID],Orders[[#This Row],[OrderID]],OrderLines[Category],"Beverage")&gt;0</f>
        <v>1</v>
      </c>
      <c r="I216">
        <f>SUMIFS(OrderLines[Revenue],OrderLines[OrderID],Orders[[#This Row],[OrderID]])</f>
        <v>329.12199999999996</v>
      </c>
      <c r="J216" t="str">
        <f>IF(AND(COUNTIFS(OrderLines[OrderID],Orders[[#This Row],[OrderID]],OrderLines[Category],"Hot Meal")&gt;0,COUNTIFS(OrderLines[OrderID],Orders[[#This Row],[OrderID]],OrderLines[Category],"Beverage")&gt;0),"Combo","Single")</f>
        <v>Combo</v>
      </c>
      <c r="K216" s="17" t="str">
        <f>IF(SUMPRODUCT((OrderLines[OrderID]=Orders[[#This Row],[OrderID]])*OrderLines[Qty]*OrderLines[UnitPrice])*Orders[[#This Row],[DiscountPct]]&gt;40,"HighDisc","OK")</f>
        <v>HighDisc</v>
      </c>
      <c r="L216" s="11">
        <f>SUMIFS(OrderLines[Revenue],OrderLines[OrderID],Orders[[#This Row],[OrderID]])-SUMIFS(OrderLines[FoodCost],OrderLines[OrderID],Orders[[#This Row],[OrderID]])</f>
        <v>141.13199999999995</v>
      </c>
      <c r="M216" s="5">
        <f>Orders[[#This Row],[GrossProfit]]/Orders[[#This Row],[OrderTotal]]</f>
        <v>0.42881363141935197</v>
      </c>
      <c r="N216" s="17" t="b">
        <f>COUNTIFS(OrderLines[OrderID],Orders[[#This Row],[OrderID]],OrderLines[Category],"Hot Meal")&gt;0</f>
        <v>1</v>
      </c>
      <c r="O216" s="17" t="b">
        <f>COUNTIFS(OrderLines[OrderID],Orders[[#This Row],[OrderID]],OrderLines[Category],"Snack")&gt;0</f>
        <v>1</v>
      </c>
      <c r="P216" s="17" t="b">
        <f>COUNTIFS(OrderLines[OrderID],Orders[[#This Row],[OrderID]],OrderLines[Category],"Dessert")&gt;0</f>
        <v>1</v>
      </c>
      <c r="Q216" s="11">
        <f>Orders[[#This Row],[OrderTotal]]-Orders[[#This Row],[GrossProfit]]</f>
        <v>187.99</v>
      </c>
    </row>
    <row r="217" spans="1:17" x14ac:dyDescent="0.25">
      <c r="A217" t="s">
        <v>253</v>
      </c>
      <c r="B217" s="1">
        <v>45887.079097222217</v>
      </c>
      <c r="C217" t="s">
        <v>27</v>
      </c>
      <c r="D217" t="s">
        <v>28</v>
      </c>
      <c r="E217" t="s">
        <v>17</v>
      </c>
      <c r="F217" t="s">
        <v>12</v>
      </c>
      <c r="G217" s="5">
        <v>0.03</v>
      </c>
      <c r="H217" t="b">
        <f>COUNTIFS(OrderLines[OrderID],Orders[[#This Row],[OrderID]],OrderLines[Category],"Beverage")&gt;0</f>
        <v>1</v>
      </c>
      <c r="I217">
        <f>SUMIFS(OrderLines[Revenue],OrderLines[OrderID],Orders[[#This Row],[OrderID]])</f>
        <v>166.29679999999999</v>
      </c>
      <c r="J217" t="str">
        <f>IF(AND(COUNTIFS(OrderLines[OrderID],Orders[[#This Row],[OrderID]],OrderLines[Category],"Hot Meal")&gt;0,COUNTIFS(OrderLines[OrderID],Orders[[#This Row],[OrderID]],OrderLines[Category],"Beverage")&gt;0),"Combo","Single")</f>
        <v>Single</v>
      </c>
      <c r="K217" s="17" t="str">
        <f>IF(SUMPRODUCT((OrderLines[OrderID]=Orders[[#This Row],[OrderID]])*OrderLines[Qty]*OrderLines[UnitPrice])*Orders[[#This Row],[DiscountPct]]&gt;40,"HighDisc","OK")</f>
        <v>OK</v>
      </c>
      <c r="L217" s="11">
        <f>SUMIFS(OrderLines[Revenue],OrderLines[OrderID],Orders[[#This Row],[OrderID]])-SUMIFS(OrderLines[FoodCost],OrderLines[OrderID],Orders[[#This Row],[OrderID]])</f>
        <v>86.126799999999989</v>
      </c>
      <c r="M217" s="5">
        <f>Orders[[#This Row],[GrossProfit]]/Orders[[#This Row],[OrderTotal]]</f>
        <v>0.51791014619643905</v>
      </c>
      <c r="N217" s="17" t="b">
        <f>COUNTIFS(OrderLines[OrderID],Orders[[#This Row],[OrderID]],OrderLines[Category],"Hot Meal")&gt;0</f>
        <v>0</v>
      </c>
      <c r="O217" s="17" t="b">
        <f>COUNTIFS(OrderLines[OrderID],Orders[[#This Row],[OrderID]],OrderLines[Category],"Snack")&gt;0</f>
        <v>1</v>
      </c>
      <c r="P217" s="17" t="b">
        <f>COUNTIFS(OrderLines[OrderID],Orders[[#This Row],[OrderID]],OrderLines[Category],"Dessert")&gt;0</f>
        <v>0</v>
      </c>
      <c r="Q217" s="11">
        <f>Orders[[#This Row],[OrderTotal]]-Orders[[#This Row],[GrossProfit]]</f>
        <v>80.17</v>
      </c>
    </row>
    <row r="218" spans="1:17" x14ac:dyDescent="0.25">
      <c r="A218" t="s">
        <v>254</v>
      </c>
      <c r="B218" s="1">
        <v>45852.421666666669</v>
      </c>
      <c r="C218" t="s">
        <v>15</v>
      </c>
      <c r="D218" t="s">
        <v>16</v>
      </c>
      <c r="E218" t="s">
        <v>21</v>
      </c>
      <c r="F218" t="s">
        <v>12</v>
      </c>
      <c r="G218" s="5">
        <v>0.08</v>
      </c>
      <c r="H218" t="b">
        <f>COUNTIFS(OrderLines[OrderID],Orders[[#This Row],[OrderID]],OrderLines[Category],"Beverage")&gt;0</f>
        <v>0</v>
      </c>
      <c r="I218">
        <f>SUMIFS(OrderLines[Revenue],OrderLines[OrderID],Orders[[#This Row],[OrderID]])</f>
        <v>611.7908000000001</v>
      </c>
      <c r="J218" t="str">
        <f>IF(AND(COUNTIFS(OrderLines[OrderID],Orders[[#This Row],[OrderID]],OrderLines[Category],"Hot Meal")&gt;0,COUNTIFS(OrderLines[OrderID],Orders[[#This Row],[OrderID]],OrderLines[Category],"Beverage")&gt;0),"Combo","Single")</f>
        <v>Single</v>
      </c>
      <c r="K218" s="17" t="str">
        <f>IF(SUMPRODUCT((OrderLines[OrderID]=Orders[[#This Row],[OrderID]])*OrderLines[Qty]*OrderLines[UnitPrice])*Orders[[#This Row],[DiscountPct]]&gt;40,"HighDisc","OK")</f>
        <v>HighDisc</v>
      </c>
      <c r="L218" s="11">
        <f>SUMIFS(OrderLines[Revenue],OrderLines[OrderID],Orders[[#This Row],[OrderID]])-SUMIFS(OrderLines[FoodCost],OrderLines[OrderID],Orders[[#This Row],[OrderID]])</f>
        <v>308.06080000000009</v>
      </c>
      <c r="M218" s="5">
        <f>Orders[[#This Row],[GrossProfit]]/Orders[[#This Row],[OrderTotal]]</f>
        <v>0.50353944518289595</v>
      </c>
      <c r="N218" s="17" t="b">
        <f>COUNTIFS(OrderLines[OrderID],Orders[[#This Row],[OrderID]],OrderLines[Category],"Hot Meal")&gt;0</f>
        <v>1</v>
      </c>
      <c r="O218" s="17" t="b">
        <f>COUNTIFS(OrderLines[OrderID],Orders[[#This Row],[OrderID]],OrderLines[Category],"Snack")&gt;0</f>
        <v>1</v>
      </c>
      <c r="P218" s="17" t="b">
        <f>COUNTIFS(OrderLines[OrderID],Orders[[#This Row],[OrderID]],OrderLines[Category],"Dessert")&gt;0</f>
        <v>0</v>
      </c>
      <c r="Q218" s="11">
        <f>Orders[[#This Row],[OrderTotal]]-Orders[[#This Row],[GrossProfit]]</f>
        <v>303.73</v>
      </c>
    </row>
    <row r="219" spans="1:17" x14ac:dyDescent="0.25">
      <c r="A219" t="s">
        <v>255</v>
      </c>
      <c r="B219" s="1">
        <v>45879.943171296298</v>
      </c>
      <c r="C219" t="s">
        <v>9</v>
      </c>
      <c r="D219" t="s">
        <v>10</v>
      </c>
      <c r="E219" t="s">
        <v>11</v>
      </c>
      <c r="F219" t="s">
        <v>18</v>
      </c>
      <c r="G219" s="5">
        <v>0.09</v>
      </c>
      <c r="H219" t="b">
        <f>COUNTIFS(OrderLines[OrderID],Orders[[#This Row],[OrderID]],OrderLines[Category],"Beverage")&gt;0</f>
        <v>1</v>
      </c>
      <c r="I219">
        <f>SUMIFS(OrderLines[Revenue],OrderLines[OrderID],Orders[[#This Row],[OrderID]])</f>
        <v>25.871300000000002</v>
      </c>
      <c r="J219" t="str">
        <f>IF(AND(COUNTIFS(OrderLines[OrderID],Orders[[#This Row],[OrderID]],OrderLines[Category],"Hot Meal")&gt;0,COUNTIFS(OrderLines[OrderID],Orders[[#This Row],[OrderID]],OrderLines[Category],"Beverage")&gt;0),"Combo","Single")</f>
        <v>Single</v>
      </c>
      <c r="K219" s="17" t="str">
        <f>IF(SUMPRODUCT((OrderLines[OrderID]=Orders[[#This Row],[OrderID]])*OrderLines[Qty]*OrderLines[UnitPrice])*Orders[[#This Row],[DiscountPct]]&gt;40,"HighDisc","OK")</f>
        <v>OK</v>
      </c>
      <c r="L219" s="11">
        <f>SUMIFS(OrderLines[Revenue],OrderLines[OrderID],Orders[[#This Row],[OrderID]])-SUMIFS(OrderLines[FoodCost],OrderLines[OrderID],Orders[[#This Row],[OrderID]])</f>
        <v>11.981300000000001</v>
      </c>
      <c r="M219" s="5">
        <f>Orders[[#This Row],[GrossProfit]]/Orders[[#This Row],[OrderTotal]]</f>
        <v>0.46311163335433475</v>
      </c>
      <c r="N219" s="17" t="b">
        <f>COUNTIFS(OrderLines[OrderID],Orders[[#This Row],[OrderID]],OrderLines[Category],"Hot Meal")&gt;0</f>
        <v>0</v>
      </c>
      <c r="O219" s="17" t="b">
        <f>COUNTIFS(OrderLines[OrderID],Orders[[#This Row],[OrderID]],OrderLines[Category],"Snack")&gt;0</f>
        <v>0</v>
      </c>
      <c r="P219" s="17" t="b">
        <f>COUNTIFS(OrderLines[OrderID],Orders[[#This Row],[OrderID]],OrderLines[Category],"Dessert")&gt;0</f>
        <v>0</v>
      </c>
      <c r="Q219" s="11">
        <f>Orders[[#This Row],[OrderTotal]]-Orders[[#This Row],[GrossProfit]]</f>
        <v>13.89</v>
      </c>
    </row>
    <row r="220" spans="1:17" x14ac:dyDescent="0.25">
      <c r="A220" t="s">
        <v>256</v>
      </c>
      <c r="B220" s="1">
        <v>45879.531284722223</v>
      </c>
      <c r="C220" t="s">
        <v>9</v>
      </c>
      <c r="D220" t="s">
        <v>28</v>
      </c>
      <c r="E220" t="s">
        <v>21</v>
      </c>
      <c r="F220" t="s">
        <v>22</v>
      </c>
      <c r="G220" s="5">
        <v>0.02</v>
      </c>
      <c r="H220" t="b">
        <f>COUNTIFS(OrderLines[OrderID],Orders[[#This Row],[OrderID]],OrderLines[Category],"Beverage")&gt;0</f>
        <v>0</v>
      </c>
      <c r="I220">
        <f>SUMIFS(OrderLines[Revenue],OrderLines[OrderID],Orders[[#This Row],[OrderID]])</f>
        <v>669.74180000000001</v>
      </c>
      <c r="J220" t="str">
        <f>IF(AND(COUNTIFS(OrderLines[OrderID],Orders[[#This Row],[OrderID]],OrderLines[Category],"Hot Meal")&gt;0,COUNTIFS(OrderLines[OrderID],Orders[[#This Row],[OrderID]],OrderLines[Category],"Beverage")&gt;0),"Combo","Single")</f>
        <v>Single</v>
      </c>
      <c r="K220" s="17" t="str">
        <f>IF(SUMPRODUCT((OrderLines[OrderID]=Orders[[#This Row],[OrderID]])*OrderLines[Qty]*OrderLines[UnitPrice])*Orders[[#This Row],[DiscountPct]]&gt;40,"HighDisc","OK")</f>
        <v>OK</v>
      </c>
      <c r="L220" s="11">
        <f>SUMIFS(OrderLines[Revenue],OrderLines[OrderID],Orders[[#This Row],[OrderID]])-SUMIFS(OrderLines[FoodCost],OrderLines[OrderID],Orders[[#This Row],[OrderID]])</f>
        <v>367.10180000000003</v>
      </c>
      <c r="M220" s="5">
        <f>Orders[[#This Row],[GrossProfit]]/Orders[[#This Row],[OrderTotal]]</f>
        <v>0.54812436673356812</v>
      </c>
      <c r="N220" s="17" t="b">
        <f>COUNTIFS(OrderLines[OrderID],Orders[[#This Row],[OrderID]],OrderLines[Category],"Hot Meal")&gt;0</f>
        <v>1</v>
      </c>
      <c r="O220" s="17" t="b">
        <f>COUNTIFS(OrderLines[OrderID],Orders[[#This Row],[OrderID]],OrderLines[Category],"Snack")&gt;0</f>
        <v>0</v>
      </c>
      <c r="P220" s="17" t="b">
        <f>COUNTIFS(OrderLines[OrderID],Orders[[#This Row],[OrderID]],OrderLines[Category],"Dessert")&gt;0</f>
        <v>1</v>
      </c>
      <c r="Q220" s="11">
        <f>Orders[[#This Row],[OrderTotal]]-Orders[[#This Row],[GrossProfit]]</f>
        <v>302.64</v>
      </c>
    </row>
    <row r="221" spans="1:17" x14ac:dyDescent="0.25">
      <c r="A221" t="s">
        <v>257</v>
      </c>
      <c r="B221" s="1">
        <v>45866.410069444442</v>
      </c>
      <c r="C221" t="s">
        <v>27</v>
      </c>
      <c r="D221" t="s">
        <v>10</v>
      </c>
      <c r="E221" t="s">
        <v>21</v>
      </c>
      <c r="F221" t="s">
        <v>12</v>
      </c>
      <c r="G221" s="5">
        <v>0.06</v>
      </c>
      <c r="H221" t="b">
        <f>COUNTIFS(OrderLines[OrderID],Orders[[#This Row],[OrderID]],OrderLines[Category],"Beverage")&gt;0</f>
        <v>0</v>
      </c>
      <c r="I221">
        <f>SUMIFS(OrderLines[Revenue],OrderLines[OrderID],Orders[[#This Row],[OrderID]])</f>
        <v>582.66840000000002</v>
      </c>
      <c r="J221" t="str">
        <f>IF(AND(COUNTIFS(OrderLines[OrderID],Orders[[#This Row],[OrderID]],OrderLines[Category],"Hot Meal")&gt;0,COUNTIFS(OrderLines[OrderID],Orders[[#This Row],[OrderID]],OrderLines[Category],"Beverage")&gt;0),"Combo","Single")</f>
        <v>Single</v>
      </c>
      <c r="K221" s="17" t="str">
        <f>IF(SUMPRODUCT((OrderLines[OrderID]=Orders[[#This Row],[OrderID]])*OrderLines[Qty]*OrderLines[UnitPrice])*Orders[[#This Row],[DiscountPct]]&gt;40,"HighDisc","OK")</f>
        <v>OK</v>
      </c>
      <c r="L221" s="11">
        <f>SUMIFS(OrderLines[Revenue],OrderLines[OrderID],Orders[[#This Row],[OrderID]])-SUMIFS(OrderLines[FoodCost],OrderLines[OrderID],Orders[[#This Row],[OrderID]])</f>
        <v>305.90840000000003</v>
      </c>
      <c r="M221" s="5">
        <f>Orders[[#This Row],[GrossProfit]]/Orders[[#This Row],[OrderTotal]]</f>
        <v>0.5250128546528352</v>
      </c>
      <c r="N221" s="17" t="b">
        <f>COUNTIFS(OrderLines[OrderID],Orders[[#This Row],[OrderID]],OrderLines[Category],"Hot Meal")&gt;0</f>
        <v>1</v>
      </c>
      <c r="O221" s="17" t="b">
        <f>COUNTIFS(OrderLines[OrderID],Orders[[#This Row],[OrderID]],OrderLines[Category],"Snack")&gt;0</f>
        <v>0</v>
      </c>
      <c r="P221" s="17" t="b">
        <f>COUNTIFS(OrderLines[OrderID],Orders[[#This Row],[OrderID]],OrderLines[Category],"Dessert")&gt;0</f>
        <v>1</v>
      </c>
      <c r="Q221" s="11">
        <f>Orders[[#This Row],[OrderTotal]]-Orders[[#This Row],[GrossProfit]]</f>
        <v>276.76</v>
      </c>
    </row>
    <row r="222" spans="1:17" x14ac:dyDescent="0.25">
      <c r="A222" t="s">
        <v>258</v>
      </c>
      <c r="B222" s="1">
        <v>45882.298217592594</v>
      </c>
      <c r="C222" t="s">
        <v>15</v>
      </c>
      <c r="D222" t="s">
        <v>28</v>
      </c>
      <c r="E222" t="s">
        <v>21</v>
      </c>
      <c r="F222" t="s">
        <v>12</v>
      </c>
      <c r="G222" s="5">
        <v>0</v>
      </c>
      <c r="H222" t="b">
        <f>COUNTIFS(OrderLines[OrderID],Orders[[#This Row],[OrderID]],OrderLines[Category],"Beverage")&gt;0</f>
        <v>0</v>
      </c>
      <c r="I222">
        <f>SUMIFS(OrderLines[Revenue],OrderLines[OrderID],Orders[[#This Row],[OrderID]])</f>
        <v>57.07</v>
      </c>
      <c r="J222" t="str">
        <f>IF(AND(COUNTIFS(OrderLines[OrderID],Orders[[#This Row],[OrderID]],OrderLines[Category],"Hot Meal")&gt;0,COUNTIFS(OrderLines[OrderID],Orders[[#This Row],[OrderID]],OrderLines[Category],"Beverage")&gt;0),"Combo","Single")</f>
        <v>Single</v>
      </c>
      <c r="K222" s="17" t="str">
        <f>IF(SUMPRODUCT((OrderLines[OrderID]=Orders[[#This Row],[OrderID]])*OrderLines[Qty]*OrderLines[UnitPrice])*Orders[[#This Row],[DiscountPct]]&gt;40,"HighDisc","OK")</f>
        <v>OK</v>
      </c>
      <c r="L222" s="11">
        <f>SUMIFS(OrderLines[Revenue],OrderLines[OrderID],Orders[[#This Row],[OrderID]])-SUMIFS(OrderLines[FoodCost],OrderLines[OrderID],Orders[[#This Row],[OrderID]])</f>
        <v>27.93</v>
      </c>
      <c r="M222" s="5">
        <f>Orders[[#This Row],[GrossProfit]]/Orders[[#This Row],[OrderTotal]]</f>
        <v>0.48939898370422286</v>
      </c>
      <c r="N222" s="17" t="b">
        <f>COUNTIFS(OrderLines[OrderID],Orders[[#This Row],[OrderID]],OrderLines[Category],"Hot Meal")&gt;0</f>
        <v>0</v>
      </c>
      <c r="O222" s="17" t="b">
        <f>COUNTIFS(OrderLines[OrderID],Orders[[#This Row],[OrderID]],OrderLines[Category],"Snack")&gt;0</f>
        <v>0</v>
      </c>
      <c r="P222" s="17" t="b">
        <f>COUNTIFS(OrderLines[OrderID],Orders[[#This Row],[OrderID]],OrderLines[Category],"Dessert")&gt;0</f>
        <v>1</v>
      </c>
      <c r="Q222" s="11">
        <f>Orders[[#This Row],[OrderTotal]]-Orders[[#This Row],[GrossProfit]]</f>
        <v>29.14</v>
      </c>
    </row>
    <row r="223" spans="1:17" x14ac:dyDescent="0.25">
      <c r="A223" t="s">
        <v>259</v>
      </c>
      <c r="B223" s="1">
        <v>45874.914675925917</v>
      </c>
      <c r="C223" t="s">
        <v>9</v>
      </c>
      <c r="D223" t="s">
        <v>10</v>
      </c>
      <c r="E223" t="s">
        <v>21</v>
      </c>
      <c r="F223" t="s">
        <v>18</v>
      </c>
      <c r="G223" s="5">
        <v>0.02</v>
      </c>
      <c r="H223" t="b">
        <f>COUNTIFS(OrderLines[OrderID],Orders[[#This Row],[OrderID]],OrderLines[Category],"Beverage")&gt;0</f>
        <v>1</v>
      </c>
      <c r="I223">
        <f>SUMIFS(OrderLines[Revenue],OrderLines[OrderID],Orders[[#This Row],[OrderID]])</f>
        <v>297.38099999999997</v>
      </c>
      <c r="J223" t="str">
        <f>IF(AND(COUNTIFS(OrderLines[OrderID],Orders[[#This Row],[OrderID]],OrderLines[Category],"Hot Meal")&gt;0,COUNTIFS(OrderLines[OrderID],Orders[[#This Row],[OrderID]],OrderLines[Category],"Beverage")&gt;0),"Combo","Single")</f>
        <v>Single</v>
      </c>
      <c r="K223" s="17" t="str">
        <f>IF(SUMPRODUCT((OrderLines[OrderID]=Orders[[#This Row],[OrderID]])*OrderLines[Qty]*OrderLines[UnitPrice])*Orders[[#This Row],[DiscountPct]]&gt;40,"HighDisc","OK")</f>
        <v>OK</v>
      </c>
      <c r="L223" s="11">
        <f>SUMIFS(OrderLines[Revenue],OrderLines[OrderID],Orders[[#This Row],[OrderID]])-SUMIFS(OrderLines[FoodCost],OrderLines[OrderID],Orders[[#This Row],[OrderID]])</f>
        <v>171.66099999999997</v>
      </c>
      <c r="M223" s="5">
        <f>Orders[[#This Row],[GrossProfit]]/Orders[[#This Row],[OrderTotal]]</f>
        <v>0.57724266177059058</v>
      </c>
      <c r="N223" s="17" t="b">
        <f>COUNTIFS(OrderLines[OrderID],Orders[[#This Row],[OrderID]],OrderLines[Category],"Hot Meal")&gt;0</f>
        <v>0</v>
      </c>
      <c r="O223" s="17" t="b">
        <f>COUNTIFS(OrderLines[OrderID],Orders[[#This Row],[OrderID]],OrderLines[Category],"Snack")&gt;0</f>
        <v>1</v>
      </c>
      <c r="P223" s="17" t="b">
        <f>COUNTIFS(OrderLines[OrderID],Orders[[#This Row],[OrderID]],OrderLines[Category],"Dessert")&gt;0</f>
        <v>1</v>
      </c>
      <c r="Q223" s="11">
        <f>Orders[[#This Row],[OrderTotal]]-Orders[[#This Row],[GrossProfit]]</f>
        <v>125.72</v>
      </c>
    </row>
    <row r="224" spans="1:17" x14ac:dyDescent="0.25">
      <c r="A224" t="s">
        <v>260</v>
      </c>
      <c r="B224" s="1">
        <v>45877.90552083333</v>
      </c>
      <c r="C224" t="s">
        <v>15</v>
      </c>
      <c r="D224" t="s">
        <v>28</v>
      </c>
      <c r="E224" t="s">
        <v>17</v>
      </c>
      <c r="F224" t="s">
        <v>18</v>
      </c>
      <c r="G224" s="5">
        <v>0.05</v>
      </c>
      <c r="H224" t="b">
        <f>COUNTIFS(OrderLines[OrderID],Orders[[#This Row],[OrderID]],OrderLines[Category],"Beverage")&gt;0</f>
        <v>1</v>
      </c>
      <c r="I224">
        <f>SUMIFS(OrderLines[Revenue],OrderLines[OrderID],Orders[[#This Row],[OrderID]])</f>
        <v>178.08699999999999</v>
      </c>
      <c r="J224" t="str">
        <f>IF(AND(COUNTIFS(OrderLines[OrderID],Orders[[#This Row],[OrderID]],OrderLines[Category],"Hot Meal")&gt;0,COUNTIFS(OrderLines[OrderID],Orders[[#This Row],[OrderID]],OrderLines[Category],"Beverage")&gt;0),"Combo","Single")</f>
        <v>Single</v>
      </c>
      <c r="K224" s="17" t="str">
        <f>IF(SUMPRODUCT((OrderLines[OrderID]=Orders[[#This Row],[OrderID]])*OrderLines[Qty]*OrderLines[UnitPrice])*Orders[[#This Row],[DiscountPct]]&gt;40,"HighDisc","OK")</f>
        <v>OK</v>
      </c>
      <c r="L224" s="11">
        <f>SUMIFS(OrderLines[Revenue],OrderLines[OrderID],Orders[[#This Row],[OrderID]])-SUMIFS(OrderLines[FoodCost],OrderLines[OrderID],Orders[[#This Row],[OrderID]])</f>
        <v>97.026999999999987</v>
      </c>
      <c r="M224" s="5">
        <f>Orders[[#This Row],[GrossProfit]]/Orders[[#This Row],[OrderTotal]]</f>
        <v>0.54482921268818041</v>
      </c>
      <c r="N224" s="17" t="b">
        <f>COUNTIFS(OrderLines[OrderID],Orders[[#This Row],[OrderID]],OrderLines[Category],"Hot Meal")&gt;0</f>
        <v>0</v>
      </c>
      <c r="O224" s="17" t="b">
        <f>COUNTIFS(OrderLines[OrderID],Orders[[#This Row],[OrderID]],OrderLines[Category],"Snack")&gt;0</f>
        <v>0</v>
      </c>
      <c r="P224" s="17" t="b">
        <f>COUNTIFS(OrderLines[OrderID],Orders[[#This Row],[OrderID]],OrderLines[Category],"Dessert")&gt;0</f>
        <v>1</v>
      </c>
      <c r="Q224" s="11">
        <f>Orders[[#This Row],[OrderTotal]]-Orders[[#This Row],[GrossProfit]]</f>
        <v>81.06</v>
      </c>
    </row>
    <row r="225" spans="1:17" x14ac:dyDescent="0.25">
      <c r="A225" t="s">
        <v>261</v>
      </c>
      <c r="B225" s="1">
        <v>45848.150601851848</v>
      </c>
      <c r="C225" t="s">
        <v>9</v>
      </c>
      <c r="D225" t="s">
        <v>28</v>
      </c>
      <c r="E225" t="s">
        <v>11</v>
      </c>
      <c r="F225" t="s">
        <v>12</v>
      </c>
      <c r="G225" s="5">
        <v>0.01</v>
      </c>
      <c r="H225" t="b">
        <f>COUNTIFS(OrderLines[OrderID],Orders[[#This Row],[OrderID]],OrderLines[Category],"Beverage")&gt;0</f>
        <v>0</v>
      </c>
      <c r="I225">
        <f>SUMIFS(OrderLines[Revenue],OrderLines[OrderID],Orders[[#This Row],[OrderID]])</f>
        <v>155.77650000000003</v>
      </c>
      <c r="J225" t="str">
        <f>IF(AND(COUNTIFS(OrderLines[OrderID],Orders[[#This Row],[OrderID]],OrderLines[Category],"Hot Meal")&gt;0,COUNTIFS(OrderLines[OrderID],Orders[[#This Row],[OrderID]],OrderLines[Category],"Beverage")&gt;0),"Combo","Single")</f>
        <v>Single</v>
      </c>
      <c r="K225" s="17" t="str">
        <f>IF(SUMPRODUCT((OrderLines[OrderID]=Orders[[#This Row],[OrderID]])*OrderLines[Qty]*OrderLines[UnitPrice])*Orders[[#This Row],[DiscountPct]]&gt;40,"HighDisc","OK")</f>
        <v>OK</v>
      </c>
      <c r="L225" s="11">
        <f>SUMIFS(OrderLines[Revenue],OrderLines[OrderID],Orders[[#This Row],[OrderID]])-SUMIFS(OrderLines[FoodCost],OrderLines[OrderID],Orders[[#This Row],[OrderID]])</f>
        <v>78.376500000000021</v>
      </c>
      <c r="M225" s="5">
        <f>Orders[[#This Row],[GrossProfit]]/Orders[[#This Row],[OrderTotal]]</f>
        <v>0.50313429817719624</v>
      </c>
      <c r="N225" s="17" t="b">
        <f>COUNTIFS(OrderLines[OrderID],Orders[[#This Row],[OrderID]],OrderLines[Category],"Hot Meal")&gt;0</f>
        <v>0</v>
      </c>
      <c r="O225" s="17" t="b">
        <f>COUNTIFS(OrderLines[OrderID],Orders[[#This Row],[OrderID]],OrderLines[Category],"Snack")&gt;0</f>
        <v>1</v>
      </c>
      <c r="P225" s="17" t="b">
        <f>COUNTIFS(OrderLines[OrderID],Orders[[#This Row],[OrderID]],OrderLines[Category],"Dessert")&gt;0</f>
        <v>0</v>
      </c>
      <c r="Q225" s="11">
        <f>Orders[[#This Row],[OrderTotal]]-Orders[[#This Row],[GrossProfit]]</f>
        <v>77.400000000000006</v>
      </c>
    </row>
    <row r="226" spans="1:17" x14ac:dyDescent="0.25">
      <c r="A226" t="s">
        <v>262</v>
      </c>
      <c r="B226" s="1">
        <v>45844.160682870373</v>
      </c>
      <c r="C226" t="s">
        <v>15</v>
      </c>
      <c r="D226" t="s">
        <v>28</v>
      </c>
      <c r="E226" t="s">
        <v>17</v>
      </c>
      <c r="F226" t="s">
        <v>12</v>
      </c>
      <c r="G226" s="5">
        <v>0.13</v>
      </c>
      <c r="H226" t="b">
        <f>COUNTIFS(OrderLines[OrderID],Orders[[#This Row],[OrderID]],OrderLines[Category],"Beverage")&gt;0</f>
        <v>1</v>
      </c>
      <c r="I226">
        <f>SUMIFS(OrderLines[Revenue],OrderLines[OrderID],Orders[[#This Row],[OrderID]])</f>
        <v>834.16470000000004</v>
      </c>
      <c r="J226" t="str">
        <f>IF(AND(COUNTIFS(OrderLines[OrderID],Orders[[#This Row],[OrderID]],OrderLines[Category],"Hot Meal")&gt;0,COUNTIFS(OrderLines[OrderID],Orders[[#This Row],[OrderID]],OrderLines[Category],"Beverage")&gt;0),"Combo","Single")</f>
        <v>Combo</v>
      </c>
      <c r="K226" s="17" t="str">
        <f>IF(SUMPRODUCT((OrderLines[OrderID]=Orders[[#This Row],[OrderID]])*OrderLines[Qty]*OrderLines[UnitPrice])*Orders[[#This Row],[DiscountPct]]&gt;40,"HighDisc","OK")</f>
        <v>HighDisc</v>
      </c>
      <c r="L226" s="11">
        <f>SUMIFS(OrderLines[Revenue],OrderLines[OrderID],Orders[[#This Row],[OrderID]])-SUMIFS(OrderLines[FoodCost],OrderLines[OrderID],Orders[[#This Row],[OrderID]])</f>
        <v>378.49470000000008</v>
      </c>
      <c r="M226" s="5">
        <f>Orders[[#This Row],[GrossProfit]]/Orders[[#This Row],[OrderTotal]]</f>
        <v>0.45374096985883011</v>
      </c>
      <c r="N226" s="17" t="b">
        <f>COUNTIFS(OrderLines[OrderID],Orders[[#This Row],[OrderID]],OrderLines[Category],"Hot Meal")&gt;0</f>
        <v>1</v>
      </c>
      <c r="O226" s="17" t="b">
        <f>COUNTIFS(OrderLines[OrderID],Orders[[#This Row],[OrderID]],OrderLines[Category],"Snack")&gt;0</f>
        <v>1</v>
      </c>
      <c r="P226" s="17" t="b">
        <f>COUNTIFS(OrderLines[OrderID],Orders[[#This Row],[OrderID]],OrderLines[Category],"Dessert")&gt;0</f>
        <v>0</v>
      </c>
      <c r="Q226" s="11">
        <f>Orders[[#This Row],[OrderTotal]]-Orders[[#This Row],[GrossProfit]]</f>
        <v>455.66999999999996</v>
      </c>
    </row>
    <row r="227" spans="1:17" x14ac:dyDescent="0.25">
      <c r="A227" t="s">
        <v>263</v>
      </c>
      <c r="B227" s="1">
        <v>45845.911377314813</v>
      </c>
      <c r="C227" t="s">
        <v>9</v>
      </c>
      <c r="D227" t="s">
        <v>28</v>
      </c>
      <c r="E227" t="s">
        <v>11</v>
      </c>
      <c r="F227" t="s">
        <v>18</v>
      </c>
      <c r="G227" s="5">
        <v>0</v>
      </c>
      <c r="H227" t="b">
        <f>COUNTIFS(OrderLines[OrderID],Orders[[#This Row],[OrderID]],OrderLines[Category],"Beverage")&gt;0</f>
        <v>1</v>
      </c>
      <c r="I227">
        <f>SUMIFS(OrderLines[Revenue],OrderLines[OrderID],Orders[[#This Row],[OrderID]])</f>
        <v>329.84000000000003</v>
      </c>
      <c r="J227" t="str">
        <f>IF(AND(COUNTIFS(OrderLines[OrderID],Orders[[#This Row],[OrderID]],OrderLines[Category],"Hot Meal")&gt;0,COUNTIFS(OrderLines[OrderID],Orders[[#This Row],[OrderID]],OrderLines[Category],"Beverage")&gt;0),"Combo","Single")</f>
        <v>Combo</v>
      </c>
      <c r="K227" s="17" t="str">
        <f>IF(SUMPRODUCT((OrderLines[OrderID]=Orders[[#This Row],[OrderID]])*OrderLines[Qty]*OrderLines[UnitPrice])*Orders[[#This Row],[DiscountPct]]&gt;40,"HighDisc","OK")</f>
        <v>OK</v>
      </c>
      <c r="L227" s="11">
        <f>SUMIFS(OrderLines[Revenue],OrderLines[OrderID],Orders[[#This Row],[OrderID]])-SUMIFS(OrderLines[FoodCost],OrderLines[OrderID],Orders[[#This Row],[OrderID]])</f>
        <v>158.28000000000003</v>
      </c>
      <c r="M227" s="5">
        <f>Orders[[#This Row],[GrossProfit]]/Orders[[#This Row],[OrderTotal]]</f>
        <v>0.47986902740722781</v>
      </c>
      <c r="N227" s="17" t="b">
        <f>COUNTIFS(OrderLines[OrderID],Orders[[#This Row],[OrderID]],OrderLines[Category],"Hot Meal")&gt;0</f>
        <v>1</v>
      </c>
      <c r="O227" s="17" t="b">
        <f>COUNTIFS(OrderLines[OrderID],Orders[[#This Row],[OrderID]],OrderLines[Category],"Snack")&gt;0</f>
        <v>0</v>
      </c>
      <c r="P227" s="17" t="b">
        <f>COUNTIFS(OrderLines[OrderID],Orders[[#This Row],[OrderID]],OrderLines[Category],"Dessert")&gt;0</f>
        <v>1</v>
      </c>
      <c r="Q227" s="11">
        <f>Orders[[#This Row],[OrderTotal]]-Orders[[#This Row],[GrossProfit]]</f>
        <v>171.56</v>
      </c>
    </row>
    <row r="228" spans="1:17" x14ac:dyDescent="0.25">
      <c r="A228" t="s">
        <v>264</v>
      </c>
      <c r="B228" s="1">
        <v>45861.871921296297</v>
      </c>
      <c r="C228" t="s">
        <v>15</v>
      </c>
      <c r="D228" t="s">
        <v>28</v>
      </c>
      <c r="E228" t="s">
        <v>11</v>
      </c>
      <c r="F228" t="s">
        <v>18</v>
      </c>
      <c r="G228" s="5">
        <v>0.04</v>
      </c>
      <c r="H228" t="b">
        <f>COUNTIFS(OrderLines[OrderID],Orders[[#This Row],[OrderID]],OrderLines[Category],"Beverage")&gt;0</f>
        <v>0</v>
      </c>
      <c r="I228">
        <f>SUMIFS(OrderLines[Revenue],OrderLines[OrderID],Orders[[#This Row],[OrderID]])</f>
        <v>380.0256</v>
      </c>
      <c r="J228" t="str">
        <f>IF(AND(COUNTIFS(OrderLines[OrderID],Orders[[#This Row],[OrderID]],OrderLines[Category],"Hot Meal")&gt;0,COUNTIFS(OrderLines[OrderID],Orders[[#This Row],[OrderID]],OrderLines[Category],"Beverage")&gt;0),"Combo","Single")</f>
        <v>Single</v>
      </c>
      <c r="K228" s="17" t="str">
        <f>IF(SUMPRODUCT((OrderLines[OrderID]=Orders[[#This Row],[OrderID]])*OrderLines[Qty]*OrderLines[UnitPrice])*Orders[[#This Row],[DiscountPct]]&gt;40,"HighDisc","OK")</f>
        <v>OK</v>
      </c>
      <c r="L228" s="11">
        <f>SUMIFS(OrderLines[Revenue],OrderLines[OrderID],Orders[[#This Row],[OrderID]])-SUMIFS(OrderLines[FoodCost],OrderLines[OrderID],Orders[[#This Row],[OrderID]])</f>
        <v>209.93560000000002</v>
      </c>
      <c r="M228" s="5">
        <f>Orders[[#This Row],[GrossProfit]]/Orders[[#This Row],[OrderTotal]]</f>
        <v>0.55242488927061761</v>
      </c>
      <c r="N228" s="17" t="b">
        <f>COUNTIFS(OrderLines[OrderID],Orders[[#This Row],[OrderID]],OrderLines[Category],"Hot Meal")&gt;0</f>
        <v>1</v>
      </c>
      <c r="O228" s="17" t="b">
        <f>COUNTIFS(OrderLines[OrderID],Orders[[#This Row],[OrderID]],OrderLines[Category],"Snack")&gt;0</f>
        <v>0</v>
      </c>
      <c r="P228" s="17" t="b">
        <f>COUNTIFS(OrderLines[OrderID],Orders[[#This Row],[OrderID]],OrderLines[Category],"Dessert")&gt;0</f>
        <v>1</v>
      </c>
      <c r="Q228" s="11">
        <f>Orders[[#This Row],[OrderTotal]]-Orders[[#This Row],[GrossProfit]]</f>
        <v>170.08999999999997</v>
      </c>
    </row>
    <row r="229" spans="1:17" x14ac:dyDescent="0.25">
      <c r="A229" t="s">
        <v>265</v>
      </c>
      <c r="B229" s="1">
        <v>45866.170706018522</v>
      </c>
      <c r="C229" t="s">
        <v>27</v>
      </c>
      <c r="D229" t="s">
        <v>28</v>
      </c>
      <c r="E229" t="s">
        <v>11</v>
      </c>
      <c r="F229" t="s">
        <v>12</v>
      </c>
      <c r="G229" s="5">
        <v>7.0000000000000007E-2</v>
      </c>
      <c r="H229" t="b">
        <f>COUNTIFS(OrderLines[OrderID],Orders[[#This Row],[OrderID]],OrderLines[Category],"Beverage")&gt;0</f>
        <v>0</v>
      </c>
      <c r="I229">
        <f>SUMIFS(OrderLines[Revenue],OrderLines[OrderID],Orders[[#This Row],[OrderID]])</f>
        <v>100.812</v>
      </c>
      <c r="J229" t="str">
        <f>IF(AND(COUNTIFS(OrderLines[OrderID],Orders[[#This Row],[OrderID]],OrderLines[Category],"Hot Meal")&gt;0,COUNTIFS(OrderLines[OrderID],Orders[[#This Row],[OrderID]],OrderLines[Category],"Beverage")&gt;0),"Combo","Single")</f>
        <v>Single</v>
      </c>
      <c r="K229" s="17" t="str">
        <f>IF(SUMPRODUCT((OrderLines[OrderID]=Orders[[#This Row],[OrderID]])*OrderLines[Qty]*OrderLines[UnitPrice])*Orders[[#This Row],[DiscountPct]]&gt;40,"HighDisc","OK")</f>
        <v>OK</v>
      </c>
      <c r="L229" s="11">
        <f>SUMIFS(OrderLines[Revenue],OrderLines[OrderID],Orders[[#This Row],[OrderID]])-SUMIFS(OrderLines[FoodCost],OrderLines[OrderID],Orders[[#This Row],[OrderID]])</f>
        <v>56.911999999999999</v>
      </c>
      <c r="M229" s="5">
        <f>Orders[[#This Row],[GrossProfit]]/Orders[[#This Row],[OrderTotal]]</f>
        <v>0.56453596794032457</v>
      </c>
      <c r="N229" s="17" t="b">
        <f>COUNTIFS(OrderLines[OrderID],Orders[[#This Row],[OrderID]],OrderLines[Category],"Hot Meal")&gt;0</f>
        <v>0</v>
      </c>
      <c r="O229" s="17" t="b">
        <f>COUNTIFS(OrderLines[OrderID],Orders[[#This Row],[OrderID]],OrderLines[Category],"Snack")&gt;0</f>
        <v>0</v>
      </c>
      <c r="P229" s="17" t="b">
        <f>COUNTIFS(OrderLines[OrderID],Orders[[#This Row],[OrderID]],OrderLines[Category],"Dessert")&gt;0</f>
        <v>1</v>
      </c>
      <c r="Q229" s="11">
        <f>Orders[[#This Row],[OrderTotal]]-Orders[[#This Row],[GrossProfit]]</f>
        <v>43.9</v>
      </c>
    </row>
    <row r="230" spans="1:17" x14ac:dyDescent="0.25">
      <c r="A230" t="s">
        <v>266</v>
      </c>
      <c r="B230" s="1">
        <v>45856.191979166673</v>
      </c>
      <c r="C230" t="s">
        <v>27</v>
      </c>
      <c r="D230" t="s">
        <v>10</v>
      </c>
      <c r="E230" t="s">
        <v>17</v>
      </c>
      <c r="F230" t="s">
        <v>12</v>
      </c>
      <c r="G230" s="5">
        <v>0.12</v>
      </c>
      <c r="H230" t="b">
        <f>COUNTIFS(OrderLines[OrderID],Orders[[#This Row],[OrderID]],OrderLines[Category],"Beverage")&gt;0</f>
        <v>0</v>
      </c>
      <c r="I230">
        <f>SUMIFS(OrderLines[Revenue],OrderLines[OrderID],Orders[[#This Row],[OrderID]])</f>
        <v>455.21519999999998</v>
      </c>
      <c r="J230" t="str">
        <f>IF(AND(COUNTIFS(OrderLines[OrderID],Orders[[#This Row],[OrderID]],OrderLines[Category],"Hot Meal")&gt;0,COUNTIFS(OrderLines[OrderID],Orders[[#This Row],[OrderID]],OrderLines[Category],"Beverage")&gt;0),"Combo","Single")</f>
        <v>Single</v>
      </c>
      <c r="K230" s="17" t="str">
        <f>IF(SUMPRODUCT((OrderLines[OrderID]=Orders[[#This Row],[OrderID]])*OrderLines[Qty]*OrderLines[UnitPrice])*Orders[[#This Row],[DiscountPct]]&gt;40,"HighDisc","OK")</f>
        <v>HighDisc</v>
      </c>
      <c r="L230" s="11">
        <f>SUMIFS(OrderLines[Revenue],OrderLines[OrderID],Orders[[#This Row],[OrderID]])-SUMIFS(OrderLines[FoodCost],OrderLines[OrderID],Orders[[#This Row],[OrderID]])</f>
        <v>221.92519999999996</v>
      </c>
      <c r="M230" s="5">
        <f>Orders[[#This Row],[GrossProfit]]/Orders[[#This Row],[OrderTotal]]</f>
        <v>0.48751711278533749</v>
      </c>
      <c r="N230" s="17" t="b">
        <f>COUNTIFS(OrderLines[OrderID],Orders[[#This Row],[OrderID]],OrderLines[Category],"Hot Meal")&gt;0</f>
        <v>1</v>
      </c>
      <c r="O230" s="17" t="b">
        <f>COUNTIFS(OrderLines[OrderID],Orders[[#This Row],[OrderID]],OrderLines[Category],"Snack")&gt;0</f>
        <v>1</v>
      </c>
      <c r="P230" s="17" t="b">
        <f>COUNTIFS(OrderLines[OrderID],Orders[[#This Row],[OrderID]],OrderLines[Category],"Dessert")&gt;0</f>
        <v>1</v>
      </c>
      <c r="Q230" s="11">
        <f>Orders[[#This Row],[OrderTotal]]-Orders[[#This Row],[GrossProfit]]</f>
        <v>233.29000000000002</v>
      </c>
    </row>
    <row r="231" spans="1:17" x14ac:dyDescent="0.25">
      <c r="A231" t="s">
        <v>267</v>
      </c>
      <c r="B231" s="1">
        <v>45840.692789351851</v>
      </c>
      <c r="C231" t="s">
        <v>15</v>
      </c>
      <c r="D231" t="s">
        <v>28</v>
      </c>
      <c r="E231" t="s">
        <v>11</v>
      </c>
      <c r="F231" t="s">
        <v>18</v>
      </c>
      <c r="G231" s="5">
        <v>0</v>
      </c>
      <c r="H231" t="b">
        <f>COUNTIFS(OrderLines[OrderID],Orders[[#This Row],[OrderID]],OrderLines[Category],"Beverage")&gt;0</f>
        <v>1</v>
      </c>
      <c r="I231">
        <f>SUMIFS(OrderLines[Revenue],OrderLines[OrderID],Orders[[#This Row],[OrderID]])</f>
        <v>199.26000000000002</v>
      </c>
      <c r="J231" t="str">
        <f>IF(AND(COUNTIFS(OrderLines[OrderID],Orders[[#This Row],[OrderID]],OrderLines[Category],"Hot Meal")&gt;0,COUNTIFS(OrderLines[OrderID],Orders[[#This Row],[OrderID]],OrderLines[Category],"Beverage")&gt;0),"Combo","Single")</f>
        <v>Combo</v>
      </c>
      <c r="K231" s="17" t="str">
        <f>IF(SUMPRODUCT((OrderLines[OrderID]=Orders[[#This Row],[OrderID]])*OrderLines[Qty]*OrderLines[UnitPrice])*Orders[[#This Row],[DiscountPct]]&gt;40,"HighDisc","OK")</f>
        <v>OK</v>
      </c>
      <c r="L231" s="11">
        <f>SUMIFS(OrderLines[Revenue],OrderLines[OrderID],Orders[[#This Row],[OrderID]])-SUMIFS(OrderLines[FoodCost],OrderLines[OrderID],Orders[[#This Row],[OrderID]])</f>
        <v>111.30000000000003</v>
      </c>
      <c r="M231" s="5">
        <f>Orders[[#This Row],[GrossProfit]]/Orders[[#This Row],[OrderTotal]]</f>
        <v>0.55856669677807902</v>
      </c>
      <c r="N231" s="17" t="b">
        <f>COUNTIFS(OrderLines[OrderID],Orders[[#This Row],[OrderID]],OrderLines[Category],"Hot Meal")&gt;0</f>
        <v>1</v>
      </c>
      <c r="O231" s="17" t="b">
        <f>COUNTIFS(OrderLines[OrderID],Orders[[#This Row],[OrderID]],OrderLines[Category],"Snack")&gt;0</f>
        <v>0</v>
      </c>
      <c r="P231" s="17" t="b">
        <f>COUNTIFS(OrderLines[OrderID],Orders[[#This Row],[OrderID]],OrderLines[Category],"Dessert")&gt;0</f>
        <v>0</v>
      </c>
      <c r="Q231" s="11">
        <f>Orders[[#This Row],[OrderTotal]]-Orders[[#This Row],[GrossProfit]]</f>
        <v>87.96</v>
      </c>
    </row>
    <row r="232" spans="1:17" x14ac:dyDescent="0.25">
      <c r="A232" t="s">
        <v>268</v>
      </c>
      <c r="B232" s="1">
        <v>45840.782187500001</v>
      </c>
      <c r="C232" t="s">
        <v>27</v>
      </c>
      <c r="D232" t="s">
        <v>16</v>
      </c>
      <c r="E232" t="s">
        <v>17</v>
      </c>
      <c r="F232" t="s">
        <v>18</v>
      </c>
      <c r="G232" s="5">
        <v>0.11</v>
      </c>
      <c r="H232" t="b">
        <f>COUNTIFS(OrderLines[OrderID],Orders[[#This Row],[OrderID]],OrderLines[Category],"Beverage")&gt;0</f>
        <v>1</v>
      </c>
      <c r="I232">
        <f>SUMIFS(OrderLines[Revenue],OrderLines[OrderID],Orders[[#This Row],[OrderID]])</f>
        <v>460.40589999999997</v>
      </c>
      <c r="J232" t="str">
        <f>IF(AND(COUNTIFS(OrderLines[OrderID],Orders[[#This Row],[OrderID]],OrderLines[Category],"Hot Meal")&gt;0,COUNTIFS(OrderLines[OrderID],Orders[[#This Row],[OrderID]],OrderLines[Category],"Beverage")&gt;0),"Combo","Single")</f>
        <v>Single</v>
      </c>
      <c r="K232" s="17" t="str">
        <f>IF(SUMPRODUCT((OrderLines[OrderID]=Orders[[#This Row],[OrderID]])*OrderLines[Qty]*OrderLines[UnitPrice])*Orders[[#This Row],[DiscountPct]]&gt;40,"HighDisc","OK")</f>
        <v>HighDisc</v>
      </c>
      <c r="L232" s="11">
        <f>SUMIFS(OrderLines[Revenue],OrderLines[OrderID],Orders[[#This Row],[OrderID]])-SUMIFS(OrderLines[FoodCost],OrderLines[OrderID],Orders[[#This Row],[OrderID]])</f>
        <v>221.46589999999998</v>
      </c>
      <c r="M232" s="5">
        <f>Orders[[#This Row],[GrossProfit]]/Orders[[#This Row],[OrderTotal]]</f>
        <v>0.48102315804380436</v>
      </c>
      <c r="N232" s="17" t="b">
        <f>COUNTIFS(OrderLines[OrderID],Orders[[#This Row],[OrderID]],OrderLines[Category],"Hot Meal")&gt;0</f>
        <v>0</v>
      </c>
      <c r="O232" s="17" t="b">
        <f>COUNTIFS(OrderLines[OrderID],Orders[[#This Row],[OrderID]],OrderLines[Category],"Snack")&gt;0</f>
        <v>1</v>
      </c>
      <c r="P232" s="17" t="b">
        <f>COUNTIFS(OrderLines[OrderID],Orders[[#This Row],[OrderID]],OrderLines[Category],"Dessert")&gt;0</f>
        <v>1</v>
      </c>
      <c r="Q232" s="11">
        <f>Orders[[#This Row],[OrderTotal]]-Orders[[#This Row],[GrossProfit]]</f>
        <v>238.94</v>
      </c>
    </row>
    <row r="233" spans="1:17" x14ac:dyDescent="0.25">
      <c r="A233" t="s">
        <v>269</v>
      </c>
      <c r="B233" s="1">
        <v>45880.121215277781</v>
      </c>
      <c r="C233" t="s">
        <v>9</v>
      </c>
      <c r="D233" t="s">
        <v>28</v>
      </c>
      <c r="E233" t="s">
        <v>11</v>
      </c>
      <c r="F233" t="s">
        <v>12</v>
      </c>
      <c r="G233" s="5">
        <v>0.06</v>
      </c>
      <c r="H233" t="b">
        <f>COUNTIFS(OrderLines[OrderID],Orders[[#This Row],[OrderID]],OrderLines[Category],"Beverage")&gt;0</f>
        <v>1</v>
      </c>
      <c r="I233">
        <f>SUMIFS(OrderLines[Revenue],OrderLines[OrderID],Orders[[#This Row],[OrderID]])</f>
        <v>483.5172</v>
      </c>
      <c r="J233" t="str">
        <f>IF(AND(COUNTIFS(OrderLines[OrderID],Orders[[#This Row],[OrderID]],OrderLines[Category],"Hot Meal")&gt;0,COUNTIFS(OrderLines[OrderID],Orders[[#This Row],[OrderID]],OrderLines[Category],"Beverage")&gt;0),"Combo","Single")</f>
        <v>Combo</v>
      </c>
      <c r="K233" s="17" t="str">
        <f>IF(SUMPRODUCT((OrderLines[OrderID]=Orders[[#This Row],[OrderID]])*OrderLines[Qty]*OrderLines[UnitPrice])*Orders[[#This Row],[DiscountPct]]&gt;40,"HighDisc","OK")</f>
        <v>OK</v>
      </c>
      <c r="L233" s="11">
        <f>SUMIFS(OrderLines[Revenue],OrderLines[OrderID],Orders[[#This Row],[OrderID]])-SUMIFS(OrderLines[FoodCost],OrderLines[OrderID],Orders[[#This Row],[OrderID]])</f>
        <v>249.97720000000001</v>
      </c>
      <c r="M233" s="5">
        <f>Orders[[#This Row],[GrossProfit]]/Orders[[#This Row],[OrderTotal]]</f>
        <v>0.51699753390365433</v>
      </c>
      <c r="N233" s="17" t="b">
        <f>COUNTIFS(OrderLines[OrderID],Orders[[#This Row],[OrderID]],OrderLines[Category],"Hot Meal")&gt;0</f>
        <v>1</v>
      </c>
      <c r="O233" s="17" t="b">
        <f>COUNTIFS(OrderLines[OrderID],Orders[[#This Row],[OrderID]],OrderLines[Category],"Snack")&gt;0</f>
        <v>0</v>
      </c>
      <c r="P233" s="17" t="b">
        <f>COUNTIFS(OrderLines[OrderID],Orders[[#This Row],[OrderID]],OrderLines[Category],"Dessert")&gt;0</f>
        <v>0</v>
      </c>
      <c r="Q233" s="11">
        <f>Orders[[#This Row],[OrderTotal]]-Orders[[#This Row],[GrossProfit]]</f>
        <v>233.54</v>
      </c>
    </row>
    <row r="234" spans="1:17" x14ac:dyDescent="0.25">
      <c r="A234" t="s">
        <v>270</v>
      </c>
      <c r="B234" s="1">
        <v>45885.488888888889</v>
      </c>
      <c r="C234" t="s">
        <v>15</v>
      </c>
      <c r="D234" t="s">
        <v>16</v>
      </c>
      <c r="E234" t="s">
        <v>11</v>
      </c>
      <c r="F234" t="s">
        <v>22</v>
      </c>
      <c r="G234" s="5">
        <v>0.02</v>
      </c>
      <c r="H234" t="b">
        <f>COUNTIFS(OrderLines[OrderID],Orders[[#This Row],[OrderID]],OrderLines[Category],"Beverage")&gt;0</f>
        <v>1</v>
      </c>
      <c r="I234">
        <f>SUMIFS(OrderLines[Revenue],OrderLines[OrderID],Orders[[#This Row],[OrderID]])</f>
        <v>128.10560000000001</v>
      </c>
      <c r="J234" t="str">
        <f>IF(AND(COUNTIFS(OrderLines[OrderID],Orders[[#This Row],[OrderID]],OrderLines[Category],"Hot Meal")&gt;0,COUNTIFS(OrderLines[OrderID],Orders[[#This Row],[OrderID]],OrderLines[Category],"Beverage")&gt;0),"Combo","Single")</f>
        <v>Single</v>
      </c>
      <c r="K234" s="17" t="str">
        <f>IF(SUMPRODUCT((OrderLines[OrderID]=Orders[[#This Row],[OrderID]])*OrderLines[Qty]*OrderLines[UnitPrice])*Orders[[#This Row],[DiscountPct]]&gt;40,"HighDisc","OK")</f>
        <v>OK</v>
      </c>
      <c r="L234" s="11">
        <f>SUMIFS(OrderLines[Revenue],OrderLines[OrderID],Orders[[#This Row],[OrderID]])-SUMIFS(OrderLines[FoodCost],OrderLines[OrderID],Orders[[#This Row],[OrderID]])</f>
        <v>68.705600000000004</v>
      </c>
      <c r="M234" s="5">
        <f>Orders[[#This Row],[GrossProfit]]/Orders[[#This Row],[OrderTotal]]</f>
        <v>0.53632003597032452</v>
      </c>
      <c r="N234" s="17" t="b">
        <f>COUNTIFS(OrderLines[OrderID],Orders[[#This Row],[OrderID]],OrderLines[Category],"Hot Meal")&gt;0</f>
        <v>0</v>
      </c>
      <c r="O234" s="17" t="b">
        <f>COUNTIFS(OrderLines[OrderID],Orders[[#This Row],[OrderID]],OrderLines[Category],"Snack")&gt;0</f>
        <v>1</v>
      </c>
      <c r="P234" s="17" t="b">
        <f>COUNTIFS(OrderLines[OrderID],Orders[[#This Row],[OrderID]],OrderLines[Category],"Dessert")&gt;0</f>
        <v>0</v>
      </c>
      <c r="Q234" s="11">
        <f>Orders[[#This Row],[OrderTotal]]-Orders[[#This Row],[GrossProfit]]</f>
        <v>59.400000000000006</v>
      </c>
    </row>
    <row r="235" spans="1:17" x14ac:dyDescent="0.25">
      <c r="A235" t="s">
        <v>271</v>
      </c>
      <c r="B235" s="1">
        <v>45883.135370370372</v>
      </c>
      <c r="C235" t="s">
        <v>9</v>
      </c>
      <c r="D235" t="s">
        <v>28</v>
      </c>
      <c r="E235" t="s">
        <v>11</v>
      </c>
      <c r="F235" t="s">
        <v>12</v>
      </c>
      <c r="G235" s="5">
        <v>0.08</v>
      </c>
      <c r="H235" t="b">
        <f>COUNTIFS(OrderLines[OrderID],Orders[[#This Row],[OrderID]],OrderLines[Category],"Beverage")&gt;0</f>
        <v>0</v>
      </c>
      <c r="I235">
        <f>SUMIFS(OrderLines[Revenue],OrderLines[OrderID],Orders[[#This Row],[OrderID]])</f>
        <v>36.754000000000005</v>
      </c>
      <c r="J235" t="str">
        <f>IF(AND(COUNTIFS(OrderLines[OrderID],Orders[[#This Row],[OrderID]],OrderLines[Category],"Hot Meal")&gt;0,COUNTIFS(OrderLines[OrderID],Orders[[#This Row],[OrderID]],OrderLines[Category],"Beverage")&gt;0),"Combo","Single")</f>
        <v>Single</v>
      </c>
      <c r="K235" s="17" t="str">
        <f>IF(SUMPRODUCT((OrderLines[OrderID]=Orders[[#This Row],[OrderID]])*OrderLines[Qty]*OrderLines[UnitPrice])*Orders[[#This Row],[DiscountPct]]&gt;40,"HighDisc","OK")</f>
        <v>OK</v>
      </c>
      <c r="L235" s="11">
        <f>SUMIFS(OrderLines[Revenue],OrderLines[OrderID],Orders[[#This Row],[OrderID]])-SUMIFS(OrderLines[FoodCost],OrderLines[OrderID],Orders[[#This Row],[OrderID]])</f>
        <v>21.244000000000007</v>
      </c>
      <c r="M235" s="5">
        <f>Orders[[#This Row],[GrossProfit]]/Orders[[#This Row],[OrderTotal]]</f>
        <v>0.57800511508951413</v>
      </c>
      <c r="N235" s="17" t="b">
        <f>COUNTIFS(OrderLines[OrderID],Orders[[#This Row],[OrderID]],OrderLines[Category],"Hot Meal")&gt;0</f>
        <v>0</v>
      </c>
      <c r="O235" s="17" t="b">
        <f>COUNTIFS(OrderLines[OrderID],Orders[[#This Row],[OrderID]],OrderLines[Category],"Snack")&gt;0</f>
        <v>1</v>
      </c>
      <c r="P235" s="17" t="b">
        <f>COUNTIFS(OrderLines[OrderID],Orders[[#This Row],[OrderID]],OrderLines[Category],"Dessert")&gt;0</f>
        <v>0</v>
      </c>
      <c r="Q235" s="11">
        <f>Orders[[#This Row],[OrderTotal]]-Orders[[#This Row],[GrossProfit]]</f>
        <v>15.509999999999998</v>
      </c>
    </row>
    <row r="236" spans="1:17" x14ac:dyDescent="0.25">
      <c r="A236" t="s">
        <v>272</v>
      </c>
      <c r="B236" s="1">
        <v>45889.877881944441</v>
      </c>
      <c r="C236" t="s">
        <v>15</v>
      </c>
      <c r="D236" t="s">
        <v>16</v>
      </c>
      <c r="E236" t="s">
        <v>11</v>
      </c>
      <c r="F236" t="s">
        <v>18</v>
      </c>
      <c r="G236" s="5">
        <v>7.0000000000000007E-2</v>
      </c>
      <c r="H236" t="b">
        <f>COUNTIFS(OrderLines[OrderID],Orders[[#This Row],[OrderID]],OrderLines[Category],"Beverage")&gt;0</f>
        <v>0</v>
      </c>
      <c r="I236">
        <f>SUMIFS(OrderLines[Revenue],OrderLines[OrderID],Orders[[#This Row],[OrderID]])</f>
        <v>136.15199999999999</v>
      </c>
      <c r="J236" t="str">
        <f>IF(AND(COUNTIFS(OrderLines[OrderID],Orders[[#This Row],[OrderID]],OrderLines[Category],"Hot Meal")&gt;0,COUNTIFS(OrderLines[OrderID],Orders[[#This Row],[OrderID]],OrderLines[Category],"Beverage")&gt;0),"Combo","Single")</f>
        <v>Single</v>
      </c>
      <c r="K236" s="17" t="str">
        <f>IF(SUMPRODUCT((OrderLines[OrderID]=Orders[[#This Row],[OrderID]])*OrderLines[Qty]*OrderLines[UnitPrice])*Orders[[#This Row],[DiscountPct]]&gt;40,"HighDisc","OK")</f>
        <v>OK</v>
      </c>
      <c r="L236" s="11">
        <f>SUMIFS(OrderLines[Revenue],OrderLines[OrderID],Orders[[#This Row],[OrderID]])-SUMIFS(OrderLines[FoodCost],OrderLines[OrderID],Orders[[#This Row],[OrderID]])</f>
        <v>55.231999999999985</v>
      </c>
      <c r="M236" s="5">
        <f>Orders[[#This Row],[GrossProfit]]/Orders[[#This Row],[OrderTotal]]</f>
        <v>0.40566425759445318</v>
      </c>
      <c r="N236" s="17" t="b">
        <f>COUNTIFS(OrderLines[OrderID],Orders[[#This Row],[OrderID]],OrderLines[Category],"Hot Meal")&gt;0</f>
        <v>1</v>
      </c>
      <c r="O236" s="17" t="b">
        <f>COUNTIFS(OrderLines[OrderID],Orders[[#This Row],[OrderID]],OrderLines[Category],"Snack")&gt;0</f>
        <v>0</v>
      </c>
      <c r="P236" s="17" t="b">
        <f>COUNTIFS(OrderLines[OrderID],Orders[[#This Row],[OrderID]],OrderLines[Category],"Dessert")&gt;0</f>
        <v>0</v>
      </c>
      <c r="Q236" s="11">
        <f>Orders[[#This Row],[OrderTotal]]-Orders[[#This Row],[GrossProfit]]</f>
        <v>80.92</v>
      </c>
    </row>
    <row r="237" spans="1:17" x14ac:dyDescent="0.25">
      <c r="A237" t="s">
        <v>273</v>
      </c>
      <c r="B237" s="1">
        <v>45845.155555555553</v>
      </c>
      <c r="C237" t="s">
        <v>15</v>
      </c>
      <c r="D237" t="s">
        <v>16</v>
      </c>
      <c r="E237" t="s">
        <v>21</v>
      </c>
      <c r="F237" t="s">
        <v>12</v>
      </c>
      <c r="G237" s="5">
        <v>0.04</v>
      </c>
      <c r="H237" t="b">
        <f>COUNTIFS(OrderLines[OrderID],Orders[[#This Row],[OrderID]],OrderLines[Category],"Beverage")&gt;0</f>
        <v>0</v>
      </c>
      <c r="I237">
        <f>SUMIFS(OrderLines[Revenue],OrderLines[OrderID],Orders[[#This Row],[OrderID]])</f>
        <v>190.22399999999999</v>
      </c>
      <c r="J237" t="str">
        <f>IF(AND(COUNTIFS(OrderLines[OrderID],Orders[[#This Row],[OrderID]],OrderLines[Category],"Hot Meal")&gt;0,COUNTIFS(OrderLines[OrderID],Orders[[#This Row],[OrderID]],OrderLines[Category],"Beverage")&gt;0),"Combo","Single")</f>
        <v>Single</v>
      </c>
      <c r="K237" s="17" t="str">
        <f>IF(SUMPRODUCT((OrderLines[OrderID]=Orders[[#This Row],[OrderID]])*OrderLines[Qty]*OrderLines[UnitPrice])*Orders[[#This Row],[DiscountPct]]&gt;40,"HighDisc","OK")</f>
        <v>OK</v>
      </c>
      <c r="L237" s="11">
        <f>SUMIFS(OrderLines[Revenue],OrderLines[OrderID],Orders[[#This Row],[OrderID]])-SUMIFS(OrderLines[FoodCost],OrderLines[OrderID],Orders[[#This Row],[OrderID]])</f>
        <v>89.463999999999984</v>
      </c>
      <c r="M237" s="5">
        <f>Orders[[#This Row],[GrossProfit]]/Orders[[#This Row],[OrderTotal]]</f>
        <v>0.47030868870384385</v>
      </c>
      <c r="N237" s="17" t="b">
        <f>COUNTIFS(OrderLines[OrderID],Orders[[#This Row],[OrderID]],OrderLines[Category],"Hot Meal")&gt;0</f>
        <v>0</v>
      </c>
      <c r="O237" s="17" t="b">
        <f>COUNTIFS(OrderLines[OrderID],Orders[[#This Row],[OrderID]],OrderLines[Category],"Snack")&gt;0</f>
        <v>1</v>
      </c>
      <c r="P237" s="17" t="b">
        <f>COUNTIFS(OrderLines[OrderID],Orders[[#This Row],[OrderID]],OrderLines[Category],"Dessert")&gt;0</f>
        <v>1</v>
      </c>
      <c r="Q237" s="11">
        <f>Orders[[#This Row],[OrderTotal]]-Orders[[#This Row],[GrossProfit]]</f>
        <v>100.76</v>
      </c>
    </row>
    <row r="238" spans="1:17" x14ac:dyDescent="0.25">
      <c r="A238" t="s">
        <v>274</v>
      </c>
      <c r="B238" s="1">
        <v>45886.850381944438</v>
      </c>
      <c r="C238" t="s">
        <v>9</v>
      </c>
      <c r="D238" t="s">
        <v>16</v>
      </c>
      <c r="E238" t="s">
        <v>17</v>
      </c>
      <c r="F238" t="s">
        <v>18</v>
      </c>
      <c r="G238" s="5">
        <v>0.06</v>
      </c>
      <c r="H238" t="b">
        <f>COUNTIFS(OrderLines[OrderID],Orders[[#This Row],[OrderID]],OrderLines[Category],"Beverage")&gt;0</f>
        <v>0</v>
      </c>
      <c r="I238">
        <f>SUMIFS(OrderLines[Revenue],OrderLines[OrderID],Orders[[#This Row],[OrderID]])</f>
        <v>75.105999999999995</v>
      </c>
      <c r="J238" t="str">
        <f>IF(AND(COUNTIFS(OrderLines[OrderID],Orders[[#This Row],[OrderID]],OrderLines[Category],"Hot Meal")&gt;0,COUNTIFS(OrderLines[OrderID],Orders[[#This Row],[OrderID]],OrderLines[Category],"Beverage")&gt;0),"Combo","Single")</f>
        <v>Single</v>
      </c>
      <c r="K238" s="17" t="str">
        <f>IF(SUMPRODUCT((OrderLines[OrderID]=Orders[[#This Row],[OrderID]])*OrderLines[Qty]*OrderLines[UnitPrice])*Orders[[#This Row],[DiscountPct]]&gt;40,"HighDisc","OK")</f>
        <v>OK</v>
      </c>
      <c r="L238" s="11">
        <f>SUMIFS(OrderLines[Revenue],OrderLines[OrderID],Orders[[#This Row],[OrderID]])-SUMIFS(OrderLines[FoodCost],OrderLines[OrderID],Orders[[#This Row],[OrderID]])</f>
        <v>44.085999999999999</v>
      </c>
      <c r="M238" s="5">
        <f>Orders[[#This Row],[GrossProfit]]/Orders[[#This Row],[OrderTotal]]</f>
        <v>0.58698372966207757</v>
      </c>
      <c r="N238" s="17" t="b">
        <f>COUNTIFS(OrderLines[OrderID],Orders[[#This Row],[OrderID]],OrderLines[Category],"Hot Meal")&gt;0</f>
        <v>0</v>
      </c>
      <c r="O238" s="17" t="b">
        <f>COUNTIFS(OrderLines[OrderID],Orders[[#This Row],[OrderID]],OrderLines[Category],"Snack")&gt;0</f>
        <v>1</v>
      </c>
      <c r="P238" s="17" t="b">
        <f>COUNTIFS(OrderLines[OrderID],Orders[[#This Row],[OrderID]],OrderLines[Category],"Dessert")&gt;0</f>
        <v>0</v>
      </c>
      <c r="Q238" s="11">
        <f>Orders[[#This Row],[OrderTotal]]-Orders[[#This Row],[GrossProfit]]</f>
        <v>31.019999999999996</v>
      </c>
    </row>
    <row r="239" spans="1:17" x14ac:dyDescent="0.25">
      <c r="A239" t="s">
        <v>275</v>
      </c>
      <c r="B239" s="1">
        <v>45870.523946759262</v>
      </c>
      <c r="C239" t="s">
        <v>9</v>
      </c>
      <c r="D239" t="s">
        <v>28</v>
      </c>
      <c r="E239" t="s">
        <v>17</v>
      </c>
      <c r="F239" t="s">
        <v>22</v>
      </c>
      <c r="G239" s="5">
        <v>0.04</v>
      </c>
      <c r="H239" t="b">
        <f>COUNTIFS(OrderLines[OrderID],Orders[[#This Row],[OrderID]],OrderLines[Category],"Beverage")&gt;0</f>
        <v>1</v>
      </c>
      <c r="I239">
        <f>SUMIFS(OrderLines[Revenue],OrderLines[OrderID],Orders[[#This Row],[OrderID]])</f>
        <v>358.31040000000002</v>
      </c>
      <c r="J239" t="str">
        <f>IF(AND(COUNTIFS(OrderLines[OrderID],Orders[[#This Row],[OrderID]],OrderLines[Category],"Hot Meal")&gt;0,COUNTIFS(OrderLines[OrderID],Orders[[#This Row],[OrderID]],OrderLines[Category],"Beverage")&gt;0),"Combo","Single")</f>
        <v>Single</v>
      </c>
      <c r="K239" s="17" t="str">
        <f>IF(SUMPRODUCT((OrderLines[OrderID]=Orders[[#This Row],[OrderID]])*OrderLines[Qty]*OrderLines[UnitPrice])*Orders[[#This Row],[DiscountPct]]&gt;40,"HighDisc","OK")</f>
        <v>OK</v>
      </c>
      <c r="L239" s="11">
        <f>SUMIFS(OrderLines[Revenue],OrderLines[OrderID],Orders[[#This Row],[OrderID]])-SUMIFS(OrderLines[FoodCost],OrderLines[OrderID],Orders[[#This Row],[OrderID]])</f>
        <v>173.07040000000003</v>
      </c>
      <c r="M239" s="5">
        <f>Orders[[#This Row],[GrossProfit]]/Orders[[#This Row],[OrderTotal]]</f>
        <v>0.48301807594755841</v>
      </c>
      <c r="N239" s="17" t="b">
        <f>COUNTIFS(OrderLines[OrderID],Orders[[#This Row],[OrderID]],OrderLines[Category],"Hot Meal")&gt;0</f>
        <v>0</v>
      </c>
      <c r="O239" s="17" t="b">
        <f>COUNTIFS(OrderLines[OrderID],Orders[[#This Row],[OrderID]],OrderLines[Category],"Snack")&gt;0</f>
        <v>1</v>
      </c>
      <c r="P239" s="17" t="b">
        <f>COUNTIFS(OrderLines[OrderID],Orders[[#This Row],[OrderID]],OrderLines[Category],"Dessert")&gt;0</f>
        <v>1</v>
      </c>
      <c r="Q239" s="11">
        <f>Orders[[#This Row],[OrderTotal]]-Orders[[#This Row],[GrossProfit]]</f>
        <v>185.23999999999998</v>
      </c>
    </row>
    <row r="240" spans="1:17" x14ac:dyDescent="0.25">
      <c r="A240" t="s">
        <v>276</v>
      </c>
      <c r="B240" s="1">
        <v>45865.95140046296</v>
      </c>
      <c r="C240" t="s">
        <v>9</v>
      </c>
      <c r="D240" t="s">
        <v>10</v>
      </c>
      <c r="E240" t="s">
        <v>11</v>
      </c>
      <c r="F240" t="s">
        <v>18</v>
      </c>
      <c r="G240" s="5">
        <v>0.06</v>
      </c>
      <c r="H240" t="b">
        <f>COUNTIFS(OrderLines[OrderID],Orders[[#This Row],[OrderID]],OrderLines[Category],"Beverage")&gt;0</f>
        <v>1</v>
      </c>
      <c r="I240">
        <f>SUMIFS(OrderLines[Revenue],OrderLines[OrderID],Orders[[#This Row],[OrderID]])</f>
        <v>403.89919999999995</v>
      </c>
      <c r="J240" t="str">
        <f>IF(AND(COUNTIFS(OrderLines[OrderID],Orders[[#This Row],[OrderID]],OrderLines[Category],"Hot Meal")&gt;0,COUNTIFS(OrderLines[OrderID],Orders[[#This Row],[OrderID]],OrderLines[Category],"Beverage")&gt;0),"Combo","Single")</f>
        <v>Combo</v>
      </c>
      <c r="K240" s="17" t="str">
        <f>IF(SUMPRODUCT((OrderLines[OrderID]=Orders[[#This Row],[OrderID]])*OrderLines[Qty]*OrderLines[UnitPrice])*Orders[[#This Row],[DiscountPct]]&gt;40,"HighDisc","OK")</f>
        <v>OK</v>
      </c>
      <c r="L240" s="11">
        <f>SUMIFS(OrderLines[Revenue],OrderLines[OrderID],Orders[[#This Row],[OrderID]])-SUMIFS(OrderLines[FoodCost],OrderLines[OrderID],Orders[[#This Row],[OrderID]])</f>
        <v>179.82919999999996</v>
      </c>
      <c r="M240" s="5">
        <f>Orders[[#This Row],[GrossProfit]]/Orders[[#This Row],[OrderTotal]]</f>
        <v>0.44523286998340172</v>
      </c>
      <c r="N240" s="17" t="b">
        <f>COUNTIFS(OrderLines[OrderID],Orders[[#This Row],[OrderID]],OrderLines[Category],"Hot Meal")&gt;0</f>
        <v>1</v>
      </c>
      <c r="O240" s="17" t="b">
        <f>COUNTIFS(OrderLines[OrderID],Orders[[#This Row],[OrderID]],OrderLines[Category],"Snack")&gt;0</f>
        <v>0</v>
      </c>
      <c r="P240" s="17" t="b">
        <f>COUNTIFS(OrderLines[OrderID],Orders[[#This Row],[OrderID]],OrderLines[Category],"Dessert")&gt;0</f>
        <v>1</v>
      </c>
      <c r="Q240" s="11">
        <f>Orders[[#This Row],[OrderTotal]]-Orders[[#This Row],[GrossProfit]]</f>
        <v>224.07</v>
      </c>
    </row>
    <row r="241" spans="1:17" x14ac:dyDescent="0.25">
      <c r="A241" t="s">
        <v>277</v>
      </c>
      <c r="B241" s="1">
        <v>45870.822372685187</v>
      </c>
      <c r="C241" t="s">
        <v>15</v>
      </c>
      <c r="D241" t="s">
        <v>10</v>
      </c>
      <c r="E241" t="s">
        <v>11</v>
      </c>
      <c r="F241" t="s">
        <v>18</v>
      </c>
      <c r="G241" s="5">
        <v>0.09</v>
      </c>
      <c r="H241" t="b">
        <f>COUNTIFS(OrderLines[OrderID],Orders[[#This Row],[OrderID]],OrderLines[Category],"Beverage")&gt;0</f>
        <v>0</v>
      </c>
      <c r="I241">
        <f>SUMIFS(OrderLines[Revenue],OrderLines[OrderID],Orders[[#This Row],[OrderID]])</f>
        <v>1180.0425</v>
      </c>
      <c r="J241" t="str">
        <f>IF(AND(COUNTIFS(OrderLines[OrderID],Orders[[#This Row],[OrderID]],OrderLines[Category],"Hot Meal")&gt;0,COUNTIFS(OrderLines[OrderID],Orders[[#This Row],[OrderID]],OrderLines[Category],"Beverage")&gt;0),"Combo","Single")</f>
        <v>Single</v>
      </c>
      <c r="K241" s="17" t="str">
        <f>IF(SUMPRODUCT((OrderLines[OrderID]=Orders[[#This Row],[OrderID]])*OrderLines[Qty]*OrderLines[UnitPrice])*Orders[[#This Row],[DiscountPct]]&gt;40,"HighDisc","OK")</f>
        <v>HighDisc</v>
      </c>
      <c r="L241" s="11">
        <f>SUMIFS(OrderLines[Revenue],OrderLines[OrderID],Orders[[#This Row],[OrderID]])-SUMIFS(OrderLines[FoodCost],OrderLines[OrderID],Orders[[#This Row],[OrderID]])</f>
        <v>567.30250000000001</v>
      </c>
      <c r="M241" s="5">
        <f>Orders[[#This Row],[GrossProfit]]/Orders[[#This Row],[OrderTotal]]</f>
        <v>0.48074751544965544</v>
      </c>
      <c r="N241" s="17" t="b">
        <f>COUNTIFS(OrderLines[OrderID],Orders[[#This Row],[OrderID]],OrderLines[Category],"Hot Meal")&gt;0</f>
        <v>1</v>
      </c>
      <c r="O241" s="17" t="b">
        <f>COUNTIFS(OrderLines[OrderID],Orders[[#This Row],[OrderID]],OrderLines[Category],"Snack")&gt;0</f>
        <v>1</v>
      </c>
      <c r="P241" s="17" t="b">
        <f>COUNTIFS(OrderLines[OrderID],Orders[[#This Row],[OrderID]],OrderLines[Category],"Dessert")&gt;0</f>
        <v>1</v>
      </c>
      <c r="Q241" s="11">
        <f>Orders[[#This Row],[OrderTotal]]-Orders[[#This Row],[GrossProfit]]</f>
        <v>612.74</v>
      </c>
    </row>
    <row r="242" spans="1:17" x14ac:dyDescent="0.25">
      <c r="A242" t="s">
        <v>278</v>
      </c>
      <c r="B242" s="1">
        <v>45883.301388888889</v>
      </c>
      <c r="C242" t="s">
        <v>9</v>
      </c>
      <c r="D242" t="s">
        <v>10</v>
      </c>
      <c r="E242" t="s">
        <v>21</v>
      </c>
      <c r="F242" t="s">
        <v>12</v>
      </c>
      <c r="G242" s="5">
        <v>0.12</v>
      </c>
      <c r="H242" t="b">
        <f>COUNTIFS(OrderLines[OrderID],Orders[[#This Row],[OrderID]],OrderLines[Category],"Beverage")&gt;0</f>
        <v>1</v>
      </c>
      <c r="I242">
        <f>SUMIFS(OrderLines[Revenue],OrderLines[OrderID],Orders[[#This Row],[OrderID]])</f>
        <v>129.48319999999998</v>
      </c>
      <c r="J242" t="str">
        <f>IF(AND(COUNTIFS(OrderLines[OrderID],Orders[[#This Row],[OrderID]],OrderLines[Category],"Hot Meal")&gt;0,COUNTIFS(OrderLines[OrderID],Orders[[#This Row],[OrderID]],OrderLines[Category],"Beverage")&gt;0),"Combo","Single")</f>
        <v>Single</v>
      </c>
      <c r="K242" s="17" t="str">
        <f>IF(SUMPRODUCT((OrderLines[OrderID]=Orders[[#This Row],[OrderID]])*OrderLines[Qty]*OrderLines[UnitPrice])*Orders[[#This Row],[DiscountPct]]&gt;40,"HighDisc","OK")</f>
        <v>OK</v>
      </c>
      <c r="L242" s="11">
        <f>SUMIFS(OrderLines[Revenue],OrderLines[OrderID],Orders[[#This Row],[OrderID]])-SUMIFS(OrderLines[FoodCost],OrderLines[OrderID],Orders[[#This Row],[OrderID]])</f>
        <v>66.333199999999977</v>
      </c>
      <c r="M242" s="5">
        <f>Orders[[#This Row],[GrossProfit]]/Orders[[#This Row],[OrderTotal]]</f>
        <v>0.51229194212067652</v>
      </c>
      <c r="N242" s="17" t="b">
        <f>COUNTIFS(OrderLines[OrderID],Orders[[#This Row],[OrderID]],OrderLines[Category],"Hot Meal")&gt;0</f>
        <v>0</v>
      </c>
      <c r="O242" s="17" t="b">
        <f>COUNTIFS(OrderLines[OrderID],Orders[[#This Row],[OrderID]],OrderLines[Category],"Snack")&gt;0</f>
        <v>0</v>
      </c>
      <c r="P242" s="17" t="b">
        <f>COUNTIFS(OrderLines[OrderID],Orders[[#This Row],[OrderID]],OrderLines[Category],"Dessert")&gt;0</f>
        <v>1</v>
      </c>
      <c r="Q242" s="11">
        <f>Orders[[#This Row],[OrderTotal]]-Orders[[#This Row],[GrossProfit]]</f>
        <v>63.150000000000006</v>
      </c>
    </row>
    <row r="243" spans="1:17" x14ac:dyDescent="0.25">
      <c r="A243" t="s">
        <v>279</v>
      </c>
      <c r="B243" s="1">
        <v>45850.358495370368</v>
      </c>
      <c r="C243" t="s">
        <v>9</v>
      </c>
      <c r="D243" t="s">
        <v>10</v>
      </c>
      <c r="E243" t="s">
        <v>11</v>
      </c>
      <c r="F243" t="s">
        <v>12</v>
      </c>
      <c r="G243" s="5">
        <v>0.01</v>
      </c>
      <c r="H243" t="b">
        <f>COUNTIFS(OrderLines[OrderID],Orders[[#This Row],[OrderID]],OrderLines[Category],"Beverage")&gt;0</f>
        <v>0</v>
      </c>
      <c r="I243">
        <f>SUMIFS(OrderLines[Revenue],OrderLines[OrderID],Orders[[#This Row],[OrderID]])</f>
        <v>1112.7204000000002</v>
      </c>
      <c r="J243" t="str">
        <f>IF(AND(COUNTIFS(OrderLines[OrderID],Orders[[#This Row],[OrderID]],OrderLines[Category],"Hot Meal")&gt;0,COUNTIFS(OrderLines[OrderID],Orders[[#This Row],[OrderID]],OrderLines[Category],"Beverage")&gt;0),"Combo","Single")</f>
        <v>Single</v>
      </c>
      <c r="K243" s="17" t="str">
        <f>IF(SUMPRODUCT((OrderLines[OrderID]=Orders[[#This Row],[OrderID]])*OrderLines[Qty]*OrderLines[UnitPrice])*Orders[[#This Row],[DiscountPct]]&gt;40,"HighDisc","OK")</f>
        <v>OK</v>
      </c>
      <c r="L243" s="11">
        <f>SUMIFS(OrderLines[Revenue],OrderLines[OrderID],Orders[[#This Row],[OrderID]])-SUMIFS(OrderLines[FoodCost],OrderLines[OrderID],Orders[[#This Row],[OrderID]])</f>
        <v>595.51040000000023</v>
      </c>
      <c r="M243" s="5">
        <f>Orders[[#This Row],[GrossProfit]]/Orders[[#This Row],[OrderTotal]]</f>
        <v>0.53518422058227755</v>
      </c>
      <c r="N243" s="17" t="b">
        <f>COUNTIFS(OrderLines[OrderID],Orders[[#This Row],[OrderID]],OrderLines[Category],"Hot Meal")&gt;0</f>
        <v>1</v>
      </c>
      <c r="O243" s="17" t="b">
        <f>COUNTIFS(OrderLines[OrderID],Orders[[#This Row],[OrderID]],OrderLines[Category],"Snack")&gt;0</f>
        <v>1</v>
      </c>
      <c r="P243" s="17" t="b">
        <f>COUNTIFS(OrderLines[OrderID],Orders[[#This Row],[OrderID]],OrderLines[Category],"Dessert")&gt;0</f>
        <v>0</v>
      </c>
      <c r="Q243" s="11">
        <f>Orders[[#This Row],[OrderTotal]]-Orders[[#This Row],[GrossProfit]]</f>
        <v>517.20999999999992</v>
      </c>
    </row>
    <row r="244" spans="1:17" x14ac:dyDescent="0.25">
      <c r="A244" t="s">
        <v>280</v>
      </c>
      <c r="B244" s="1">
        <v>45881.005648148152</v>
      </c>
      <c r="C244" t="s">
        <v>15</v>
      </c>
      <c r="D244" t="s">
        <v>28</v>
      </c>
      <c r="E244" t="s">
        <v>21</v>
      </c>
      <c r="F244" t="s">
        <v>12</v>
      </c>
      <c r="G244" s="5">
        <v>0.15</v>
      </c>
      <c r="H244" t="b">
        <f>COUNTIFS(OrderLines[OrderID],Orders[[#This Row],[OrderID]],OrderLines[Category],"Beverage")&gt;0</f>
        <v>0</v>
      </c>
      <c r="I244">
        <f>SUMIFS(OrderLines[Revenue],OrderLines[OrderID],Orders[[#This Row],[OrderID]])</f>
        <v>196.29899999999998</v>
      </c>
      <c r="J244" t="str">
        <f>IF(AND(COUNTIFS(OrderLines[OrderID],Orders[[#This Row],[OrderID]],OrderLines[Category],"Hot Meal")&gt;0,COUNTIFS(OrderLines[OrderID],Orders[[#This Row],[OrderID]],OrderLines[Category],"Beverage")&gt;0),"Combo","Single")</f>
        <v>Single</v>
      </c>
      <c r="K244" s="17" t="str">
        <f>IF(SUMPRODUCT((OrderLines[OrderID]=Orders[[#This Row],[OrderID]])*OrderLines[Qty]*OrderLines[UnitPrice])*Orders[[#This Row],[DiscountPct]]&gt;40,"HighDisc","OK")</f>
        <v>OK</v>
      </c>
      <c r="L244" s="11">
        <f>SUMIFS(OrderLines[Revenue],OrderLines[OrderID],Orders[[#This Row],[OrderID]])-SUMIFS(OrderLines[FoodCost],OrderLines[OrderID],Orders[[#This Row],[OrderID]])</f>
        <v>89.048999999999978</v>
      </c>
      <c r="M244" s="5">
        <f>Orders[[#This Row],[GrossProfit]]/Orders[[#This Row],[OrderTotal]]</f>
        <v>0.45363960081304533</v>
      </c>
      <c r="N244" s="17" t="b">
        <f>COUNTIFS(OrderLines[OrderID],Orders[[#This Row],[OrderID]],OrderLines[Category],"Hot Meal")&gt;0</f>
        <v>0</v>
      </c>
      <c r="O244" s="17" t="b">
        <f>COUNTIFS(OrderLines[OrderID],Orders[[#This Row],[OrderID]],OrderLines[Category],"Snack")&gt;0</f>
        <v>0</v>
      </c>
      <c r="P244" s="17" t="b">
        <f>COUNTIFS(OrderLines[OrderID],Orders[[#This Row],[OrderID]],OrderLines[Category],"Dessert")&gt;0</f>
        <v>1</v>
      </c>
      <c r="Q244" s="11">
        <f>Orders[[#This Row],[OrderTotal]]-Orders[[#This Row],[GrossProfit]]</f>
        <v>107.25</v>
      </c>
    </row>
    <row r="245" spans="1:17" x14ac:dyDescent="0.25">
      <c r="A245" t="s">
        <v>281</v>
      </c>
      <c r="B245" s="1">
        <v>45883.280370370368</v>
      </c>
      <c r="C245" t="s">
        <v>15</v>
      </c>
      <c r="D245" t="s">
        <v>16</v>
      </c>
      <c r="E245" t="s">
        <v>11</v>
      </c>
      <c r="F245" t="s">
        <v>12</v>
      </c>
      <c r="G245" s="5">
        <v>0</v>
      </c>
      <c r="H245" t="b">
        <f>COUNTIFS(OrderLines[OrderID],Orders[[#This Row],[OrderID]],OrderLines[Category],"Beverage")&gt;0</f>
        <v>1</v>
      </c>
      <c r="I245">
        <f>SUMIFS(OrderLines[Revenue],OrderLines[OrderID],Orders[[#This Row],[OrderID]])</f>
        <v>420.02000000000004</v>
      </c>
      <c r="J245" t="str">
        <f>IF(AND(COUNTIFS(OrderLines[OrderID],Orders[[#This Row],[OrderID]],OrderLines[Category],"Hot Meal")&gt;0,COUNTIFS(OrderLines[OrderID],Orders[[#This Row],[OrderID]],OrderLines[Category],"Beverage")&gt;0),"Combo","Single")</f>
        <v>Combo</v>
      </c>
      <c r="K245" s="17" t="str">
        <f>IF(SUMPRODUCT((OrderLines[OrderID]=Orders[[#This Row],[OrderID]])*OrderLines[Qty]*OrderLines[UnitPrice])*Orders[[#This Row],[DiscountPct]]&gt;40,"HighDisc","OK")</f>
        <v>OK</v>
      </c>
      <c r="L245" s="11">
        <f>SUMIFS(OrderLines[Revenue],OrderLines[OrderID],Orders[[#This Row],[OrderID]])-SUMIFS(OrderLines[FoodCost],OrderLines[OrderID],Orders[[#This Row],[OrderID]])</f>
        <v>243.47000000000003</v>
      </c>
      <c r="M245" s="5">
        <f>Orders[[#This Row],[GrossProfit]]/Orders[[#This Row],[OrderTotal]]</f>
        <v>0.57966287319651444</v>
      </c>
      <c r="N245" s="17" t="b">
        <f>COUNTIFS(OrderLines[OrderID],Orders[[#This Row],[OrderID]],OrderLines[Category],"Hot Meal")&gt;0</f>
        <v>1</v>
      </c>
      <c r="O245" s="17" t="b">
        <f>COUNTIFS(OrderLines[OrderID],Orders[[#This Row],[OrderID]],OrderLines[Category],"Snack")&gt;0</f>
        <v>1</v>
      </c>
      <c r="P245" s="17" t="b">
        <f>COUNTIFS(OrderLines[OrderID],Orders[[#This Row],[OrderID]],OrderLines[Category],"Dessert")&gt;0</f>
        <v>0</v>
      </c>
      <c r="Q245" s="11">
        <f>Orders[[#This Row],[OrderTotal]]-Orders[[#This Row],[GrossProfit]]</f>
        <v>176.55</v>
      </c>
    </row>
    <row r="246" spans="1:17" x14ac:dyDescent="0.25">
      <c r="A246" t="s">
        <v>282</v>
      </c>
      <c r="B246" s="1">
        <v>45869.59542824074</v>
      </c>
      <c r="C246" t="s">
        <v>15</v>
      </c>
      <c r="D246" t="s">
        <v>16</v>
      </c>
      <c r="E246" t="s">
        <v>11</v>
      </c>
      <c r="F246" t="s">
        <v>22</v>
      </c>
      <c r="G246" s="5">
        <v>0.05</v>
      </c>
      <c r="H246" t="b">
        <f>COUNTIFS(OrderLines[OrderID],Orders[[#This Row],[OrderID]],OrderLines[Category],"Beverage")&gt;0</f>
        <v>0</v>
      </c>
      <c r="I246">
        <f>SUMIFS(OrderLines[Revenue],OrderLines[OrderID],Orders[[#This Row],[OrderID]])</f>
        <v>591.89749999999992</v>
      </c>
      <c r="J246" t="str">
        <f>IF(AND(COUNTIFS(OrderLines[OrderID],Orders[[#This Row],[OrderID]],OrderLines[Category],"Hot Meal")&gt;0,COUNTIFS(OrderLines[OrderID],Orders[[#This Row],[OrderID]],OrderLines[Category],"Beverage")&gt;0),"Combo","Single")</f>
        <v>Single</v>
      </c>
      <c r="K246" s="17" t="str">
        <f>IF(SUMPRODUCT((OrderLines[OrderID]=Orders[[#This Row],[OrderID]])*OrderLines[Qty]*OrderLines[UnitPrice])*Orders[[#This Row],[DiscountPct]]&gt;40,"HighDisc","OK")</f>
        <v>OK</v>
      </c>
      <c r="L246" s="11">
        <f>SUMIFS(OrderLines[Revenue],OrderLines[OrderID],Orders[[#This Row],[OrderID]])-SUMIFS(OrderLines[FoodCost],OrderLines[OrderID],Orders[[#This Row],[OrderID]])</f>
        <v>285.4274999999999</v>
      </c>
      <c r="M246" s="5">
        <f>Orders[[#This Row],[GrossProfit]]/Orders[[#This Row],[OrderTotal]]</f>
        <v>0.48222454056656755</v>
      </c>
      <c r="N246" s="17" t="b">
        <f>COUNTIFS(OrderLines[OrderID],Orders[[#This Row],[OrderID]],OrderLines[Category],"Hot Meal")&gt;0</f>
        <v>1</v>
      </c>
      <c r="O246" s="17" t="b">
        <f>COUNTIFS(OrderLines[OrderID],Orders[[#This Row],[OrderID]],OrderLines[Category],"Snack")&gt;0</f>
        <v>1</v>
      </c>
      <c r="P246" s="17" t="b">
        <f>COUNTIFS(OrderLines[OrderID],Orders[[#This Row],[OrderID]],OrderLines[Category],"Dessert")&gt;0</f>
        <v>0</v>
      </c>
      <c r="Q246" s="11">
        <f>Orders[[#This Row],[OrderTotal]]-Orders[[#This Row],[GrossProfit]]</f>
        <v>306.47000000000003</v>
      </c>
    </row>
    <row r="247" spans="1:17" x14ac:dyDescent="0.25">
      <c r="A247" t="s">
        <v>283</v>
      </c>
      <c r="B247" s="1">
        <v>45875.59101851852</v>
      </c>
      <c r="C247" t="s">
        <v>27</v>
      </c>
      <c r="D247" t="s">
        <v>10</v>
      </c>
      <c r="E247" t="s">
        <v>21</v>
      </c>
      <c r="F247" t="s">
        <v>22</v>
      </c>
      <c r="G247" s="5">
        <v>0.08</v>
      </c>
      <c r="H247" t="b">
        <f>COUNTIFS(OrderLines[OrderID],Orders[[#This Row],[OrderID]],OrderLines[Category],"Beverage")&gt;0</f>
        <v>0</v>
      </c>
      <c r="I247">
        <f>SUMIFS(OrderLines[Revenue],OrderLines[OrderID],Orders[[#This Row],[OrderID]])</f>
        <v>194.69040000000001</v>
      </c>
      <c r="J247" t="str">
        <f>IF(AND(COUNTIFS(OrderLines[OrderID],Orders[[#This Row],[OrderID]],OrderLines[Category],"Hot Meal")&gt;0,COUNTIFS(OrderLines[OrderID],Orders[[#This Row],[OrderID]],OrderLines[Category],"Beverage")&gt;0),"Combo","Single")</f>
        <v>Single</v>
      </c>
      <c r="K247" s="17" t="str">
        <f>IF(SUMPRODUCT((OrderLines[OrderID]=Orders[[#This Row],[OrderID]])*OrderLines[Qty]*OrderLines[UnitPrice])*Orders[[#This Row],[DiscountPct]]&gt;40,"HighDisc","OK")</f>
        <v>OK</v>
      </c>
      <c r="L247" s="11">
        <f>SUMIFS(OrderLines[Revenue],OrderLines[OrderID],Orders[[#This Row],[OrderID]])-SUMIFS(OrderLines[FoodCost],OrderLines[OrderID],Orders[[#This Row],[OrderID]])</f>
        <v>87.260400000000004</v>
      </c>
      <c r="M247" s="5">
        <f>Orders[[#This Row],[GrossProfit]]/Orders[[#This Row],[OrderTotal]]</f>
        <v>0.44820083578851344</v>
      </c>
      <c r="N247" s="17" t="b">
        <f>COUNTIFS(OrderLines[OrderID],Orders[[#This Row],[OrderID]],OrderLines[Category],"Hot Meal")&gt;0</f>
        <v>0</v>
      </c>
      <c r="O247" s="17" t="b">
        <f>COUNTIFS(OrderLines[OrderID],Orders[[#This Row],[OrderID]],OrderLines[Category],"Snack")&gt;0</f>
        <v>1</v>
      </c>
      <c r="P247" s="17" t="b">
        <f>COUNTIFS(OrderLines[OrderID],Orders[[#This Row],[OrderID]],OrderLines[Category],"Dessert")&gt;0</f>
        <v>0</v>
      </c>
      <c r="Q247" s="11">
        <f>Orders[[#This Row],[OrderTotal]]-Orders[[#This Row],[GrossProfit]]</f>
        <v>107.43</v>
      </c>
    </row>
    <row r="248" spans="1:17" x14ac:dyDescent="0.25">
      <c r="A248" t="s">
        <v>284</v>
      </c>
      <c r="B248" s="1">
        <v>45848.107037037043</v>
      </c>
      <c r="C248" t="s">
        <v>27</v>
      </c>
      <c r="D248" t="s">
        <v>28</v>
      </c>
      <c r="E248" t="s">
        <v>21</v>
      </c>
      <c r="F248" t="s">
        <v>12</v>
      </c>
      <c r="G248" s="5">
        <v>7.0000000000000007E-2</v>
      </c>
      <c r="H248" t="b">
        <f>COUNTIFS(OrderLines[OrderID],Orders[[#This Row],[OrderID]],OrderLines[Category],"Beverage")&gt;0</f>
        <v>0</v>
      </c>
      <c r="I248">
        <f>SUMIFS(OrderLines[Revenue],OrderLines[OrderID],Orders[[#This Row],[OrderID]])</f>
        <v>775.47119999999995</v>
      </c>
      <c r="J248" t="str">
        <f>IF(AND(COUNTIFS(OrderLines[OrderID],Orders[[#This Row],[OrderID]],OrderLines[Category],"Hot Meal")&gt;0,COUNTIFS(OrderLines[OrderID],Orders[[#This Row],[OrderID]],OrderLines[Category],"Beverage")&gt;0),"Combo","Single")</f>
        <v>Single</v>
      </c>
      <c r="K248" s="17" t="str">
        <f>IF(SUMPRODUCT((OrderLines[OrderID]=Orders[[#This Row],[OrderID]])*OrderLines[Qty]*OrderLines[UnitPrice])*Orders[[#This Row],[DiscountPct]]&gt;40,"HighDisc","OK")</f>
        <v>HighDisc</v>
      </c>
      <c r="L248" s="11">
        <f>SUMIFS(OrderLines[Revenue],OrderLines[OrderID],Orders[[#This Row],[OrderID]])-SUMIFS(OrderLines[FoodCost],OrderLines[OrderID],Orders[[#This Row],[OrderID]])</f>
        <v>403.1712</v>
      </c>
      <c r="M248" s="5">
        <f>Orders[[#This Row],[GrossProfit]]/Orders[[#This Row],[OrderTotal]]</f>
        <v>0.51990480110673354</v>
      </c>
      <c r="N248" s="17" t="b">
        <f>COUNTIFS(OrderLines[OrderID],Orders[[#This Row],[OrderID]],OrderLines[Category],"Hot Meal")&gt;0</f>
        <v>1</v>
      </c>
      <c r="O248" s="17" t="b">
        <f>COUNTIFS(OrderLines[OrderID],Orders[[#This Row],[OrderID]],OrderLines[Category],"Snack")&gt;0</f>
        <v>0</v>
      </c>
      <c r="P248" s="17" t="b">
        <f>COUNTIFS(OrderLines[OrderID],Orders[[#This Row],[OrderID]],OrderLines[Category],"Dessert")&gt;0</f>
        <v>0</v>
      </c>
      <c r="Q248" s="11">
        <f>Orders[[#This Row],[OrderTotal]]-Orders[[#This Row],[GrossProfit]]</f>
        <v>372.29999999999995</v>
      </c>
    </row>
    <row r="249" spans="1:17" x14ac:dyDescent="0.25">
      <c r="A249" t="s">
        <v>285</v>
      </c>
      <c r="B249" s="1">
        <v>45875.43041666667</v>
      </c>
      <c r="C249" t="s">
        <v>27</v>
      </c>
      <c r="D249" t="s">
        <v>10</v>
      </c>
      <c r="E249" t="s">
        <v>17</v>
      </c>
      <c r="F249" t="s">
        <v>12</v>
      </c>
      <c r="G249" s="5">
        <v>0.04</v>
      </c>
      <c r="H249" t="b">
        <f>COUNTIFS(OrderLines[OrderID],Orders[[#This Row],[OrderID]],OrderLines[Category],"Beverage")&gt;0</f>
        <v>0</v>
      </c>
      <c r="I249">
        <f>SUMIFS(OrderLines[Revenue],OrderLines[OrderID],Orders[[#This Row],[OrderID]])</f>
        <v>274.59839999999997</v>
      </c>
      <c r="J249" t="str">
        <f>IF(AND(COUNTIFS(OrderLines[OrderID],Orders[[#This Row],[OrderID]],OrderLines[Category],"Hot Meal")&gt;0,COUNTIFS(OrderLines[OrderID],Orders[[#This Row],[OrderID]],OrderLines[Category],"Beverage")&gt;0),"Combo","Single")</f>
        <v>Single</v>
      </c>
      <c r="K249" s="17" t="str">
        <f>IF(SUMPRODUCT((OrderLines[OrderID]=Orders[[#This Row],[OrderID]])*OrderLines[Qty]*OrderLines[UnitPrice])*Orders[[#This Row],[DiscountPct]]&gt;40,"HighDisc","OK")</f>
        <v>OK</v>
      </c>
      <c r="L249" s="11">
        <f>SUMIFS(OrderLines[Revenue],OrderLines[OrderID],Orders[[#This Row],[OrderID]])-SUMIFS(OrderLines[FoodCost],OrderLines[OrderID],Orders[[#This Row],[OrderID]])</f>
        <v>147.00839999999997</v>
      </c>
      <c r="M249" s="5">
        <f>Orders[[#This Row],[GrossProfit]]/Orders[[#This Row],[OrderTotal]]</f>
        <v>0.53535781708851904</v>
      </c>
      <c r="N249" s="17" t="b">
        <f>COUNTIFS(OrderLines[OrderID],Orders[[#This Row],[OrderID]],OrderLines[Category],"Hot Meal")&gt;0</f>
        <v>1</v>
      </c>
      <c r="O249" s="17" t="b">
        <f>COUNTIFS(OrderLines[OrderID],Orders[[#This Row],[OrderID]],OrderLines[Category],"Snack")&gt;0</f>
        <v>1</v>
      </c>
      <c r="P249" s="17" t="b">
        <f>COUNTIFS(OrderLines[OrderID],Orders[[#This Row],[OrderID]],OrderLines[Category],"Dessert")&gt;0</f>
        <v>0</v>
      </c>
      <c r="Q249" s="11">
        <f>Orders[[#This Row],[OrderTotal]]-Orders[[#This Row],[GrossProfit]]</f>
        <v>127.59</v>
      </c>
    </row>
    <row r="250" spans="1:17" x14ac:dyDescent="0.25">
      <c r="A250" t="s">
        <v>286</v>
      </c>
      <c r="B250" s="1">
        <v>45893.784039351849</v>
      </c>
      <c r="C250" t="s">
        <v>15</v>
      </c>
      <c r="D250" t="s">
        <v>10</v>
      </c>
      <c r="E250" t="s">
        <v>17</v>
      </c>
      <c r="F250" t="s">
        <v>18</v>
      </c>
      <c r="G250" s="5">
        <v>0.05</v>
      </c>
      <c r="H250" t="b">
        <f>COUNTIFS(OrderLines[OrderID],Orders[[#This Row],[OrderID]],OrderLines[Category],"Beverage")&gt;0</f>
        <v>0</v>
      </c>
      <c r="I250">
        <f>SUMIFS(OrderLines[Revenue],OrderLines[OrderID],Orders[[#This Row],[OrderID]])</f>
        <v>612.57899999999995</v>
      </c>
      <c r="J250" t="str">
        <f>IF(AND(COUNTIFS(OrderLines[OrderID],Orders[[#This Row],[OrderID]],OrderLines[Category],"Hot Meal")&gt;0,COUNTIFS(OrderLines[OrderID],Orders[[#This Row],[OrderID]],OrderLines[Category],"Beverage")&gt;0),"Combo","Single")</f>
        <v>Single</v>
      </c>
      <c r="K250" s="17" t="str">
        <f>IF(SUMPRODUCT((OrderLines[OrderID]=Orders[[#This Row],[OrderID]])*OrderLines[Qty]*OrderLines[UnitPrice])*Orders[[#This Row],[DiscountPct]]&gt;40,"HighDisc","OK")</f>
        <v>OK</v>
      </c>
      <c r="L250" s="11">
        <f>SUMIFS(OrderLines[Revenue],OrderLines[OrderID],Orders[[#This Row],[OrderID]])-SUMIFS(OrderLines[FoodCost],OrderLines[OrderID],Orders[[#This Row],[OrderID]])</f>
        <v>323.21899999999999</v>
      </c>
      <c r="M250" s="5">
        <f>Orders[[#This Row],[GrossProfit]]/Orders[[#This Row],[OrderTotal]]</f>
        <v>0.5276364354638341</v>
      </c>
      <c r="N250" s="17" t="b">
        <f>COUNTIFS(OrderLines[OrderID],Orders[[#This Row],[OrderID]],OrderLines[Category],"Hot Meal")&gt;0</f>
        <v>1</v>
      </c>
      <c r="O250" s="17" t="b">
        <f>COUNTIFS(OrderLines[OrderID],Orders[[#This Row],[OrderID]],OrderLines[Category],"Snack")&gt;0</f>
        <v>0</v>
      </c>
      <c r="P250" s="17" t="b">
        <f>COUNTIFS(OrderLines[OrderID],Orders[[#This Row],[OrderID]],OrderLines[Category],"Dessert")&gt;0</f>
        <v>1</v>
      </c>
      <c r="Q250" s="11">
        <f>Orders[[#This Row],[OrderTotal]]-Orders[[#This Row],[GrossProfit]]</f>
        <v>289.35999999999996</v>
      </c>
    </row>
    <row r="251" spans="1:17" x14ac:dyDescent="0.25">
      <c r="A251" t="s">
        <v>287</v>
      </c>
      <c r="B251" s="1">
        <v>45873.580960648149</v>
      </c>
      <c r="C251" t="s">
        <v>9</v>
      </c>
      <c r="D251" t="s">
        <v>16</v>
      </c>
      <c r="E251" t="s">
        <v>11</v>
      </c>
      <c r="F251" t="s">
        <v>22</v>
      </c>
      <c r="G251" s="5">
        <v>0.04</v>
      </c>
      <c r="H251" t="b">
        <f>COUNTIFS(OrderLines[OrderID],Orders[[#This Row],[OrderID]],OrderLines[Category],"Beverage")&gt;0</f>
        <v>1</v>
      </c>
      <c r="I251">
        <f>SUMIFS(OrderLines[Revenue],OrderLines[OrderID],Orders[[#This Row],[OrderID]])</f>
        <v>1076.9951999999998</v>
      </c>
      <c r="J251" t="str">
        <f>IF(AND(COUNTIFS(OrderLines[OrderID],Orders[[#This Row],[OrderID]],OrderLines[Category],"Hot Meal")&gt;0,COUNTIFS(OrderLines[OrderID],Orders[[#This Row],[OrderID]],OrderLines[Category],"Beverage")&gt;0),"Combo","Single")</f>
        <v>Combo</v>
      </c>
      <c r="K251" s="17" t="str">
        <f>IF(SUMPRODUCT((OrderLines[OrderID]=Orders[[#This Row],[OrderID]])*OrderLines[Qty]*OrderLines[UnitPrice])*Orders[[#This Row],[DiscountPct]]&gt;40,"HighDisc","OK")</f>
        <v>HighDisc</v>
      </c>
      <c r="L251" s="11">
        <f>SUMIFS(OrderLines[Revenue],OrderLines[OrderID],Orders[[#This Row],[OrderID]])-SUMIFS(OrderLines[FoodCost],OrderLines[OrderID],Orders[[#This Row],[OrderID]])</f>
        <v>578.11519999999985</v>
      </c>
      <c r="M251" s="5">
        <f>Orders[[#This Row],[GrossProfit]]/Orders[[#This Row],[OrderTotal]]</f>
        <v>0.53678530786395329</v>
      </c>
      <c r="N251" s="17" t="b">
        <f>COUNTIFS(OrderLines[OrderID],Orders[[#This Row],[OrderID]],OrderLines[Category],"Hot Meal")&gt;0</f>
        <v>1</v>
      </c>
      <c r="O251" s="17" t="b">
        <f>COUNTIFS(OrderLines[OrderID],Orders[[#This Row],[OrderID]],OrderLines[Category],"Snack")&gt;0</f>
        <v>0</v>
      </c>
      <c r="P251" s="17" t="b">
        <f>COUNTIFS(OrderLines[OrderID],Orders[[#This Row],[OrderID]],OrderLines[Category],"Dessert")&gt;0</f>
        <v>1</v>
      </c>
      <c r="Q251" s="11">
        <f>Orders[[#This Row],[OrderTotal]]-Orders[[#This Row],[GrossProfit]]</f>
        <v>498.88</v>
      </c>
    </row>
    <row r="252" spans="1:17" x14ac:dyDescent="0.25">
      <c r="A252" t="s">
        <v>288</v>
      </c>
      <c r="B252" s="1">
        <v>45867.176041666673</v>
      </c>
      <c r="C252" t="s">
        <v>9</v>
      </c>
      <c r="D252" t="s">
        <v>16</v>
      </c>
      <c r="E252" t="s">
        <v>21</v>
      </c>
      <c r="F252" t="s">
        <v>12</v>
      </c>
      <c r="G252" s="5">
        <v>0.04</v>
      </c>
      <c r="H252" t="b">
        <f>COUNTIFS(OrderLines[OrderID],Orders[[#This Row],[OrderID]],OrderLines[Category],"Beverage")&gt;0</f>
        <v>0</v>
      </c>
      <c r="I252">
        <f>SUMIFS(OrderLines[Revenue],OrderLines[OrderID],Orders[[#This Row],[OrderID]])</f>
        <v>1478.0544</v>
      </c>
      <c r="J252" t="str">
        <f>IF(AND(COUNTIFS(OrderLines[OrderID],Orders[[#This Row],[OrderID]],OrderLines[Category],"Hot Meal")&gt;0,COUNTIFS(OrderLines[OrderID],Orders[[#This Row],[OrderID]],OrderLines[Category],"Beverage")&gt;0),"Combo","Single")</f>
        <v>Single</v>
      </c>
      <c r="K252" s="17" t="str">
        <f>IF(SUMPRODUCT((OrderLines[OrderID]=Orders[[#This Row],[OrderID]])*OrderLines[Qty]*OrderLines[UnitPrice])*Orders[[#This Row],[DiscountPct]]&gt;40,"HighDisc","OK")</f>
        <v>HighDisc</v>
      </c>
      <c r="L252" s="11">
        <f>SUMIFS(OrderLines[Revenue],OrderLines[OrderID],Orders[[#This Row],[OrderID]])-SUMIFS(OrderLines[FoodCost],OrderLines[OrderID],Orders[[#This Row],[OrderID]])</f>
        <v>762.46439999999996</v>
      </c>
      <c r="M252" s="5">
        <f>Orders[[#This Row],[GrossProfit]]/Orders[[#This Row],[OrderTotal]]</f>
        <v>0.51585679119794237</v>
      </c>
      <c r="N252" s="17" t="b">
        <f>COUNTIFS(OrderLines[OrderID],Orders[[#This Row],[OrderID]],OrderLines[Category],"Hot Meal")&gt;0</f>
        <v>1</v>
      </c>
      <c r="O252" s="17" t="b">
        <f>COUNTIFS(OrderLines[OrderID],Orders[[#This Row],[OrderID]],OrderLines[Category],"Snack")&gt;0</f>
        <v>1</v>
      </c>
      <c r="P252" s="17" t="b">
        <f>COUNTIFS(OrderLines[OrderID],Orders[[#This Row],[OrderID]],OrderLines[Category],"Dessert")&gt;0</f>
        <v>0</v>
      </c>
      <c r="Q252" s="11">
        <f>Orders[[#This Row],[OrderTotal]]-Orders[[#This Row],[GrossProfit]]</f>
        <v>715.59</v>
      </c>
    </row>
    <row r="253" spans="1:17" x14ac:dyDescent="0.25">
      <c r="A253" t="s">
        <v>289</v>
      </c>
      <c r="B253" s="1">
        <v>45895.360312500001</v>
      </c>
      <c r="C253" t="s">
        <v>9</v>
      </c>
      <c r="D253" t="s">
        <v>28</v>
      </c>
      <c r="E253" t="s">
        <v>17</v>
      </c>
      <c r="F253" t="s">
        <v>12</v>
      </c>
      <c r="G253" s="5">
        <v>0.09</v>
      </c>
      <c r="H253" t="b">
        <f>COUNTIFS(OrderLines[OrderID],Orders[[#This Row],[OrderID]],OrderLines[Category],"Beverage")&gt;0</f>
        <v>0</v>
      </c>
      <c r="I253">
        <f>SUMIFS(OrderLines[Revenue],OrderLines[OrderID],Orders[[#This Row],[OrderID]])</f>
        <v>924.43260000000009</v>
      </c>
      <c r="J253" t="str">
        <f>IF(AND(COUNTIFS(OrderLines[OrderID],Orders[[#This Row],[OrderID]],OrderLines[Category],"Hot Meal")&gt;0,COUNTIFS(OrderLines[OrderID],Orders[[#This Row],[OrderID]],OrderLines[Category],"Beverage")&gt;0),"Combo","Single")</f>
        <v>Single</v>
      </c>
      <c r="K253" s="17" t="str">
        <f>IF(SUMPRODUCT((OrderLines[OrderID]=Orders[[#This Row],[OrderID]])*OrderLines[Qty]*OrderLines[UnitPrice])*Orders[[#This Row],[DiscountPct]]&gt;40,"HighDisc","OK")</f>
        <v>HighDisc</v>
      </c>
      <c r="L253" s="11">
        <f>SUMIFS(OrderLines[Revenue],OrderLines[OrderID],Orders[[#This Row],[OrderID]])-SUMIFS(OrderLines[FoodCost],OrderLines[OrderID],Orders[[#This Row],[OrderID]])</f>
        <v>475.43260000000009</v>
      </c>
      <c r="M253" s="5">
        <f>Orders[[#This Row],[GrossProfit]]/Orders[[#This Row],[OrderTotal]]</f>
        <v>0.51429666154136067</v>
      </c>
      <c r="N253" s="17" t="b">
        <f>COUNTIFS(OrderLines[OrderID],Orders[[#This Row],[OrderID]],OrderLines[Category],"Hot Meal")&gt;0</f>
        <v>1</v>
      </c>
      <c r="O253" s="17" t="b">
        <f>COUNTIFS(OrderLines[OrderID],Orders[[#This Row],[OrderID]],OrderLines[Category],"Snack")&gt;0</f>
        <v>1</v>
      </c>
      <c r="P253" s="17" t="b">
        <f>COUNTIFS(OrderLines[OrderID],Orders[[#This Row],[OrderID]],OrderLines[Category],"Dessert")&gt;0</f>
        <v>0</v>
      </c>
      <c r="Q253" s="11">
        <f>Orders[[#This Row],[OrderTotal]]-Orders[[#This Row],[GrossProfit]]</f>
        <v>449</v>
      </c>
    </row>
    <row r="254" spans="1:17" x14ac:dyDescent="0.25">
      <c r="A254" t="s">
        <v>290</v>
      </c>
      <c r="B254" s="1">
        <v>45861.022013888891</v>
      </c>
      <c r="C254" t="s">
        <v>27</v>
      </c>
      <c r="D254" t="s">
        <v>16</v>
      </c>
      <c r="E254" t="s">
        <v>11</v>
      </c>
      <c r="F254" t="s">
        <v>12</v>
      </c>
      <c r="G254" s="5">
        <v>7.0000000000000007E-2</v>
      </c>
      <c r="H254" t="b">
        <f>COUNTIFS(OrderLines[OrderID],Orders[[#This Row],[OrderID]],OrderLines[Category],"Beverage")&gt;0</f>
        <v>0</v>
      </c>
      <c r="I254">
        <f>SUMIFS(OrderLines[Revenue],OrderLines[OrderID],Orders[[#This Row],[OrderID]])</f>
        <v>260.45580000000001</v>
      </c>
      <c r="J254" t="str">
        <f>IF(AND(COUNTIFS(OrderLines[OrderID],Orders[[#This Row],[OrderID]],OrderLines[Category],"Hot Meal")&gt;0,COUNTIFS(OrderLines[OrderID],Orders[[#This Row],[OrderID]],OrderLines[Category],"Beverage")&gt;0),"Combo","Single")</f>
        <v>Single</v>
      </c>
      <c r="K254" s="17" t="str">
        <f>IF(SUMPRODUCT((OrderLines[OrderID]=Orders[[#This Row],[OrderID]])*OrderLines[Qty]*OrderLines[UnitPrice])*Orders[[#This Row],[DiscountPct]]&gt;40,"HighDisc","OK")</f>
        <v>OK</v>
      </c>
      <c r="L254" s="11">
        <f>SUMIFS(OrderLines[Revenue],OrderLines[OrderID],Orders[[#This Row],[OrderID]])-SUMIFS(OrderLines[FoodCost],OrderLines[OrderID],Orders[[#This Row],[OrderID]])</f>
        <v>138.43580000000003</v>
      </c>
      <c r="M254" s="5">
        <f>Orders[[#This Row],[GrossProfit]]/Orders[[#This Row],[OrderTotal]]</f>
        <v>0.53151360038824258</v>
      </c>
      <c r="N254" s="17" t="b">
        <f>COUNTIFS(OrderLines[OrderID],Orders[[#This Row],[OrderID]],OrderLines[Category],"Hot Meal")&gt;0</f>
        <v>1</v>
      </c>
      <c r="O254" s="17" t="b">
        <f>COUNTIFS(OrderLines[OrderID],Orders[[#This Row],[OrderID]],OrderLines[Category],"Snack")&gt;0</f>
        <v>1</v>
      </c>
      <c r="P254" s="17" t="b">
        <f>COUNTIFS(OrderLines[OrderID],Orders[[#This Row],[OrderID]],OrderLines[Category],"Dessert")&gt;0</f>
        <v>0</v>
      </c>
      <c r="Q254" s="11">
        <f>Orders[[#This Row],[OrderTotal]]-Orders[[#This Row],[GrossProfit]]</f>
        <v>122.01999999999998</v>
      </c>
    </row>
    <row r="255" spans="1:17" x14ac:dyDescent="0.25">
      <c r="A255" t="s">
        <v>291</v>
      </c>
      <c r="B255" s="1">
        <v>45850.404247685183</v>
      </c>
      <c r="C255" t="s">
        <v>15</v>
      </c>
      <c r="D255" t="s">
        <v>10</v>
      </c>
      <c r="E255" t="s">
        <v>17</v>
      </c>
      <c r="F255" t="s">
        <v>12</v>
      </c>
      <c r="G255" s="5">
        <v>0.03</v>
      </c>
      <c r="H255" t="b">
        <f>COUNTIFS(OrderLines[OrderID],Orders[[#This Row],[OrderID]],OrderLines[Category],"Beverage")&gt;0</f>
        <v>1</v>
      </c>
      <c r="I255">
        <f>SUMIFS(OrderLines[Revenue],OrderLines[OrderID],Orders[[#This Row],[OrderID]])</f>
        <v>474.53370000000001</v>
      </c>
      <c r="J255" t="str">
        <f>IF(AND(COUNTIFS(OrderLines[OrderID],Orders[[#This Row],[OrderID]],OrderLines[Category],"Hot Meal")&gt;0,COUNTIFS(OrderLines[OrderID],Orders[[#This Row],[OrderID]],OrderLines[Category],"Beverage")&gt;0),"Combo","Single")</f>
        <v>Combo</v>
      </c>
      <c r="K255" s="17" t="str">
        <f>IF(SUMPRODUCT((OrderLines[OrderID]=Orders[[#This Row],[OrderID]])*OrderLines[Qty]*OrderLines[UnitPrice])*Orders[[#This Row],[DiscountPct]]&gt;40,"HighDisc","OK")</f>
        <v>OK</v>
      </c>
      <c r="L255" s="11">
        <f>SUMIFS(OrderLines[Revenue],OrderLines[OrderID],Orders[[#This Row],[OrderID]])-SUMIFS(OrderLines[FoodCost],OrderLines[OrderID],Orders[[#This Row],[OrderID]])</f>
        <v>248.83370000000002</v>
      </c>
      <c r="M255" s="5">
        <f>Orders[[#This Row],[GrossProfit]]/Orders[[#This Row],[OrderTotal]]</f>
        <v>0.52437519189891046</v>
      </c>
      <c r="N255" s="17" t="b">
        <f>COUNTIFS(OrderLines[OrderID],Orders[[#This Row],[OrderID]],OrderLines[Category],"Hot Meal")&gt;0</f>
        <v>1</v>
      </c>
      <c r="O255" s="17" t="b">
        <f>COUNTIFS(OrderLines[OrderID],Orders[[#This Row],[OrderID]],OrderLines[Category],"Snack")&gt;0</f>
        <v>1</v>
      </c>
      <c r="P255" s="17" t="b">
        <f>COUNTIFS(OrderLines[OrderID],Orders[[#This Row],[OrderID]],OrderLines[Category],"Dessert")&gt;0</f>
        <v>0</v>
      </c>
      <c r="Q255" s="11">
        <f>Orders[[#This Row],[OrderTotal]]-Orders[[#This Row],[GrossProfit]]</f>
        <v>225.7</v>
      </c>
    </row>
    <row r="256" spans="1:17" x14ac:dyDescent="0.25">
      <c r="A256" t="s">
        <v>292</v>
      </c>
      <c r="B256" s="1">
        <v>45893.714363425926</v>
      </c>
      <c r="C256" t="s">
        <v>9</v>
      </c>
      <c r="D256" t="s">
        <v>10</v>
      </c>
      <c r="E256" t="s">
        <v>11</v>
      </c>
      <c r="F256" t="s">
        <v>18</v>
      </c>
      <c r="G256" s="5">
        <v>0.1</v>
      </c>
      <c r="H256" t="b">
        <f>COUNTIFS(OrderLines[OrderID],Orders[[#This Row],[OrderID]],OrderLines[Category],"Beverage")&gt;0</f>
        <v>0</v>
      </c>
      <c r="I256">
        <f>SUMIFS(OrderLines[Revenue],OrderLines[OrderID],Orders[[#This Row],[OrderID]])</f>
        <v>507.97800000000007</v>
      </c>
      <c r="J256" t="str">
        <f>IF(AND(COUNTIFS(OrderLines[OrderID],Orders[[#This Row],[OrderID]],OrderLines[Category],"Hot Meal")&gt;0,COUNTIFS(OrderLines[OrderID],Orders[[#This Row],[OrderID]],OrderLines[Category],"Beverage")&gt;0),"Combo","Single")</f>
        <v>Single</v>
      </c>
      <c r="K256" s="17" t="str">
        <f>IF(SUMPRODUCT((OrderLines[OrderID]=Orders[[#This Row],[OrderID]])*OrderLines[Qty]*OrderLines[UnitPrice])*Orders[[#This Row],[DiscountPct]]&gt;40,"HighDisc","OK")</f>
        <v>HighDisc</v>
      </c>
      <c r="L256" s="11">
        <f>SUMIFS(OrderLines[Revenue],OrderLines[OrderID],Orders[[#This Row],[OrderID]])-SUMIFS(OrderLines[FoodCost],OrderLines[OrderID],Orders[[#This Row],[OrderID]])</f>
        <v>259.49800000000005</v>
      </c>
      <c r="M256" s="5">
        <f>Orders[[#This Row],[GrossProfit]]/Orders[[#This Row],[OrderTotal]]</f>
        <v>0.5108449578525055</v>
      </c>
      <c r="N256" s="17" t="b">
        <f>COUNTIFS(OrderLines[OrderID],Orders[[#This Row],[OrderID]],OrderLines[Category],"Hot Meal")&gt;0</f>
        <v>1</v>
      </c>
      <c r="O256" s="17" t="b">
        <f>COUNTIFS(OrderLines[OrderID],Orders[[#This Row],[OrderID]],OrderLines[Category],"Snack")&gt;0</f>
        <v>1</v>
      </c>
      <c r="P256" s="17" t="b">
        <f>COUNTIFS(OrderLines[OrderID],Orders[[#This Row],[OrderID]],OrderLines[Category],"Dessert")&gt;0</f>
        <v>0</v>
      </c>
      <c r="Q256" s="11">
        <f>Orders[[#This Row],[OrderTotal]]-Orders[[#This Row],[GrossProfit]]</f>
        <v>248.48000000000002</v>
      </c>
    </row>
    <row r="257" spans="1:17" x14ac:dyDescent="0.25">
      <c r="A257" t="s">
        <v>293</v>
      </c>
      <c r="B257" s="1">
        <v>45841.798993055563</v>
      </c>
      <c r="C257" t="s">
        <v>9</v>
      </c>
      <c r="D257" t="s">
        <v>10</v>
      </c>
      <c r="E257" t="s">
        <v>11</v>
      </c>
      <c r="F257" t="s">
        <v>18</v>
      </c>
      <c r="G257" s="5">
        <v>7.0000000000000007E-2</v>
      </c>
      <c r="H257" t="b">
        <f>COUNTIFS(OrderLines[OrderID],Orders[[#This Row],[OrderID]],OrderLines[Category],"Beverage")&gt;0</f>
        <v>1</v>
      </c>
      <c r="I257">
        <f>SUMIFS(OrderLines[Revenue],OrderLines[OrderID],Orders[[#This Row],[OrderID]])</f>
        <v>341.72849999999994</v>
      </c>
      <c r="J257" t="str">
        <f>IF(AND(COUNTIFS(OrderLines[OrderID],Orders[[#This Row],[OrderID]],OrderLines[Category],"Hot Meal")&gt;0,COUNTIFS(OrderLines[OrderID],Orders[[#This Row],[OrderID]],OrderLines[Category],"Beverage")&gt;0),"Combo","Single")</f>
        <v>Combo</v>
      </c>
      <c r="K257" s="17" t="str">
        <f>IF(SUMPRODUCT((OrderLines[OrderID]=Orders[[#This Row],[OrderID]])*OrderLines[Qty]*OrderLines[UnitPrice])*Orders[[#This Row],[DiscountPct]]&gt;40,"HighDisc","OK")</f>
        <v>OK</v>
      </c>
      <c r="L257" s="11">
        <f>SUMIFS(OrderLines[Revenue],OrderLines[OrderID],Orders[[#This Row],[OrderID]])-SUMIFS(OrderLines[FoodCost],OrderLines[OrderID],Orders[[#This Row],[OrderID]])</f>
        <v>144.70849999999993</v>
      </c>
      <c r="M257" s="5">
        <f>Orders[[#This Row],[GrossProfit]]/Orders[[#This Row],[OrderTotal]]</f>
        <v>0.423460437159909</v>
      </c>
      <c r="N257" s="17" t="b">
        <f>COUNTIFS(OrderLines[OrderID],Orders[[#This Row],[OrderID]],OrderLines[Category],"Hot Meal")&gt;0</f>
        <v>1</v>
      </c>
      <c r="O257" s="17" t="b">
        <f>COUNTIFS(OrderLines[OrderID],Orders[[#This Row],[OrderID]],OrderLines[Category],"Snack")&gt;0</f>
        <v>1</v>
      </c>
      <c r="P257" s="17" t="b">
        <f>COUNTIFS(OrderLines[OrderID],Orders[[#This Row],[OrderID]],OrderLines[Category],"Dessert")&gt;0</f>
        <v>0</v>
      </c>
      <c r="Q257" s="11">
        <f>Orders[[#This Row],[OrderTotal]]-Orders[[#This Row],[GrossProfit]]</f>
        <v>197.02</v>
      </c>
    </row>
    <row r="258" spans="1:17" x14ac:dyDescent="0.25">
      <c r="A258" t="s">
        <v>294</v>
      </c>
      <c r="B258" s="1">
        <v>45842.061064814807</v>
      </c>
      <c r="C258" t="s">
        <v>27</v>
      </c>
      <c r="D258" t="s">
        <v>16</v>
      </c>
      <c r="E258" t="s">
        <v>11</v>
      </c>
      <c r="F258" t="s">
        <v>12</v>
      </c>
      <c r="G258" s="5">
        <v>0.09</v>
      </c>
      <c r="H258" t="b">
        <f>COUNTIFS(OrderLines[OrderID],Orders[[#This Row],[OrderID]],OrderLines[Category],"Beverage")&gt;0</f>
        <v>1</v>
      </c>
      <c r="I258">
        <f>SUMIFS(OrderLines[Revenue],OrderLines[OrderID],Orders[[#This Row],[OrderID]])</f>
        <v>158.21260000000001</v>
      </c>
      <c r="J258" t="str">
        <f>IF(AND(COUNTIFS(OrderLines[OrderID],Orders[[#This Row],[OrderID]],OrderLines[Category],"Hot Meal")&gt;0,COUNTIFS(OrderLines[OrderID],Orders[[#This Row],[OrderID]],OrderLines[Category],"Beverage")&gt;0),"Combo","Single")</f>
        <v>Single</v>
      </c>
      <c r="K258" s="17" t="str">
        <f>IF(SUMPRODUCT((OrderLines[OrderID]=Orders[[#This Row],[OrderID]])*OrderLines[Qty]*OrderLines[UnitPrice])*Orders[[#This Row],[DiscountPct]]&gt;40,"HighDisc","OK")</f>
        <v>OK</v>
      </c>
      <c r="L258" s="11">
        <f>SUMIFS(OrderLines[Revenue],OrderLines[OrderID],Orders[[#This Row],[OrderID]])-SUMIFS(OrderLines[FoodCost],OrderLines[OrderID],Orders[[#This Row],[OrderID]])</f>
        <v>78.322600000000008</v>
      </c>
      <c r="M258" s="5">
        <f>Orders[[#This Row],[GrossProfit]]/Orders[[#This Row],[OrderTotal]]</f>
        <v>0.49504653864483616</v>
      </c>
      <c r="N258" s="17" t="b">
        <f>COUNTIFS(OrderLines[OrderID],Orders[[#This Row],[OrderID]],OrderLines[Category],"Hot Meal")&gt;0</f>
        <v>0</v>
      </c>
      <c r="O258" s="17" t="b">
        <f>COUNTIFS(OrderLines[OrderID],Orders[[#This Row],[OrderID]],OrderLines[Category],"Snack")&gt;0</f>
        <v>1</v>
      </c>
      <c r="P258" s="17" t="b">
        <f>COUNTIFS(OrderLines[OrderID],Orders[[#This Row],[OrderID]],OrderLines[Category],"Dessert")&gt;0</f>
        <v>1</v>
      </c>
      <c r="Q258" s="11">
        <f>Orders[[#This Row],[OrderTotal]]-Orders[[#This Row],[GrossProfit]]</f>
        <v>79.89</v>
      </c>
    </row>
    <row r="259" spans="1:17" x14ac:dyDescent="0.25">
      <c r="A259" t="s">
        <v>295</v>
      </c>
      <c r="B259" s="1">
        <v>45872.243692129632</v>
      </c>
      <c r="C259" t="s">
        <v>15</v>
      </c>
      <c r="D259" t="s">
        <v>28</v>
      </c>
      <c r="E259" t="s">
        <v>17</v>
      </c>
      <c r="F259" t="s">
        <v>12</v>
      </c>
      <c r="G259" s="5">
        <v>0.09</v>
      </c>
      <c r="H259" t="b">
        <f>COUNTIFS(OrderLines[OrderID],Orders[[#This Row],[OrderID]],OrderLines[Category],"Beverage")&gt;0</f>
        <v>1</v>
      </c>
      <c r="I259">
        <f>SUMIFS(OrderLines[Revenue],OrderLines[OrderID],Orders[[#This Row],[OrderID]])</f>
        <v>544.91710000000012</v>
      </c>
      <c r="J259" t="str">
        <f>IF(AND(COUNTIFS(OrderLines[OrderID],Orders[[#This Row],[OrderID]],OrderLines[Category],"Hot Meal")&gt;0,COUNTIFS(OrderLines[OrderID],Orders[[#This Row],[OrderID]],OrderLines[Category],"Beverage")&gt;0),"Combo","Single")</f>
        <v>Combo</v>
      </c>
      <c r="K259" s="17" t="str">
        <f>IF(SUMPRODUCT((OrderLines[OrderID]=Orders[[#This Row],[OrderID]])*OrderLines[Qty]*OrderLines[UnitPrice])*Orders[[#This Row],[DiscountPct]]&gt;40,"HighDisc","OK")</f>
        <v>HighDisc</v>
      </c>
      <c r="L259" s="11">
        <f>SUMIFS(OrderLines[Revenue],OrderLines[OrderID],Orders[[#This Row],[OrderID]])-SUMIFS(OrderLines[FoodCost],OrderLines[OrderID],Orders[[#This Row],[OrderID]])</f>
        <v>238.07710000000009</v>
      </c>
      <c r="M259" s="5">
        <f>Orders[[#This Row],[GrossProfit]]/Orders[[#This Row],[OrderTotal]]</f>
        <v>0.43690517328232137</v>
      </c>
      <c r="N259" s="17" t="b">
        <f>COUNTIFS(OrderLines[OrderID],Orders[[#This Row],[OrderID]],OrderLines[Category],"Hot Meal")&gt;0</f>
        <v>1</v>
      </c>
      <c r="O259" s="17" t="b">
        <f>COUNTIFS(OrderLines[OrderID],Orders[[#This Row],[OrderID]],OrderLines[Category],"Snack")&gt;0</f>
        <v>1</v>
      </c>
      <c r="P259" s="17" t="b">
        <f>COUNTIFS(OrderLines[OrderID],Orders[[#This Row],[OrderID]],OrderLines[Category],"Dessert")&gt;0</f>
        <v>0</v>
      </c>
      <c r="Q259" s="11">
        <f>Orders[[#This Row],[OrderTotal]]-Orders[[#This Row],[GrossProfit]]</f>
        <v>306.84000000000003</v>
      </c>
    </row>
    <row r="260" spans="1:17" x14ac:dyDescent="0.25">
      <c r="A260" t="s">
        <v>296</v>
      </c>
      <c r="B260" s="1">
        <v>45894.234317129631</v>
      </c>
      <c r="C260" t="s">
        <v>9</v>
      </c>
      <c r="D260" t="s">
        <v>16</v>
      </c>
      <c r="E260" t="s">
        <v>17</v>
      </c>
      <c r="F260" t="s">
        <v>12</v>
      </c>
      <c r="G260" s="5">
        <v>0.03</v>
      </c>
      <c r="H260" t="b">
        <f>COUNTIFS(OrderLines[OrderID],Orders[[#This Row],[OrderID]],OrderLines[Category],"Beverage")&gt;0</f>
        <v>0</v>
      </c>
      <c r="I260">
        <f>SUMIFS(OrderLines[Revenue],OrderLines[OrderID],Orders[[#This Row],[OrderID]])</f>
        <v>375.55489999999998</v>
      </c>
      <c r="J260" t="str">
        <f>IF(AND(COUNTIFS(OrderLines[OrderID],Orders[[#This Row],[OrderID]],OrderLines[Category],"Hot Meal")&gt;0,COUNTIFS(OrderLines[OrderID],Orders[[#This Row],[OrderID]],OrderLines[Category],"Beverage")&gt;0),"Combo","Single")</f>
        <v>Single</v>
      </c>
      <c r="K260" s="17" t="str">
        <f>IF(SUMPRODUCT((OrderLines[OrderID]=Orders[[#This Row],[OrderID]])*OrderLines[Qty]*OrderLines[UnitPrice])*Orders[[#This Row],[DiscountPct]]&gt;40,"HighDisc","OK")</f>
        <v>OK</v>
      </c>
      <c r="L260" s="11">
        <f>SUMIFS(OrderLines[Revenue],OrderLines[OrderID],Orders[[#This Row],[OrderID]])-SUMIFS(OrderLines[FoodCost],OrderLines[OrderID],Orders[[#This Row],[OrderID]])</f>
        <v>191.85489999999999</v>
      </c>
      <c r="M260" s="5">
        <f>Orders[[#This Row],[GrossProfit]]/Orders[[#This Row],[OrderTotal]]</f>
        <v>0.51085713433641788</v>
      </c>
      <c r="N260" s="17" t="b">
        <f>COUNTIFS(OrderLines[OrderID],Orders[[#This Row],[OrderID]],OrderLines[Category],"Hot Meal")&gt;0</f>
        <v>1</v>
      </c>
      <c r="O260" s="17" t="b">
        <f>COUNTIFS(OrderLines[OrderID],Orders[[#This Row],[OrderID]],OrderLines[Category],"Snack")&gt;0</f>
        <v>1</v>
      </c>
      <c r="P260" s="17" t="b">
        <f>COUNTIFS(OrderLines[OrderID],Orders[[#This Row],[OrderID]],OrderLines[Category],"Dessert")&gt;0</f>
        <v>0</v>
      </c>
      <c r="Q260" s="11">
        <f>Orders[[#This Row],[OrderTotal]]-Orders[[#This Row],[GrossProfit]]</f>
        <v>183.7</v>
      </c>
    </row>
    <row r="261" spans="1:17" x14ac:dyDescent="0.25">
      <c r="A261" t="s">
        <v>297</v>
      </c>
      <c r="B261" s="1">
        <v>45842.226504629631</v>
      </c>
      <c r="C261" t="s">
        <v>27</v>
      </c>
      <c r="D261" t="s">
        <v>10</v>
      </c>
      <c r="E261" t="s">
        <v>11</v>
      </c>
      <c r="F261" t="s">
        <v>12</v>
      </c>
      <c r="G261" s="5">
        <v>0.04</v>
      </c>
      <c r="H261" t="b">
        <f>COUNTIFS(OrderLines[OrderID],Orders[[#This Row],[OrderID]],OrderLines[Category],"Beverage")&gt;0</f>
        <v>0</v>
      </c>
      <c r="I261">
        <f>SUMIFS(OrderLines[Revenue],OrderLines[OrderID],Orders[[#This Row],[OrderID]])</f>
        <v>499.59360000000004</v>
      </c>
      <c r="J261" t="str">
        <f>IF(AND(COUNTIFS(OrderLines[OrderID],Orders[[#This Row],[OrderID]],OrderLines[Category],"Hot Meal")&gt;0,COUNTIFS(OrderLines[OrderID],Orders[[#This Row],[OrderID]],OrderLines[Category],"Beverage")&gt;0),"Combo","Single")</f>
        <v>Single</v>
      </c>
      <c r="K261" s="17" t="str">
        <f>IF(SUMPRODUCT((OrderLines[OrderID]=Orders[[#This Row],[OrderID]])*OrderLines[Qty]*OrderLines[UnitPrice])*Orders[[#This Row],[DiscountPct]]&gt;40,"HighDisc","OK")</f>
        <v>OK</v>
      </c>
      <c r="L261" s="11">
        <f>SUMIFS(OrderLines[Revenue],OrderLines[OrderID],Orders[[#This Row],[OrderID]])-SUMIFS(OrderLines[FoodCost],OrderLines[OrderID],Orders[[#This Row],[OrderID]])</f>
        <v>241.53360000000004</v>
      </c>
      <c r="M261" s="5">
        <f>Orders[[#This Row],[GrossProfit]]/Orders[[#This Row],[OrderTotal]]</f>
        <v>0.48346015641513423</v>
      </c>
      <c r="N261" s="17" t="b">
        <f>COUNTIFS(OrderLines[OrderID],Orders[[#This Row],[OrderID]],OrderLines[Category],"Hot Meal")&gt;0</f>
        <v>1</v>
      </c>
      <c r="O261" s="17" t="b">
        <f>COUNTIFS(OrderLines[OrderID],Orders[[#This Row],[OrderID]],OrderLines[Category],"Snack")&gt;0</f>
        <v>0</v>
      </c>
      <c r="P261" s="17" t="b">
        <f>COUNTIFS(OrderLines[OrderID],Orders[[#This Row],[OrderID]],OrderLines[Category],"Dessert")&gt;0</f>
        <v>0</v>
      </c>
      <c r="Q261" s="11">
        <f>Orders[[#This Row],[OrderTotal]]-Orders[[#This Row],[GrossProfit]]</f>
        <v>258.06</v>
      </c>
    </row>
    <row r="262" spans="1:17" x14ac:dyDescent="0.25">
      <c r="A262" t="s">
        <v>298</v>
      </c>
      <c r="B262" s="1">
        <v>45875.77484953704</v>
      </c>
      <c r="C262" t="s">
        <v>15</v>
      </c>
      <c r="D262" t="s">
        <v>16</v>
      </c>
      <c r="E262" t="s">
        <v>21</v>
      </c>
      <c r="F262" t="s">
        <v>18</v>
      </c>
      <c r="G262" s="5">
        <v>0.09</v>
      </c>
      <c r="H262" t="b">
        <f>COUNTIFS(OrderLines[OrderID],Orders[[#This Row],[OrderID]],OrderLines[Category],"Beverage")&gt;0</f>
        <v>1</v>
      </c>
      <c r="I262">
        <f>SUMIFS(OrderLines[Revenue],OrderLines[OrderID],Orders[[#This Row],[OrderID]])</f>
        <v>232.69610000000003</v>
      </c>
      <c r="J262" t="str">
        <f>IF(AND(COUNTIFS(OrderLines[OrderID],Orders[[#This Row],[OrderID]],OrderLines[Category],"Hot Meal")&gt;0,COUNTIFS(OrderLines[OrderID],Orders[[#This Row],[OrderID]],OrderLines[Category],"Beverage")&gt;0),"Combo","Single")</f>
        <v>Combo</v>
      </c>
      <c r="K262" s="17" t="str">
        <f>IF(SUMPRODUCT((OrderLines[OrderID]=Orders[[#This Row],[OrderID]])*OrderLines[Qty]*OrderLines[UnitPrice])*Orders[[#This Row],[DiscountPct]]&gt;40,"HighDisc","OK")</f>
        <v>OK</v>
      </c>
      <c r="L262" s="11">
        <f>SUMIFS(OrderLines[Revenue],OrderLines[OrderID],Orders[[#This Row],[OrderID]])-SUMIFS(OrderLines[FoodCost],OrderLines[OrderID],Orders[[#This Row],[OrderID]])</f>
        <v>98.19610000000003</v>
      </c>
      <c r="M262" s="5">
        <f>Orders[[#This Row],[GrossProfit]]/Orders[[#This Row],[OrderTotal]]</f>
        <v>0.42199289115717892</v>
      </c>
      <c r="N262" s="17" t="b">
        <f>COUNTIFS(OrderLines[OrderID],Orders[[#This Row],[OrderID]],OrderLines[Category],"Hot Meal")&gt;0</f>
        <v>1</v>
      </c>
      <c r="O262" s="17" t="b">
        <f>COUNTIFS(OrderLines[OrderID],Orders[[#This Row],[OrderID]],OrderLines[Category],"Snack")&gt;0</f>
        <v>1</v>
      </c>
      <c r="P262" s="17" t="b">
        <f>COUNTIFS(OrderLines[OrderID],Orders[[#This Row],[OrderID]],OrderLines[Category],"Dessert")&gt;0</f>
        <v>0</v>
      </c>
      <c r="Q262" s="11">
        <f>Orders[[#This Row],[OrderTotal]]-Orders[[#This Row],[GrossProfit]]</f>
        <v>134.5</v>
      </c>
    </row>
    <row r="263" spans="1:17" x14ac:dyDescent="0.25">
      <c r="A263" t="s">
        <v>299</v>
      </c>
      <c r="B263" s="1">
        <v>45875.178587962961</v>
      </c>
      <c r="C263" t="s">
        <v>15</v>
      </c>
      <c r="D263" t="s">
        <v>10</v>
      </c>
      <c r="E263" t="s">
        <v>21</v>
      </c>
      <c r="F263" t="s">
        <v>12</v>
      </c>
      <c r="G263" s="5">
        <v>0.08</v>
      </c>
      <c r="H263" t="b">
        <f>COUNTIFS(OrderLines[OrderID],Orders[[#This Row],[OrderID]],OrderLines[Category],"Beverage")&gt;0</f>
        <v>0</v>
      </c>
      <c r="I263">
        <f>SUMIFS(OrderLines[Revenue],OrderLines[OrderID],Orders[[#This Row],[OrderID]])</f>
        <v>663.43040000000008</v>
      </c>
      <c r="J263" t="str">
        <f>IF(AND(COUNTIFS(OrderLines[OrderID],Orders[[#This Row],[OrderID]],OrderLines[Category],"Hot Meal")&gt;0,COUNTIFS(OrderLines[OrderID],Orders[[#This Row],[OrderID]],OrderLines[Category],"Beverage")&gt;0),"Combo","Single")</f>
        <v>Single</v>
      </c>
      <c r="K263" s="17" t="str">
        <f>IF(SUMPRODUCT((OrderLines[OrderID]=Orders[[#This Row],[OrderID]])*OrderLines[Qty]*OrderLines[UnitPrice])*Orders[[#This Row],[DiscountPct]]&gt;40,"HighDisc","OK")</f>
        <v>HighDisc</v>
      </c>
      <c r="L263" s="11">
        <f>SUMIFS(OrderLines[Revenue],OrderLines[OrderID],Orders[[#This Row],[OrderID]])-SUMIFS(OrderLines[FoodCost],OrderLines[OrderID],Orders[[#This Row],[OrderID]])</f>
        <v>322.54040000000009</v>
      </c>
      <c r="M263" s="5">
        <f>Orders[[#This Row],[GrossProfit]]/Orders[[#This Row],[OrderTotal]]</f>
        <v>0.48617066688532823</v>
      </c>
      <c r="N263" s="17" t="b">
        <f>COUNTIFS(OrderLines[OrderID],Orders[[#This Row],[OrderID]],OrderLines[Category],"Hot Meal")&gt;0</f>
        <v>1</v>
      </c>
      <c r="O263" s="17" t="b">
        <f>COUNTIFS(OrderLines[OrderID],Orders[[#This Row],[OrderID]],OrderLines[Category],"Snack")&gt;0</f>
        <v>0</v>
      </c>
      <c r="P263" s="17" t="b">
        <f>COUNTIFS(OrderLines[OrderID],Orders[[#This Row],[OrderID]],OrderLines[Category],"Dessert")&gt;0</f>
        <v>1</v>
      </c>
      <c r="Q263" s="11">
        <f>Orders[[#This Row],[OrderTotal]]-Orders[[#This Row],[GrossProfit]]</f>
        <v>340.89</v>
      </c>
    </row>
    <row r="264" spans="1:17" x14ac:dyDescent="0.25">
      <c r="A264" t="s">
        <v>300</v>
      </c>
      <c r="B264" s="1">
        <v>45844.357800925929</v>
      </c>
      <c r="C264" t="s">
        <v>27</v>
      </c>
      <c r="D264" t="s">
        <v>28</v>
      </c>
      <c r="E264" t="s">
        <v>11</v>
      </c>
      <c r="F264" t="s">
        <v>12</v>
      </c>
      <c r="G264" s="5">
        <v>0.06</v>
      </c>
      <c r="H264" t="b">
        <f>COUNTIFS(OrderLines[OrderID],Orders[[#This Row],[OrderID]],OrderLines[Category],"Beverage")&gt;0</f>
        <v>0</v>
      </c>
      <c r="I264">
        <f>SUMIFS(OrderLines[Revenue],OrderLines[OrderID],Orders[[#This Row],[OrderID]])</f>
        <v>385.40940000000001</v>
      </c>
      <c r="J264" t="str">
        <f>IF(AND(COUNTIFS(OrderLines[OrderID],Orders[[#This Row],[OrderID]],OrderLines[Category],"Hot Meal")&gt;0,COUNTIFS(OrderLines[OrderID],Orders[[#This Row],[OrderID]],OrderLines[Category],"Beverage")&gt;0),"Combo","Single")</f>
        <v>Single</v>
      </c>
      <c r="K264" s="17" t="str">
        <f>IF(SUMPRODUCT((OrderLines[OrderID]=Orders[[#This Row],[OrderID]])*OrderLines[Qty]*OrderLines[UnitPrice])*Orders[[#This Row],[DiscountPct]]&gt;40,"HighDisc","OK")</f>
        <v>OK</v>
      </c>
      <c r="L264" s="11">
        <f>SUMIFS(OrderLines[Revenue],OrderLines[OrderID],Orders[[#This Row],[OrderID]])-SUMIFS(OrderLines[FoodCost],OrderLines[OrderID],Orders[[#This Row],[OrderID]])</f>
        <v>187.70940000000002</v>
      </c>
      <c r="M264" s="5">
        <f>Orders[[#This Row],[GrossProfit]]/Orders[[#This Row],[OrderTotal]]</f>
        <v>0.48703897725379819</v>
      </c>
      <c r="N264" s="17" t="b">
        <f>COUNTIFS(OrderLines[OrderID],Orders[[#This Row],[OrderID]],OrderLines[Category],"Hot Meal")&gt;0</f>
        <v>1</v>
      </c>
      <c r="O264" s="17" t="b">
        <f>COUNTIFS(OrderLines[OrderID],Orders[[#This Row],[OrderID]],OrderLines[Category],"Snack")&gt;0</f>
        <v>0</v>
      </c>
      <c r="P264" s="17" t="b">
        <f>COUNTIFS(OrderLines[OrderID],Orders[[#This Row],[OrderID]],OrderLines[Category],"Dessert")&gt;0</f>
        <v>1</v>
      </c>
      <c r="Q264" s="11">
        <f>Orders[[#This Row],[OrderTotal]]-Orders[[#This Row],[GrossProfit]]</f>
        <v>197.7</v>
      </c>
    </row>
    <row r="265" spans="1:17" x14ac:dyDescent="0.25">
      <c r="A265" t="s">
        <v>301</v>
      </c>
      <c r="B265" s="1">
        <v>45847.170775462961</v>
      </c>
      <c r="C265" t="s">
        <v>15</v>
      </c>
      <c r="D265" t="s">
        <v>16</v>
      </c>
      <c r="E265" t="s">
        <v>11</v>
      </c>
      <c r="F265" t="s">
        <v>12</v>
      </c>
      <c r="G265" s="5">
        <v>0.06</v>
      </c>
      <c r="H265" t="b">
        <f>COUNTIFS(OrderLines[OrderID],Orders[[#This Row],[OrderID]],OrderLines[Category],"Beverage")&gt;0</f>
        <v>1</v>
      </c>
      <c r="I265">
        <f>SUMIFS(OrderLines[Revenue],OrderLines[OrderID],Orders[[#This Row],[OrderID]])</f>
        <v>500.01419999999996</v>
      </c>
      <c r="J265" t="str">
        <f>IF(AND(COUNTIFS(OrderLines[OrderID],Orders[[#This Row],[OrderID]],OrderLines[Category],"Hot Meal")&gt;0,COUNTIFS(OrderLines[OrderID],Orders[[#This Row],[OrderID]],OrderLines[Category],"Beverage")&gt;0),"Combo","Single")</f>
        <v>Single</v>
      </c>
      <c r="K265" s="17" t="str">
        <f>IF(SUMPRODUCT((OrderLines[OrderID]=Orders[[#This Row],[OrderID]])*OrderLines[Qty]*OrderLines[UnitPrice])*Orders[[#This Row],[DiscountPct]]&gt;40,"HighDisc","OK")</f>
        <v>OK</v>
      </c>
      <c r="L265" s="11">
        <f>SUMIFS(OrderLines[Revenue],OrderLines[OrderID],Orders[[#This Row],[OrderID]])-SUMIFS(OrderLines[FoodCost],OrderLines[OrderID],Orders[[#This Row],[OrderID]])</f>
        <v>262.75419999999997</v>
      </c>
      <c r="M265" s="5">
        <f>Orders[[#This Row],[GrossProfit]]/Orders[[#This Row],[OrderTotal]]</f>
        <v>0.52549347598528195</v>
      </c>
      <c r="N265" s="17" t="b">
        <f>COUNTIFS(OrderLines[OrderID],Orders[[#This Row],[OrderID]],OrderLines[Category],"Hot Meal")&gt;0</f>
        <v>0</v>
      </c>
      <c r="O265" s="17" t="b">
        <f>COUNTIFS(OrderLines[OrderID],Orders[[#This Row],[OrderID]],OrderLines[Category],"Snack")&gt;0</f>
        <v>0</v>
      </c>
      <c r="P265" s="17" t="b">
        <f>COUNTIFS(OrderLines[OrderID],Orders[[#This Row],[OrderID]],OrderLines[Category],"Dessert")&gt;0</f>
        <v>1</v>
      </c>
      <c r="Q265" s="11">
        <f>Orders[[#This Row],[OrderTotal]]-Orders[[#This Row],[GrossProfit]]</f>
        <v>237.26</v>
      </c>
    </row>
    <row r="266" spans="1:17" x14ac:dyDescent="0.25">
      <c r="A266" t="s">
        <v>302</v>
      </c>
      <c r="B266" s="1">
        <v>45886.403067129628</v>
      </c>
      <c r="C266" t="s">
        <v>9</v>
      </c>
      <c r="D266" t="s">
        <v>16</v>
      </c>
      <c r="E266" t="s">
        <v>21</v>
      </c>
      <c r="F266" t="s">
        <v>12</v>
      </c>
      <c r="G266" s="5">
        <v>0.11</v>
      </c>
      <c r="H266" t="b">
        <f>COUNTIFS(OrderLines[OrderID],Orders[[#This Row],[OrderID]],OrderLines[Category],"Beverage")&gt;0</f>
        <v>1</v>
      </c>
      <c r="I266">
        <f>SUMIFS(OrderLines[Revenue],OrderLines[OrderID],Orders[[#This Row],[OrderID]])</f>
        <v>527.84120000000007</v>
      </c>
      <c r="J266" t="str">
        <f>IF(AND(COUNTIFS(OrderLines[OrderID],Orders[[#This Row],[OrderID]],OrderLines[Category],"Hot Meal")&gt;0,COUNTIFS(OrderLines[OrderID],Orders[[#This Row],[OrderID]],OrderLines[Category],"Beverage")&gt;0),"Combo","Single")</f>
        <v>Combo</v>
      </c>
      <c r="K266" s="17" t="str">
        <f>IF(SUMPRODUCT((OrderLines[OrderID]=Orders[[#This Row],[OrderID]])*OrderLines[Qty]*OrderLines[UnitPrice])*Orders[[#This Row],[DiscountPct]]&gt;40,"HighDisc","OK")</f>
        <v>HighDisc</v>
      </c>
      <c r="L266" s="11">
        <f>SUMIFS(OrderLines[Revenue],OrderLines[OrderID],Orders[[#This Row],[OrderID]])-SUMIFS(OrderLines[FoodCost],OrderLines[OrderID],Orders[[#This Row],[OrderID]])</f>
        <v>259.32120000000009</v>
      </c>
      <c r="M266" s="5">
        <f>Orders[[#This Row],[GrossProfit]]/Orders[[#This Row],[OrderTotal]]</f>
        <v>0.49128639446863953</v>
      </c>
      <c r="N266" s="17" t="b">
        <f>COUNTIFS(OrderLines[OrderID],Orders[[#This Row],[OrderID]],OrderLines[Category],"Hot Meal")&gt;0</f>
        <v>1</v>
      </c>
      <c r="O266" s="17" t="b">
        <f>COUNTIFS(OrderLines[OrderID],Orders[[#This Row],[OrderID]],OrderLines[Category],"Snack")&gt;0</f>
        <v>0</v>
      </c>
      <c r="P266" s="17" t="b">
        <f>COUNTIFS(OrderLines[OrderID],Orders[[#This Row],[OrderID]],OrderLines[Category],"Dessert")&gt;0</f>
        <v>0</v>
      </c>
      <c r="Q266" s="11">
        <f>Orders[[#This Row],[OrderTotal]]-Orders[[#This Row],[GrossProfit]]</f>
        <v>268.52</v>
      </c>
    </row>
    <row r="267" spans="1:17" x14ac:dyDescent="0.25">
      <c r="A267" t="s">
        <v>303</v>
      </c>
      <c r="B267" s="1">
        <v>45860.179664351846</v>
      </c>
      <c r="C267" t="s">
        <v>9</v>
      </c>
      <c r="D267" t="s">
        <v>28</v>
      </c>
      <c r="E267" t="s">
        <v>21</v>
      </c>
      <c r="F267" t="s">
        <v>12</v>
      </c>
      <c r="G267" s="5">
        <v>0.04</v>
      </c>
      <c r="H267" t="b">
        <f>COUNTIFS(OrderLines[OrderID],Orders[[#This Row],[OrderID]],OrderLines[Category],"Beverage")&gt;0</f>
        <v>0</v>
      </c>
      <c r="I267">
        <f>SUMIFS(OrderLines[Revenue],OrderLines[OrderID],Orders[[#This Row],[OrderID]])</f>
        <v>442.76160000000004</v>
      </c>
      <c r="J267" t="str">
        <f>IF(AND(COUNTIFS(OrderLines[OrderID],Orders[[#This Row],[OrderID]],OrderLines[Category],"Hot Meal")&gt;0,COUNTIFS(OrderLines[OrderID],Orders[[#This Row],[OrderID]],OrderLines[Category],"Beverage")&gt;0),"Combo","Single")</f>
        <v>Single</v>
      </c>
      <c r="K267" s="17" t="str">
        <f>IF(SUMPRODUCT((OrderLines[OrderID]=Orders[[#This Row],[OrderID]])*OrderLines[Qty]*OrderLines[UnitPrice])*Orders[[#This Row],[DiscountPct]]&gt;40,"HighDisc","OK")</f>
        <v>OK</v>
      </c>
      <c r="L267" s="11">
        <f>SUMIFS(OrderLines[Revenue],OrderLines[OrderID],Orders[[#This Row],[OrderID]])-SUMIFS(OrderLines[FoodCost],OrderLines[OrderID],Orders[[#This Row],[OrderID]])</f>
        <v>248.60160000000005</v>
      </c>
      <c r="M267" s="5">
        <f>Orders[[#This Row],[GrossProfit]]/Orders[[#This Row],[OrderTotal]]</f>
        <v>0.56147958630558747</v>
      </c>
      <c r="N267" s="17" t="b">
        <f>COUNTIFS(OrderLines[OrderID],Orders[[#This Row],[OrderID]],OrderLines[Category],"Hot Meal")&gt;0</f>
        <v>1</v>
      </c>
      <c r="O267" s="17" t="b">
        <f>COUNTIFS(OrderLines[OrderID],Orders[[#This Row],[OrderID]],OrderLines[Category],"Snack")&gt;0</f>
        <v>0</v>
      </c>
      <c r="P267" s="17" t="b">
        <f>COUNTIFS(OrderLines[OrderID],Orders[[#This Row],[OrderID]],OrderLines[Category],"Dessert")&gt;0</f>
        <v>1</v>
      </c>
      <c r="Q267" s="11">
        <f>Orders[[#This Row],[OrderTotal]]-Orders[[#This Row],[GrossProfit]]</f>
        <v>194.16</v>
      </c>
    </row>
    <row r="268" spans="1:17" x14ac:dyDescent="0.25">
      <c r="A268" t="s">
        <v>304</v>
      </c>
      <c r="B268" s="1">
        <v>45850.016319444447</v>
      </c>
      <c r="C268" t="s">
        <v>15</v>
      </c>
      <c r="D268" t="s">
        <v>10</v>
      </c>
      <c r="E268" t="s">
        <v>11</v>
      </c>
      <c r="F268" t="s">
        <v>12</v>
      </c>
      <c r="G268" s="5">
        <v>0.08</v>
      </c>
      <c r="H268" t="b">
        <f>COUNTIFS(OrderLines[OrderID],Orders[[#This Row],[OrderID]],OrderLines[Category],"Beverage")&gt;0</f>
        <v>1</v>
      </c>
      <c r="I268">
        <f>SUMIFS(OrderLines[Revenue],OrderLines[OrderID],Orders[[#This Row],[OrderID]])</f>
        <v>532.77200000000005</v>
      </c>
      <c r="J268" t="str">
        <f>IF(AND(COUNTIFS(OrderLines[OrderID],Orders[[#This Row],[OrderID]],OrderLines[Category],"Hot Meal")&gt;0,COUNTIFS(OrderLines[OrderID],Orders[[#This Row],[OrderID]],OrderLines[Category],"Beverage")&gt;0),"Combo","Single")</f>
        <v>Combo</v>
      </c>
      <c r="K268" s="17" t="str">
        <f>IF(SUMPRODUCT((OrderLines[OrderID]=Orders[[#This Row],[OrderID]])*OrderLines[Qty]*OrderLines[UnitPrice])*Orders[[#This Row],[DiscountPct]]&gt;40,"HighDisc","OK")</f>
        <v>HighDisc</v>
      </c>
      <c r="L268" s="11">
        <f>SUMIFS(OrderLines[Revenue],OrderLines[OrderID],Orders[[#This Row],[OrderID]])-SUMIFS(OrderLines[FoodCost],OrderLines[OrderID],Orders[[#This Row],[OrderID]])</f>
        <v>274.80200000000002</v>
      </c>
      <c r="M268" s="5">
        <f>Orders[[#This Row],[GrossProfit]]/Orders[[#This Row],[OrderTotal]]</f>
        <v>0.51579662594881115</v>
      </c>
      <c r="N268" s="17" t="b">
        <f>COUNTIFS(OrderLines[OrderID],Orders[[#This Row],[OrderID]],OrderLines[Category],"Hot Meal")&gt;0</f>
        <v>1</v>
      </c>
      <c r="O268" s="17" t="b">
        <f>COUNTIFS(OrderLines[OrderID],Orders[[#This Row],[OrderID]],OrderLines[Category],"Snack")&gt;0</f>
        <v>0</v>
      </c>
      <c r="P268" s="17" t="b">
        <f>COUNTIFS(OrderLines[OrderID],Orders[[#This Row],[OrderID]],OrderLines[Category],"Dessert")&gt;0</f>
        <v>0</v>
      </c>
      <c r="Q268" s="11">
        <f>Orders[[#This Row],[OrderTotal]]-Orders[[#This Row],[GrossProfit]]</f>
        <v>257.97000000000003</v>
      </c>
    </row>
    <row r="269" spans="1:17" x14ac:dyDescent="0.25">
      <c r="A269" t="s">
        <v>305</v>
      </c>
      <c r="B269" s="1">
        <v>45890.410219907397</v>
      </c>
      <c r="C269" t="s">
        <v>9</v>
      </c>
      <c r="D269" t="s">
        <v>16</v>
      </c>
      <c r="E269" t="s">
        <v>17</v>
      </c>
      <c r="F269" t="s">
        <v>12</v>
      </c>
      <c r="G269" s="5">
        <v>0.05</v>
      </c>
      <c r="H269" t="b">
        <f>COUNTIFS(OrderLines[OrderID],Orders[[#This Row],[OrderID]],OrderLines[Category],"Beverage")&gt;0</f>
        <v>0</v>
      </c>
      <c r="I269">
        <f>SUMIFS(OrderLines[Revenue],OrderLines[OrderID],Orders[[#This Row],[OrderID]])</f>
        <v>942.52350000000001</v>
      </c>
      <c r="J269" t="str">
        <f>IF(AND(COUNTIFS(OrderLines[OrderID],Orders[[#This Row],[OrderID]],OrderLines[Category],"Hot Meal")&gt;0,COUNTIFS(OrderLines[OrderID],Orders[[#This Row],[OrderID]],OrderLines[Category],"Beverage")&gt;0),"Combo","Single")</f>
        <v>Single</v>
      </c>
      <c r="K269" s="17" t="str">
        <f>IF(SUMPRODUCT((OrderLines[OrderID]=Orders[[#This Row],[OrderID]])*OrderLines[Qty]*OrderLines[UnitPrice])*Orders[[#This Row],[DiscountPct]]&gt;40,"HighDisc","OK")</f>
        <v>HighDisc</v>
      </c>
      <c r="L269" s="11">
        <f>SUMIFS(OrderLines[Revenue],OrderLines[OrderID],Orders[[#This Row],[OrderID]])-SUMIFS(OrderLines[FoodCost],OrderLines[OrderID],Orders[[#This Row],[OrderID]])</f>
        <v>468.77350000000001</v>
      </c>
      <c r="M269" s="5">
        <f>Orders[[#This Row],[GrossProfit]]/Orders[[#This Row],[OrderTotal]]</f>
        <v>0.49736001277421732</v>
      </c>
      <c r="N269" s="17" t="b">
        <f>COUNTIFS(OrderLines[OrderID],Orders[[#This Row],[OrderID]],OrderLines[Category],"Hot Meal")&gt;0</f>
        <v>1</v>
      </c>
      <c r="O269" s="17" t="b">
        <f>COUNTIFS(OrderLines[OrderID],Orders[[#This Row],[OrderID]],OrderLines[Category],"Snack")&gt;0</f>
        <v>1</v>
      </c>
      <c r="P269" s="17" t="b">
        <f>COUNTIFS(OrderLines[OrderID],Orders[[#This Row],[OrderID]],OrderLines[Category],"Dessert")&gt;0</f>
        <v>1</v>
      </c>
      <c r="Q269" s="11">
        <f>Orders[[#This Row],[OrderTotal]]-Orders[[#This Row],[GrossProfit]]</f>
        <v>473.75</v>
      </c>
    </row>
    <row r="270" spans="1:17" x14ac:dyDescent="0.25">
      <c r="A270" t="s">
        <v>306</v>
      </c>
      <c r="B270" s="1">
        <v>45877.626261574071</v>
      </c>
      <c r="C270" t="s">
        <v>9</v>
      </c>
      <c r="D270" t="s">
        <v>28</v>
      </c>
      <c r="E270" t="s">
        <v>17</v>
      </c>
      <c r="F270" t="s">
        <v>22</v>
      </c>
      <c r="G270" s="5">
        <v>0.05</v>
      </c>
      <c r="H270" t="b">
        <f>COUNTIFS(OrderLines[OrderID],Orders[[#This Row],[OrderID]],OrderLines[Category],"Beverage")&gt;0</f>
        <v>1</v>
      </c>
      <c r="I270">
        <f>SUMIFS(OrderLines[Revenue],OrderLines[OrderID],Orders[[#This Row],[OrderID]])</f>
        <v>1109.4575</v>
      </c>
      <c r="J270" t="str">
        <f>IF(AND(COUNTIFS(OrderLines[OrderID],Orders[[#This Row],[OrderID]],OrderLines[Category],"Hot Meal")&gt;0,COUNTIFS(OrderLines[OrderID],Orders[[#This Row],[OrderID]],OrderLines[Category],"Beverage")&gt;0),"Combo","Single")</f>
        <v>Combo</v>
      </c>
      <c r="K270" s="17" t="str">
        <f>IF(SUMPRODUCT((OrderLines[OrderID]=Orders[[#This Row],[OrderID]])*OrderLines[Qty]*OrderLines[UnitPrice])*Orders[[#This Row],[DiscountPct]]&gt;40,"HighDisc","OK")</f>
        <v>HighDisc</v>
      </c>
      <c r="L270" s="11">
        <f>SUMIFS(OrderLines[Revenue],OrderLines[OrderID],Orders[[#This Row],[OrderID]])-SUMIFS(OrderLines[FoodCost],OrderLines[OrderID],Orders[[#This Row],[OrderID]])</f>
        <v>564.00750000000005</v>
      </c>
      <c r="M270" s="5">
        <f>Orders[[#This Row],[GrossProfit]]/Orders[[#This Row],[OrderTotal]]</f>
        <v>0.50836332171354026</v>
      </c>
      <c r="N270" s="17" t="b">
        <f>COUNTIFS(OrderLines[OrderID],Orders[[#This Row],[OrderID]],OrderLines[Category],"Hot Meal")&gt;0</f>
        <v>1</v>
      </c>
      <c r="O270" s="17" t="b">
        <f>COUNTIFS(OrderLines[OrderID],Orders[[#This Row],[OrderID]],OrderLines[Category],"Snack")&gt;0</f>
        <v>1</v>
      </c>
      <c r="P270" s="17" t="b">
        <f>COUNTIFS(OrderLines[OrderID],Orders[[#This Row],[OrderID]],OrderLines[Category],"Dessert")&gt;0</f>
        <v>0</v>
      </c>
      <c r="Q270" s="11">
        <f>Orders[[#This Row],[OrderTotal]]-Orders[[#This Row],[GrossProfit]]</f>
        <v>545.44999999999993</v>
      </c>
    </row>
    <row r="271" spans="1:17" x14ac:dyDescent="0.25">
      <c r="A271" t="s">
        <v>307</v>
      </c>
      <c r="B271" s="1">
        <v>45868.514907407407</v>
      </c>
      <c r="C271" t="s">
        <v>27</v>
      </c>
      <c r="D271" t="s">
        <v>28</v>
      </c>
      <c r="E271" t="s">
        <v>21</v>
      </c>
      <c r="F271" t="s">
        <v>22</v>
      </c>
      <c r="G271" s="5">
        <v>0.1</v>
      </c>
      <c r="H271" t="b">
        <f>COUNTIFS(OrderLines[OrderID],Orders[[#This Row],[OrderID]],OrderLines[Category],"Beverage")&gt;0</f>
        <v>0</v>
      </c>
      <c r="I271">
        <f>SUMIFS(OrderLines[Revenue],OrderLines[OrderID],Orders[[#This Row],[OrderID]])</f>
        <v>1485.0719999999999</v>
      </c>
      <c r="J271" t="str">
        <f>IF(AND(COUNTIFS(OrderLines[OrderID],Orders[[#This Row],[OrderID]],OrderLines[Category],"Hot Meal")&gt;0,COUNTIFS(OrderLines[OrderID],Orders[[#This Row],[OrderID]],OrderLines[Category],"Beverage")&gt;0),"Combo","Single")</f>
        <v>Single</v>
      </c>
      <c r="K271" s="17" t="str">
        <f>IF(SUMPRODUCT((OrderLines[OrderID]=Orders[[#This Row],[OrderID]])*OrderLines[Qty]*OrderLines[UnitPrice])*Orders[[#This Row],[DiscountPct]]&gt;40,"HighDisc","OK")</f>
        <v>HighDisc</v>
      </c>
      <c r="L271" s="11">
        <f>SUMIFS(OrderLines[Revenue],OrderLines[OrderID],Orders[[#This Row],[OrderID]])-SUMIFS(OrderLines[FoodCost],OrderLines[OrderID],Orders[[#This Row],[OrderID]])</f>
        <v>713.49199999999985</v>
      </c>
      <c r="M271" s="5">
        <f>Orders[[#This Row],[GrossProfit]]/Orders[[#This Row],[OrderTotal]]</f>
        <v>0.48044269907452292</v>
      </c>
      <c r="N271" s="17" t="b">
        <f>COUNTIFS(OrderLines[OrderID],Orders[[#This Row],[OrderID]],OrderLines[Category],"Hot Meal")&gt;0</f>
        <v>1</v>
      </c>
      <c r="O271" s="17" t="b">
        <f>COUNTIFS(OrderLines[OrderID],Orders[[#This Row],[OrderID]],OrderLines[Category],"Snack")&gt;0</f>
        <v>1</v>
      </c>
      <c r="P271" s="17" t="b">
        <f>COUNTIFS(OrderLines[OrderID],Orders[[#This Row],[OrderID]],OrderLines[Category],"Dessert")&gt;0</f>
        <v>0</v>
      </c>
      <c r="Q271" s="11">
        <f>Orders[[#This Row],[OrderTotal]]-Orders[[#This Row],[GrossProfit]]</f>
        <v>771.58</v>
      </c>
    </row>
    <row r="272" spans="1:17" x14ac:dyDescent="0.25">
      <c r="A272" t="s">
        <v>308</v>
      </c>
      <c r="B272" s="1">
        <v>45871.107511574082</v>
      </c>
      <c r="C272" t="s">
        <v>27</v>
      </c>
      <c r="D272" t="s">
        <v>28</v>
      </c>
      <c r="E272" t="s">
        <v>21</v>
      </c>
      <c r="F272" t="s">
        <v>12</v>
      </c>
      <c r="G272" s="5">
        <v>0.09</v>
      </c>
      <c r="H272" t="b">
        <f>COUNTIFS(OrderLines[OrderID],Orders[[#This Row],[OrderID]],OrderLines[Category],"Beverage")&gt;0</f>
        <v>1</v>
      </c>
      <c r="I272">
        <f>SUMIFS(OrderLines[Revenue],OrderLines[OrderID],Orders[[#This Row],[OrderID]])</f>
        <v>139.18450000000001</v>
      </c>
      <c r="J272" t="str">
        <f>IF(AND(COUNTIFS(OrderLines[OrderID],Orders[[#This Row],[OrderID]],OrderLines[Category],"Hot Meal")&gt;0,COUNTIFS(OrderLines[OrderID],Orders[[#This Row],[OrderID]],OrderLines[Category],"Beverage")&gt;0),"Combo","Single")</f>
        <v>Single</v>
      </c>
      <c r="K272" s="17" t="str">
        <f>IF(SUMPRODUCT((OrderLines[OrderID]=Orders[[#This Row],[OrderID]])*OrderLines[Qty]*OrderLines[UnitPrice])*Orders[[#This Row],[DiscountPct]]&gt;40,"HighDisc","OK")</f>
        <v>OK</v>
      </c>
      <c r="L272" s="11">
        <f>SUMIFS(OrderLines[Revenue],OrderLines[OrderID],Orders[[#This Row],[OrderID]])-SUMIFS(OrderLines[FoodCost],OrderLines[OrderID],Orders[[#This Row],[OrderID]])</f>
        <v>69.624500000000012</v>
      </c>
      <c r="M272" s="5">
        <f>Orders[[#This Row],[GrossProfit]]/Orders[[#This Row],[OrderTotal]]</f>
        <v>0.50023170683517204</v>
      </c>
      <c r="N272" s="17" t="b">
        <f>COUNTIFS(OrderLines[OrderID],Orders[[#This Row],[OrderID]],OrderLines[Category],"Hot Meal")&gt;0</f>
        <v>0</v>
      </c>
      <c r="O272" s="17" t="b">
        <f>COUNTIFS(OrderLines[OrderID],Orders[[#This Row],[OrderID]],OrderLines[Category],"Snack")&gt;0</f>
        <v>0</v>
      </c>
      <c r="P272" s="17" t="b">
        <f>COUNTIFS(OrderLines[OrderID],Orders[[#This Row],[OrderID]],OrderLines[Category],"Dessert")&gt;0</f>
        <v>1</v>
      </c>
      <c r="Q272" s="11">
        <f>Orders[[#This Row],[OrderTotal]]-Orders[[#This Row],[GrossProfit]]</f>
        <v>69.56</v>
      </c>
    </row>
    <row r="273" spans="1:17" x14ac:dyDescent="0.25">
      <c r="A273" t="s">
        <v>309</v>
      </c>
      <c r="B273" s="1">
        <v>45856.308263888888</v>
      </c>
      <c r="C273" t="s">
        <v>27</v>
      </c>
      <c r="D273" t="s">
        <v>16</v>
      </c>
      <c r="E273" t="s">
        <v>11</v>
      </c>
      <c r="F273" t="s">
        <v>12</v>
      </c>
      <c r="G273" s="5">
        <v>0.09</v>
      </c>
      <c r="H273" t="b">
        <f>COUNTIFS(OrderLines[OrderID],Orders[[#This Row],[OrderID]],OrderLines[Category],"Beverage")&gt;0</f>
        <v>1</v>
      </c>
      <c r="I273">
        <f>SUMIFS(OrderLines[Revenue],OrderLines[OrderID],Orders[[#This Row],[OrderID]])</f>
        <v>228.46460000000002</v>
      </c>
      <c r="J273" t="str">
        <f>IF(AND(COUNTIFS(OrderLines[OrderID],Orders[[#This Row],[OrderID]],OrderLines[Category],"Hot Meal")&gt;0,COUNTIFS(OrderLines[OrderID],Orders[[#This Row],[OrderID]],OrderLines[Category],"Beverage")&gt;0),"Combo","Single")</f>
        <v>Combo</v>
      </c>
      <c r="K273" s="17" t="str">
        <f>IF(SUMPRODUCT((OrderLines[OrderID]=Orders[[#This Row],[OrderID]])*OrderLines[Qty]*OrderLines[UnitPrice])*Orders[[#This Row],[DiscountPct]]&gt;40,"HighDisc","OK")</f>
        <v>OK</v>
      </c>
      <c r="L273" s="11">
        <f>SUMIFS(OrderLines[Revenue],OrderLines[OrderID],Orders[[#This Row],[OrderID]])-SUMIFS(OrderLines[FoodCost],OrderLines[OrderID],Orders[[#This Row],[OrderID]])</f>
        <v>99.854600000000005</v>
      </c>
      <c r="M273" s="5">
        <f>Orders[[#This Row],[GrossProfit]]/Orders[[#This Row],[OrderTotal]]</f>
        <v>0.43706814972647839</v>
      </c>
      <c r="N273" s="17" t="b">
        <f>COUNTIFS(OrderLines[OrderID],Orders[[#This Row],[OrderID]],OrderLines[Category],"Hot Meal")&gt;0</f>
        <v>1</v>
      </c>
      <c r="O273" s="17" t="b">
        <f>COUNTIFS(OrderLines[OrderID],Orders[[#This Row],[OrderID]],OrderLines[Category],"Snack")&gt;0</f>
        <v>1</v>
      </c>
      <c r="P273" s="17" t="b">
        <f>COUNTIFS(OrderLines[OrderID],Orders[[#This Row],[OrderID]],OrderLines[Category],"Dessert")&gt;0</f>
        <v>0</v>
      </c>
      <c r="Q273" s="11">
        <f>Orders[[#This Row],[OrderTotal]]-Orders[[#This Row],[GrossProfit]]</f>
        <v>128.61000000000001</v>
      </c>
    </row>
    <row r="274" spans="1:17" x14ac:dyDescent="0.25">
      <c r="A274" t="s">
        <v>310</v>
      </c>
      <c r="B274" s="1">
        <v>45887.820648148147</v>
      </c>
      <c r="C274" t="s">
        <v>9</v>
      </c>
      <c r="D274" t="s">
        <v>10</v>
      </c>
      <c r="E274" t="s">
        <v>21</v>
      </c>
      <c r="F274" t="s">
        <v>18</v>
      </c>
      <c r="G274" s="5">
        <v>0.11</v>
      </c>
      <c r="H274" t="b">
        <f>COUNTIFS(OrderLines[OrderID],Orders[[#This Row],[OrderID]],OrderLines[Category],"Beverage")&gt;0</f>
        <v>0</v>
      </c>
      <c r="I274">
        <f>SUMIFS(OrderLines[Revenue],OrderLines[OrderID],Orders[[#This Row],[OrderID]])</f>
        <v>311.85599999999999</v>
      </c>
      <c r="J274" t="str">
        <f>IF(AND(COUNTIFS(OrderLines[OrderID],Orders[[#This Row],[OrderID]],OrderLines[Category],"Hot Meal")&gt;0,COUNTIFS(OrderLines[OrderID],Orders[[#This Row],[OrderID]],OrderLines[Category],"Beverage")&gt;0),"Combo","Single")</f>
        <v>Single</v>
      </c>
      <c r="K274" s="17" t="str">
        <f>IF(SUMPRODUCT((OrderLines[OrderID]=Orders[[#This Row],[OrderID]])*OrderLines[Qty]*OrderLines[UnitPrice])*Orders[[#This Row],[DiscountPct]]&gt;40,"HighDisc","OK")</f>
        <v>OK</v>
      </c>
      <c r="L274" s="11">
        <f>SUMIFS(OrderLines[Revenue],OrderLines[OrderID],Orders[[#This Row],[OrderID]])-SUMIFS(OrderLines[FoodCost],OrderLines[OrderID],Orders[[#This Row],[OrderID]])</f>
        <v>164.946</v>
      </c>
      <c r="M274" s="5">
        <f>Orders[[#This Row],[GrossProfit]]/Orders[[#This Row],[OrderTotal]]</f>
        <v>0.52891719255040792</v>
      </c>
      <c r="N274" s="17" t="b">
        <f>COUNTIFS(OrderLines[OrderID],Orders[[#This Row],[OrderID]],OrderLines[Category],"Hot Meal")&gt;0</f>
        <v>0</v>
      </c>
      <c r="O274" s="17" t="b">
        <f>COUNTIFS(OrderLines[OrderID],Orders[[#This Row],[OrderID]],OrderLines[Category],"Snack")&gt;0</f>
        <v>0</v>
      </c>
      <c r="P274" s="17" t="b">
        <f>COUNTIFS(OrderLines[OrderID],Orders[[#This Row],[OrderID]],OrderLines[Category],"Dessert")&gt;0</f>
        <v>1</v>
      </c>
      <c r="Q274" s="11">
        <f>Orders[[#This Row],[OrderTotal]]-Orders[[#This Row],[GrossProfit]]</f>
        <v>146.91</v>
      </c>
    </row>
    <row r="275" spans="1:17" x14ac:dyDescent="0.25">
      <c r="A275" t="s">
        <v>311</v>
      </c>
      <c r="B275" s="1">
        <v>45877.801782407398</v>
      </c>
      <c r="C275" t="s">
        <v>9</v>
      </c>
      <c r="D275" t="s">
        <v>28</v>
      </c>
      <c r="E275" t="s">
        <v>21</v>
      </c>
      <c r="F275" t="s">
        <v>18</v>
      </c>
      <c r="G275" s="5">
        <v>0.06</v>
      </c>
      <c r="H275" t="b">
        <f>COUNTIFS(OrderLines[OrderID],Orders[[#This Row],[OrderID]],OrderLines[Category],"Beverage")&gt;0</f>
        <v>1</v>
      </c>
      <c r="I275">
        <f>SUMIFS(OrderLines[Revenue],OrderLines[OrderID],Orders[[#This Row],[OrderID]])</f>
        <v>633.99240000000009</v>
      </c>
      <c r="J275" t="str">
        <f>IF(AND(COUNTIFS(OrderLines[OrderID],Orders[[#This Row],[OrderID]],OrderLines[Category],"Hot Meal")&gt;0,COUNTIFS(OrderLines[OrderID],Orders[[#This Row],[OrderID]],OrderLines[Category],"Beverage")&gt;0),"Combo","Single")</f>
        <v>Combo</v>
      </c>
      <c r="K275" s="17" t="str">
        <f>IF(SUMPRODUCT((OrderLines[OrderID]=Orders[[#This Row],[OrderID]])*OrderLines[Qty]*OrderLines[UnitPrice])*Orders[[#This Row],[DiscountPct]]&gt;40,"HighDisc","OK")</f>
        <v>HighDisc</v>
      </c>
      <c r="L275" s="11">
        <f>SUMIFS(OrderLines[Revenue],OrderLines[OrderID],Orders[[#This Row],[OrderID]])-SUMIFS(OrderLines[FoodCost],OrderLines[OrderID],Orders[[#This Row],[OrderID]])</f>
        <v>317.36240000000009</v>
      </c>
      <c r="M275" s="5">
        <f>Orders[[#This Row],[GrossProfit]]/Orders[[#This Row],[OrderTotal]]</f>
        <v>0.50057760944768426</v>
      </c>
      <c r="N275" s="17" t="b">
        <f>COUNTIFS(OrderLines[OrderID],Orders[[#This Row],[OrderID]],OrderLines[Category],"Hot Meal")&gt;0</f>
        <v>1</v>
      </c>
      <c r="O275" s="17" t="b">
        <f>COUNTIFS(OrderLines[OrderID],Orders[[#This Row],[OrderID]],OrderLines[Category],"Snack")&gt;0</f>
        <v>1</v>
      </c>
      <c r="P275" s="17" t="b">
        <f>COUNTIFS(OrderLines[OrderID],Orders[[#This Row],[OrderID]],OrderLines[Category],"Dessert")&gt;0</f>
        <v>0</v>
      </c>
      <c r="Q275" s="11">
        <f>Orders[[#This Row],[OrderTotal]]-Orders[[#This Row],[GrossProfit]]</f>
        <v>316.63</v>
      </c>
    </row>
    <row r="276" spans="1:17" x14ac:dyDescent="0.25">
      <c r="A276" t="s">
        <v>312</v>
      </c>
      <c r="B276" s="1">
        <v>45883.887708333343</v>
      </c>
      <c r="C276" t="s">
        <v>27</v>
      </c>
      <c r="D276" t="s">
        <v>16</v>
      </c>
      <c r="E276" t="s">
        <v>11</v>
      </c>
      <c r="F276" t="s">
        <v>18</v>
      </c>
      <c r="G276" s="5">
        <v>0.09</v>
      </c>
      <c r="H276" t="b">
        <f>COUNTIFS(OrderLines[OrderID],Orders[[#This Row],[OrderID]],OrderLines[Category],"Beverage")&gt;0</f>
        <v>1</v>
      </c>
      <c r="I276">
        <f>SUMIFS(OrderLines[Revenue],OrderLines[OrderID],Orders[[#This Row],[OrderID]])</f>
        <v>822.01210000000003</v>
      </c>
      <c r="J276" t="str">
        <f>IF(AND(COUNTIFS(OrderLines[OrderID],Orders[[#This Row],[OrderID]],OrderLines[Category],"Hot Meal")&gt;0,COUNTIFS(OrderLines[OrderID],Orders[[#This Row],[OrderID]],OrderLines[Category],"Beverage")&gt;0),"Combo","Single")</f>
        <v>Combo</v>
      </c>
      <c r="K276" s="17" t="str">
        <f>IF(SUMPRODUCT((OrderLines[OrderID]=Orders[[#This Row],[OrderID]])*OrderLines[Qty]*OrderLines[UnitPrice])*Orders[[#This Row],[DiscountPct]]&gt;40,"HighDisc","OK")</f>
        <v>HighDisc</v>
      </c>
      <c r="L276" s="11">
        <f>SUMIFS(OrderLines[Revenue],OrderLines[OrderID],Orders[[#This Row],[OrderID]])-SUMIFS(OrderLines[FoodCost],OrderLines[OrderID],Orders[[#This Row],[OrderID]])</f>
        <v>430.77210000000008</v>
      </c>
      <c r="M276" s="5">
        <f>Orders[[#This Row],[GrossProfit]]/Orders[[#This Row],[OrderTotal]]</f>
        <v>0.52404593557686086</v>
      </c>
      <c r="N276" s="17" t="b">
        <f>COUNTIFS(OrderLines[OrderID],Orders[[#This Row],[OrderID]],OrderLines[Category],"Hot Meal")&gt;0</f>
        <v>1</v>
      </c>
      <c r="O276" s="17" t="b">
        <f>COUNTIFS(OrderLines[OrderID],Orders[[#This Row],[OrderID]],OrderLines[Category],"Snack")&gt;0</f>
        <v>1</v>
      </c>
      <c r="P276" s="17" t="b">
        <f>COUNTIFS(OrderLines[OrderID],Orders[[#This Row],[OrderID]],OrderLines[Category],"Dessert")&gt;0</f>
        <v>1</v>
      </c>
      <c r="Q276" s="11">
        <f>Orders[[#This Row],[OrderTotal]]-Orders[[#This Row],[GrossProfit]]</f>
        <v>391.23999999999995</v>
      </c>
    </row>
    <row r="277" spans="1:17" x14ac:dyDescent="0.25">
      <c r="A277" t="s">
        <v>313</v>
      </c>
      <c r="B277" s="1">
        <v>45894.921585648153</v>
      </c>
      <c r="C277" t="s">
        <v>15</v>
      </c>
      <c r="D277" t="s">
        <v>10</v>
      </c>
      <c r="E277" t="s">
        <v>11</v>
      </c>
      <c r="F277" t="s">
        <v>18</v>
      </c>
      <c r="G277" s="5">
        <v>0.05</v>
      </c>
      <c r="H277" t="b">
        <f>COUNTIFS(OrderLines[OrderID],Orders[[#This Row],[OrderID]],OrderLines[Category],"Beverage")&gt;0</f>
        <v>1</v>
      </c>
      <c r="I277">
        <f>SUMIFS(OrderLines[Revenue],OrderLines[OrderID],Orders[[#This Row],[OrderID]])</f>
        <v>407.24599999999992</v>
      </c>
      <c r="J277" t="str">
        <f>IF(AND(COUNTIFS(OrderLines[OrderID],Orders[[#This Row],[OrderID]],OrderLines[Category],"Hot Meal")&gt;0,COUNTIFS(OrderLines[OrderID],Orders[[#This Row],[OrderID]],OrderLines[Category],"Beverage")&gt;0),"Combo","Single")</f>
        <v>Single</v>
      </c>
      <c r="K277" s="17" t="str">
        <f>IF(SUMPRODUCT((OrderLines[OrderID]=Orders[[#This Row],[OrderID]])*OrderLines[Qty]*OrderLines[UnitPrice])*Orders[[#This Row],[DiscountPct]]&gt;40,"HighDisc","OK")</f>
        <v>OK</v>
      </c>
      <c r="L277" s="11">
        <f>SUMIFS(OrderLines[Revenue],OrderLines[OrderID],Orders[[#This Row],[OrderID]])-SUMIFS(OrderLines[FoodCost],OrderLines[OrderID],Orders[[#This Row],[OrderID]])</f>
        <v>224.78599999999994</v>
      </c>
      <c r="M277" s="5">
        <f>Orders[[#This Row],[GrossProfit]]/Orders[[#This Row],[OrderTotal]]</f>
        <v>0.55196613349179613</v>
      </c>
      <c r="N277" s="17" t="b">
        <f>COUNTIFS(OrderLines[OrderID],Orders[[#This Row],[OrderID]],OrderLines[Category],"Hot Meal")&gt;0</f>
        <v>0</v>
      </c>
      <c r="O277" s="17" t="b">
        <f>COUNTIFS(OrderLines[OrderID],Orders[[#This Row],[OrderID]],OrderLines[Category],"Snack")&gt;0</f>
        <v>1</v>
      </c>
      <c r="P277" s="17" t="b">
        <f>COUNTIFS(OrderLines[OrderID],Orders[[#This Row],[OrderID]],OrderLines[Category],"Dessert")&gt;0</f>
        <v>1</v>
      </c>
      <c r="Q277" s="11">
        <f>Orders[[#This Row],[OrderTotal]]-Orders[[#This Row],[GrossProfit]]</f>
        <v>182.45999999999998</v>
      </c>
    </row>
    <row r="278" spans="1:17" x14ac:dyDescent="0.25">
      <c r="A278" t="s">
        <v>314</v>
      </c>
      <c r="B278" s="1">
        <v>45867.359131944453</v>
      </c>
      <c r="C278" t="s">
        <v>27</v>
      </c>
      <c r="D278" t="s">
        <v>16</v>
      </c>
      <c r="E278" t="s">
        <v>17</v>
      </c>
      <c r="F278" t="s">
        <v>12</v>
      </c>
      <c r="G278" s="5">
        <v>7.0000000000000007E-2</v>
      </c>
      <c r="H278" t="b">
        <f>COUNTIFS(OrderLines[OrderID],Orders[[#This Row],[OrderID]],OrderLines[Category],"Beverage")&gt;0</f>
        <v>0</v>
      </c>
      <c r="I278">
        <f>SUMIFS(OrderLines[Revenue],OrderLines[OrderID],Orders[[#This Row],[OrderID]])</f>
        <v>72.549300000000002</v>
      </c>
      <c r="J278" t="str">
        <f>IF(AND(COUNTIFS(OrderLines[OrderID],Orders[[#This Row],[OrderID]],OrderLines[Category],"Hot Meal")&gt;0,COUNTIFS(OrderLines[OrderID],Orders[[#This Row],[OrderID]],OrderLines[Category],"Beverage")&gt;0),"Combo","Single")</f>
        <v>Single</v>
      </c>
      <c r="K278" s="17" t="str">
        <f>IF(SUMPRODUCT((OrderLines[OrderID]=Orders[[#This Row],[OrderID]])*OrderLines[Qty]*OrderLines[UnitPrice])*Orders[[#This Row],[DiscountPct]]&gt;40,"HighDisc","OK")</f>
        <v>OK</v>
      </c>
      <c r="L278" s="11">
        <f>SUMIFS(OrderLines[Revenue],OrderLines[OrderID],Orders[[#This Row],[OrderID]])-SUMIFS(OrderLines[FoodCost],OrderLines[OrderID],Orders[[#This Row],[OrderID]])</f>
        <v>37.4893</v>
      </c>
      <c r="M278" s="5">
        <f>Orders[[#This Row],[GrossProfit]]/Orders[[#This Row],[OrderTotal]]</f>
        <v>0.51674240826582751</v>
      </c>
      <c r="N278" s="17" t="b">
        <f>COUNTIFS(OrderLines[OrderID],Orders[[#This Row],[OrderID]],OrderLines[Category],"Hot Meal")&gt;0</f>
        <v>0</v>
      </c>
      <c r="O278" s="17" t="b">
        <f>COUNTIFS(OrderLines[OrderID],Orders[[#This Row],[OrderID]],OrderLines[Category],"Snack")&gt;0</f>
        <v>1</v>
      </c>
      <c r="P278" s="17" t="b">
        <f>COUNTIFS(OrderLines[OrderID],Orders[[#This Row],[OrderID]],OrderLines[Category],"Dessert")&gt;0</f>
        <v>0</v>
      </c>
      <c r="Q278" s="11">
        <f>Orders[[#This Row],[OrderTotal]]-Orders[[#This Row],[GrossProfit]]</f>
        <v>35.06</v>
      </c>
    </row>
    <row r="279" spans="1:17" x14ac:dyDescent="0.25">
      <c r="A279" t="s">
        <v>315</v>
      </c>
      <c r="B279" s="1">
        <v>45855.937222222223</v>
      </c>
      <c r="C279" t="s">
        <v>9</v>
      </c>
      <c r="D279" t="s">
        <v>16</v>
      </c>
      <c r="E279" t="s">
        <v>11</v>
      </c>
      <c r="F279" t="s">
        <v>18</v>
      </c>
      <c r="G279" s="5">
        <v>0.05</v>
      </c>
      <c r="H279" t="b">
        <f>COUNTIFS(OrderLines[OrderID],Orders[[#This Row],[OrderID]],OrderLines[Category],"Beverage")&gt;0</f>
        <v>1</v>
      </c>
      <c r="I279">
        <f>SUMIFS(OrderLines[Revenue],OrderLines[OrderID],Orders[[#This Row],[OrderID]])</f>
        <v>413.03149999999999</v>
      </c>
      <c r="J279" t="str">
        <f>IF(AND(COUNTIFS(OrderLines[OrderID],Orders[[#This Row],[OrderID]],OrderLines[Category],"Hot Meal")&gt;0,COUNTIFS(OrderLines[OrderID],Orders[[#This Row],[OrderID]],OrderLines[Category],"Beverage")&gt;0),"Combo","Single")</f>
        <v>Combo</v>
      </c>
      <c r="K279" s="17" t="str">
        <f>IF(SUMPRODUCT((OrderLines[OrderID]=Orders[[#This Row],[OrderID]])*OrderLines[Qty]*OrderLines[UnitPrice])*Orders[[#This Row],[DiscountPct]]&gt;40,"HighDisc","OK")</f>
        <v>OK</v>
      </c>
      <c r="L279" s="11">
        <f>SUMIFS(OrderLines[Revenue],OrderLines[OrderID],Orders[[#This Row],[OrderID]])-SUMIFS(OrderLines[FoodCost],OrderLines[OrderID],Orders[[#This Row],[OrderID]])</f>
        <v>226.8415</v>
      </c>
      <c r="M279" s="5">
        <f>Orders[[#This Row],[GrossProfit]]/Orders[[#This Row],[OrderTotal]]</f>
        <v>0.54921113764930762</v>
      </c>
      <c r="N279" s="17" t="b">
        <f>COUNTIFS(OrderLines[OrderID],Orders[[#This Row],[OrderID]],OrderLines[Category],"Hot Meal")&gt;0</f>
        <v>1</v>
      </c>
      <c r="O279" s="17" t="b">
        <f>COUNTIFS(OrderLines[OrderID],Orders[[#This Row],[OrderID]],OrderLines[Category],"Snack")&gt;0</f>
        <v>0</v>
      </c>
      <c r="P279" s="17" t="b">
        <f>COUNTIFS(OrderLines[OrderID],Orders[[#This Row],[OrderID]],OrderLines[Category],"Dessert")&gt;0</f>
        <v>1</v>
      </c>
      <c r="Q279" s="11">
        <f>Orders[[#This Row],[OrderTotal]]-Orders[[#This Row],[GrossProfit]]</f>
        <v>186.19</v>
      </c>
    </row>
    <row r="280" spans="1:17" x14ac:dyDescent="0.25">
      <c r="A280" t="s">
        <v>316</v>
      </c>
      <c r="B280" s="1">
        <v>45847.806562500002</v>
      </c>
      <c r="C280" t="s">
        <v>15</v>
      </c>
      <c r="D280" t="s">
        <v>28</v>
      </c>
      <c r="E280" t="s">
        <v>17</v>
      </c>
      <c r="F280" t="s">
        <v>18</v>
      </c>
      <c r="G280" s="5">
        <v>0.06</v>
      </c>
      <c r="H280" t="b">
        <f>COUNTIFS(OrderLines[OrderID],Orders[[#This Row],[OrderID]],OrderLines[Category],"Beverage")&gt;0</f>
        <v>1</v>
      </c>
      <c r="I280">
        <f>SUMIFS(OrderLines[Revenue],OrderLines[OrderID],Orders[[#This Row],[OrderID]])</f>
        <v>28.519599999999997</v>
      </c>
      <c r="J280" t="str">
        <f>IF(AND(COUNTIFS(OrderLines[OrderID],Orders[[#This Row],[OrderID]],OrderLines[Category],"Hot Meal")&gt;0,COUNTIFS(OrderLines[OrderID],Orders[[#This Row],[OrderID]],OrderLines[Category],"Beverage")&gt;0),"Combo","Single")</f>
        <v>Single</v>
      </c>
      <c r="K280" s="17" t="str">
        <f>IF(SUMPRODUCT((OrderLines[OrderID]=Orders[[#This Row],[OrderID]])*OrderLines[Qty]*OrderLines[UnitPrice])*Orders[[#This Row],[DiscountPct]]&gt;40,"HighDisc","OK")</f>
        <v>OK</v>
      </c>
      <c r="L280" s="11">
        <f>SUMIFS(OrderLines[Revenue],OrderLines[OrderID],Orders[[#This Row],[OrderID]])-SUMIFS(OrderLines[FoodCost],OrderLines[OrderID],Orders[[#This Row],[OrderID]])</f>
        <v>14.339599999999997</v>
      </c>
      <c r="M280" s="5">
        <f>Orders[[#This Row],[GrossProfit]]/Orders[[#This Row],[OrderTotal]]</f>
        <v>0.50279807570933666</v>
      </c>
      <c r="N280" s="17" t="b">
        <f>COUNTIFS(OrderLines[OrderID],Orders[[#This Row],[OrderID]],OrderLines[Category],"Hot Meal")&gt;0</f>
        <v>0</v>
      </c>
      <c r="O280" s="17" t="b">
        <f>COUNTIFS(OrderLines[OrderID],Orders[[#This Row],[OrderID]],OrderLines[Category],"Snack")&gt;0</f>
        <v>0</v>
      </c>
      <c r="P280" s="17" t="b">
        <f>COUNTIFS(OrderLines[OrderID],Orders[[#This Row],[OrderID]],OrderLines[Category],"Dessert")&gt;0</f>
        <v>0</v>
      </c>
      <c r="Q280" s="11">
        <f>Orders[[#This Row],[OrderTotal]]-Orders[[#This Row],[GrossProfit]]</f>
        <v>14.18</v>
      </c>
    </row>
    <row r="281" spans="1:17" x14ac:dyDescent="0.25">
      <c r="A281" t="s">
        <v>317</v>
      </c>
      <c r="B281" s="1">
        <v>45896.423726851863</v>
      </c>
      <c r="C281" t="s">
        <v>15</v>
      </c>
      <c r="D281" t="s">
        <v>10</v>
      </c>
      <c r="E281" t="s">
        <v>17</v>
      </c>
      <c r="F281" t="s">
        <v>12</v>
      </c>
      <c r="G281" s="5">
        <v>0.08</v>
      </c>
      <c r="H281" t="b">
        <f>COUNTIFS(OrderLines[OrderID],Orders[[#This Row],[OrderID]],OrderLines[Category],"Beverage")&gt;0</f>
        <v>1</v>
      </c>
      <c r="I281">
        <f>SUMIFS(OrderLines[Revenue],OrderLines[OrderID],Orders[[#This Row],[OrderID]])</f>
        <v>267.05760000000004</v>
      </c>
      <c r="J281" t="str">
        <f>IF(AND(COUNTIFS(OrderLines[OrderID],Orders[[#This Row],[OrderID]],OrderLines[Category],"Hot Meal")&gt;0,COUNTIFS(OrderLines[OrderID],Orders[[#This Row],[OrderID]],OrderLines[Category],"Beverage")&gt;0),"Combo","Single")</f>
        <v>Combo</v>
      </c>
      <c r="K281" s="17" t="str">
        <f>IF(SUMPRODUCT((OrderLines[OrderID]=Orders[[#This Row],[OrderID]])*OrderLines[Qty]*OrderLines[UnitPrice])*Orders[[#This Row],[DiscountPct]]&gt;40,"HighDisc","OK")</f>
        <v>OK</v>
      </c>
      <c r="L281" s="11">
        <f>SUMIFS(OrderLines[Revenue],OrderLines[OrderID],Orders[[#This Row],[OrderID]])-SUMIFS(OrderLines[FoodCost],OrderLines[OrderID],Orders[[#This Row],[OrderID]])</f>
        <v>136.55760000000004</v>
      </c>
      <c r="M281" s="5">
        <f>Orders[[#This Row],[GrossProfit]]/Orders[[#This Row],[OrderTotal]]</f>
        <v>0.51134137354638109</v>
      </c>
      <c r="N281" s="17" t="b">
        <f>COUNTIFS(OrderLines[OrderID],Orders[[#This Row],[OrderID]],OrderLines[Category],"Hot Meal")&gt;0</f>
        <v>1</v>
      </c>
      <c r="O281" s="17" t="b">
        <f>COUNTIFS(OrderLines[OrderID],Orders[[#This Row],[OrderID]],OrderLines[Category],"Snack")&gt;0</f>
        <v>0</v>
      </c>
      <c r="P281" s="17" t="b">
        <f>COUNTIFS(OrderLines[OrderID],Orders[[#This Row],[OrderID]],OrderLines[Category],"Dessert")&gt;0</f>
        <v>0</v>
      </c>
      <c r="Q281" s="11">
        <f>Orders[[#This Row],[OrderTotal]]-Orders[[#This Row],[GrossProfit]]</f>
        <v>130.5</v>
      </c>
    </row>
    <row r="282" spans="1:17" x14ac:dyDescent="0.25">
      <c r="A282" t="s">
        <v>318</v>
      </c>
      <c r="B282" s="1">
        <v>45869.374664351853</v>
      </c>
      <c r="C282" t="s">
        <v>9</v>
      </c>
      <c r="D282" t="s">
        <v>16</v>
      </c>
      <c r="E282" t="s">
        <v>17</v>
      </c>
      <c r="F282" t="s">
        <v>12</v>
      </c>
      <c r="G282" s="5">
        <v>0.03</v>
      </c>
      <c r="H282" t="b">
        <f>COUNTIFS(OrderLines[OrderID],Orders[[#This Row],[OrderID]],OrderLines[Category],"Beverage")&gt;0</f>
        <v>1</v>
      </c>
      <c r="I282">
        <f>SUMIFS(OrderLines[Revenue],OrderLines[OrderID],Orders[[#This Row],[OrderID]])</f>
        <v>29.4298</v>
      </c>
      <c r="J282" t="str">
        <f>IF(AND(COUNTIFS(OrderLines[OrderID],Orders[[#This Row],[OrderID]],OrderLines[Category],"Hot Meal")&gt;0,COUNTIFS(OrderLines[OrderID],Orders[[#This Row],[OrderID]],OrderLines[Category],"Beverage")&gt;0),"Combo","Single")</f>
        <v>Single</v>
      </c>
      <c r="K282" s="17" t="str">
        <f>IF(SUMPRODUCT((OrderLines[OrderID]=Orders[[#This Row],[OrderID]])*OrderLines[Qty]*OrderLines[UnitPrice])*Orders[[#This Row],[DiscountPct]]&gt;40,"HighDisc","OK")</f>
        <v>OK</v>
      </c>
      <c r="L282" s="11">
        <f>SUMIFS(OrderLines[Revenue],OrderLines[OrderID],Orders[[#This Row],[OrderID]])-SUMIFS(OrderLines[FoodCost],OrderLines[OrderID],Orders[[#This Row],[OrderID]])</f>
        <v>15.2498</v>
      </c>
      <c r="M282" s="5">
        <f>Orders[[#This Row],[GrossProfit]]/Orders[[#This Row],[OrderTotal]]</f>
        <v>0.51817545481110983</v>
      </c>
      <c r="N282" s="17" t="b">
        <f>COUNTIFS(OrderLines[OrderID],Orders[[#This Row],[OrderID]],OrderLines[Category],"Hot Meal")&gt;0</f>
        <v>0</v>
      </c>
      <c r="O282" s="17" t="b">
        <f>COUNTIFS(OrderLines[OrderID],Orders[[#This Row],[OrderID]],OrderLines[Category],"Snack")&gt;0</f>
        <v>0</v>
      </c>
      <c r="P282" s="17" t="b">
        <f>COUNTIFS(OrderLines[OrderID],Orders[[#This Row],[OrderID]],OrderLines[Category],"Dessert")&gt;0</f>
        <v>0</v>
      </c>
      <c r="Q282" s="11">
        <f>Orders[[#This Row],[OrderTotal]]-Orders[[#This Row],[GrossProfit]]</f>
        <v>14.18</v>
      </c>
    </row>
    <row r="283" spans="1:17" x14ac:dyDescent="0.25">
      <c r="A283" t="s">
        <v>319</v>
      </c>
      <c r="B283" s="1">
        <v>45855.574062500003</v>
      </c>
      <c r="C283" t="s">
        <v>27</v>
      </c>
      <c r="D283" t="s">
        <v>10</v>
      </c>
      <c r="E283" t="s">
        <v>11</v>
      </c>
      <c r="F283" t="s">
        <v>22</v>
      </c>
      <c r="G283" s="5">
        <v>0.14000000000000001</v>
      </c>
      <c r="H283" t="b">
        <f>COUNTIFS(OrderLines[OrderID],Orders[[#This Row],[OrderID]],OrderLines[Category],"Beverage")&gt;0</f>
        <v>1</v>
      </c>
      <c r="I283">
        <f>SUMIFS(OrderLines[Revenue],OrderLines[OrderID],Orders[[#This Row],[OrderID]])</f>
        <v>276.7996</v>
      </c>
      <c r="J283" t="str">
        <f>IF(AND(COUNTIFS(OrderLines[OrderID],Orders[[#This Row],[OrderID]],OrderLines[Category],"Hot Meal")&gt;0,COUNTIFS(OrderLines[OrderID],Orders[[#This Row],[OrderID]],OrderLines[Category],"Beverage")&gt;0),"Combo","Single")</f>
        <v>Single</v>
      </c>
      <c r="K283" s="17" t="str">
        <f>IF(SUMPRODUCT((OrderLines[OrderID]=Orders[[#This Row],[OrderID]])*OrderLines[Qty]*OrderLines[UnitPrice])*Orders[[#This Row],[DiscountPct]]&gt;40,"HighDisc","OK")</f>
        <v>HighDisc</v>
      </c>
      <c r="L283" s="11">
        <f>SUMIFS(OrderLines[Revenue],OrderLines[OrderID],Orders[[#This Row],[OrderID]])-SUMIFS(OrderLines[FoodCost],OrderLines[OrderID],Orders[[#This Row],[OrderID]])</f>
        <v>124.16959999999997</v>
      </c>
      <c r="M283" s="5">
        <f>Orders[[#This Row],[GrossProfit]]/Orders[[#This Row],[OrderTotal]]</f>
        <v>0.44859024362751959</v>
      </c>
      <c r="N283" s="17" t="b">
        <f>COUNTIFS(OrderLines[OrderID],Orders[[#This Row],[OrderID]],OrderLines[Category],"Hot Meal")&gt;0</f>
        <v>0</v>
      </c>
      <c r="O283" s="17" t="b">
        <f>COUNTIFS(OrderLines[OrderID],Orders[[#This Row],[OrderID]],OrderLines[Category],"Snack")&gt;0</f>
        <v>1</v>
      </c>
      <c r="P283" s="17" t="b">
        <f>COUNTIFS(OrderLines[OrderID],Orders[[#This Row],[OrderID]],OrderLines[Category],"Dessert")&gt;0</f>
        <v>0</v>
      </c>
      <c r="Q283" s="11">
        <f>Orders[[#This Row],[OrderTotal]]-Orders[[#This Row],[GrossProfit]]</f>
        <v>152.63000000000002</v>
      </c>
    </row>
    <row r="284" spans="1:17" x14ac:dyDescent="0.25">
      <c r="A284" t="s">
        <v>320</v>
      </c>
      <c r="B284" s="1">
        <v>45890.766608796293</v>
      </c>
      <c r="C284" t="s">
        <v>9</v>
      </c>
      <c r="D284" t="s">
        <v>28</v>
      </c>
      <c r="E284" t="s">
        <v>21</v>
      </c>
      <c r="F284" t="s">
        <v>18</v>
      </c>
      <c r="G284" s="5">
        <v>0.02</v>
      </c>
      <c r="H284" t="b">
        <f>COUNTIFS(OrderLines[OrderID],Orders[[#This Row],[OrderID]],OrderLines[Category],"Beverage")&gt;0</f>
        <v>1</v>
      </c>
      <c r="I284">
        <f>SUMIFS(OrderLines[Revenue],OrderLines[OrderID],Orders[[#This Row],[OrderID]])</f>
        <v>1112.0354</v>
      </c>
      <c r="J284" t="str">
        <f>IF(AND(COUNTIFS(OrderLines[OrderID],Orders[[#This Row],[OrderID]],OrderLines[Category],"Hot Meal")&gt;0,COUNTIFS(OrderLines[OrderID],Orders[[#This Row],[OrderID]],OrderLines[Category],"Beverage")&gt;0),"Combo","Single")</f>
        <v>Combo</v>
      </c>
      <c r="K284" s="17" t="str">
        <f>IF(SUMPRODUCT((OrderLines[OrderID]=Orders[[#This Row],[OrderID]])*OrderLines[Qty]*OrderLines[UnitPrice])*Orders[[#This Row],[DiscountPct]]&gt;40,"HighDisc","OK")</f>
        <v>OK</v>
      </c>
      <c r="L284" s="11">
        <f>SUMIFS(OrderLines[Revenue],OrderLines[OrderID],Orders[[#This Row],[OrderID]])-SUMIFS(OrderLines[FoodCost],OrderLines[OrderID],Orders[[#This Row],[OrderID]])</f>
        <v>630.03539999999998</v>
      </c>
      <c r="M284" s="5">
        <f>Orders[[#This Row],[GrossProfit]]/Orders[[#This Row],[OrderTotal]]</f>
        <v>0.56656056093178331</v>
      </c>
      <c r="N284" s="17" t="b">
        <f>COUNTIFS(OrderLines[OrderID],Orders[[#This Row],[OrderID]],OrderLines[Category],"Hot Meal")&gt;0</f>
        <v>1</v>
      </c>
      <c r="O284" s="17" t="b">
        <f>COUNTIFS(OrderLines[OrderID],Orders[[#This Row],[OrderID]],OrderLines[Category],"Snack")&gt;0</f>
        <v>1</v>
      </c>
      <c r="P284" s="17" t="b">
        <f>COUNTIFS(OrderLines[OrderID],Orders[[#This Row],[OrderID]],OrderLines[Category],"Dessert")&gt;0</f>
        <v>0</v>
      </c>
      <c r="Q284" s="11">
        <f>Orders[[#This Row],[OrderTotal]]-Orders[[#This Row],[GrossProfit]]</f>
        <v>482</v>
      </c>
    </row>
    <row r="285" spans="1:17" x14ac:dyDescent="0.25">
      <c r="A285" t="s">
        <v>321</v>
      </c>
      <c r="B285" s="1">
        <v>45853.589259259257</v>
      </c>
      <c r="C285" t="s">
        <v>27</v>
      </c>
      <c r="D285" t="s">
        <v>28</v>
      </c>
      <c r="E285" t="s">
        <v>17</v>
      </c>
      <c r="F285" t="s">
        <v>22</v>
      </c>
      <c r="G285" s="5">
        <v>0.01</v>
      </c>
      <c r="H285" t="b">
        <f>COUNTIFS(OrderLines[OrderID],Orders[[#This Row],[OrderID]],OrderLines[Category],"Beverage")&gt;0</f>
        <v>0</v>
      </c>
      <c r="I285">
        <f>SUMIFS(OrderLines[Revenue],OrderLines[OrderID],Orders[[#This Row],[OrderID]])</f>
        <v>328.69979999999998</v>
      </c>
      <c r="J285" t="str">
        <f>IF(AND(COUNTIFS(OrderLines[OrderID],Orders[[#This Row],[OrderID]],OrderLines[Category],"Hot Meal")&gt;0,COUNTIFS(OrderLines[OrderID],Orders[[#This Row],[OrderID]],OrderLines[Category],"Beverage")&gt;0),"Combo","Single")</f>
        <v>Single</v>
      </c>
      <c r="K285" s="17" t="str">
        <f>IF(SUMPRODUCT((OrderLines[OrderID]=Orders[[#This Row],[OrderID]])*OrderLines[Qty]*OrderLines[UnitPrice])*Orders[[#This Row],[DiscountPct]]&gt;40,"HighDisc","OK")</f>
        <v>OK</v>
      </c>
      <c r="L285" s="11">
        <f>SUMIFS(OrderLines[Revenue],OrderLines[OrderID],Orders[[#This Row],[OrderID]])-SUMIFS(OrderLines[FoodCost],OrderLines[OrderID],Orders[[#This Row],[OrderID]])</f>
        <v>171.03979999999999</v>
      </c>
      <c r="M285" s="5">
        <f>Orders[[#This Row],[GrossProfit]]/Orders[[#This Row],[OrderTotal]]</f>
        <v>0.52035261353977091</v>
      </c>
      <c r="N285" s="17" t="b">
        <f>COUNTIFS(OrderLines[OrderID],Orders[[#This Row],[OrderID]],OrderLines[Category],"Hot Meal")&gt;0</f>
        <v>0</v>
      </c>
      <c r="O285" s="17" t="b">
        <f>COUNTIFS(OrderLines[OrderID],Orders[[#This Row],[OrderID]],OrderLines[Category],"Snack")&gt;0</f>
        <v>1</v>
      </c>
      <c r="P285" s="17" t="b">
        <f>COUNTIFS(OrderLines[OrderID],Orders[[#This Row],[OrderID]],OrderLines[Category],"Dessert")&gt;0</f>
        <v>1</v>
      </c>
      <c r="Q285" s="11">
        <f>Orders[[#This Row],[OrderTotal]]-Orders[[#This Row],[GrossProfit]]</f>
        <v>157.66</v>
      </c>
    </row>
    <row r="286" spans="1:17" x14ac:dyDescent="0.25">
      <c r="A286" t="s">
        <v>322</v>
      </c>
      <c r="B286" s="1">
        <v>45858.403182870366</v>
      </c>
      <c r="C286" t="s">
        <v>27</v>
      </c>
      <c r="D286" t="s">
        <v>10</v>
      </c>
      <c r="E286" t="s">
        <v>17</v>
      </c>
      <c r="F286" t="s">
        <v>12</v>
      </c>
      <c r="G286" s="5">
        <v>0.11</v>
      </c>
      <c r="H286" t="b">
        <f>COUNTIFS(OrderLines[OrderID],Orders[[#This Row],[OrderID]],OrderLines[Category],"Beverage")&gt;0</f>
        <v>0</v>
      </c>
      <c r="I286">
        <f>SUMIFS(OrderLines[Revenue],OrderLines[OrderID],Orders[[#This Row],[OrderID]])</f>
        <v>380.96449999999999</v>
      </c>
      <c r="J286" t="str">
        <f>IF(AND(COUNTIFS(OrderLines[OrderID],Orders[[#This Row],[OrderID]],OrderLines[Category],"Hot Meal")&gt;0,COUNTIFS(OrderLines[OrderID],Orders[[#This Row],[OrderID]],OrderLines[Category],"Beverage")&gt;0),"Combo","Single")</f>
        <v>Single</v>
      </c>
      <c r="K286" s="17" t="str">
        <f>IF(SUMPRODUCT((OrderLines[OrderID]=Orders[[#This Row],[OrderID]])*OrderLines[Qty]*OrderLines[UnitPrice])*Orders[[#This Row],[DiscountPct]]&gt;40,"HighDisc","OK")</f>
        <v>HighDisc</v>
      </c>
      <c r="L286" s="11">
        <f>SUMIFS(OrderLines[Revenue],OrderLines[OrderID],Orders[[#This Row],[OrderID]])-SUMIFS(OrderLines[FoodCost],OrderLines[OrderID],Orders[[#This Row],[OrderID]])</f>
        <v>191.31450000000001</v>
      </c>
      <c r="M286" s="5">
        <f>Orders[[#This Row],[GrossProfit]]/Orders[[#This Row],[OrderTotal]]</f>
        <v>0.50218458675283395</v>
      </c>
      <c r="N286" s="17" t="b">
        <f>COUNTIFS(OrderLines[OrderID],Orders[[#This Row],[OrderID]],OrderLines[Category],"Hot Meal")&gt;0</f>
        <v>1</v>
      </c>
      <c r="O286" s="17" t="b">
        <f>COUNTIFS(OrderLines[OrderID],Orders[[#This Row],[OrderID]],OrderLines[Category],"Snack")&gt;0</f>
        <v>1</v>
      </c>
      <c r="P286" s="17" t="b">
        <f>COUNTIFS(OrderLines[OrderID],Orders[[#This Row],[OrderID]],OrderLines[Category],"Dessert")&gt;0</f>
        <v>1</v>
      </c>
      <c r="Q286" s="11">
        <f>Orders[[#This Row],[OrderTotal]]-Orders[[#This Row],[GrossProfit]]</f>
        <v>189.64999999999998</v>
      </c>
    </row>
    <row r="287" spans="1:17" x14ac:dyDescent="0.25">
      <c r="A287" t="s">
        <v>323</v>
      </c>
      <c r="B287" s="1">
        <v>45856.449178240742</v>
      </c>
      <c r="C287" t="s">
        <v>9</v>
      </c>
      <c r="D287" t="s">
        <v>16</v>
      </c>
      <c r="E287" t="s">
        <v>21</v>
      </c>
      <c r="F287" t="s">
        <v>12</v>
      </c>
      <c r="G287" s="5">
        <v>0.09</v>
      </c>
      <c r="H287" t="b">
        <f>COUNTIFS(OrderLines[OrderID],Orders[[#This Row],[OrderID]],OrderLines[Category],"Beverage")&gt;0</f>
        <v>0</v>
      </c>
      <c r="I287">
        <f>SUMIFS(OrderLines[Revenue],OrderLines[OrderID],Orders[[#This Row],[OrderID]])</f>
        <v>294.77629999999999</v>
      </c>
      <c r="J287" t="str">
        <f>IF(AND(COUNTIFS(OrderLines[OrderID],Orders[[#This Row],[OrderID]],OrderLines[Category],"Hot Meal")&gt;0,COUNTIFS(OrderLines[OrderID],Orders[[#This Row],[OrderID]],OrderLines[Category],"Beverage")&gt;0),"Combo","Single")</f>
        <v>Single</v>
      </c>
      <c r="K287" s="17" t="str">
        <f>IF(SUMPRODUCT((OrderLines[OrderID]=Orders[[#This Row],[OrderID]])*OrderLines[Qty]*OrderLines[UnitPrice])*Orders[[#This Row],[DiscountPct]]&gt;40,"HighDisc","OK")</f>
        <v>OK</v>
      </c>
      <c r="L287" s="11">
        <f>SUMIFS(OrderLines[Revenue],OrderLines[OrderID],Orders[[#This Row],[OrderID]])-SUMIFS(OrderLines[FoodCost],OrderLines[OrderID],Orders[[#This Row],[OrderID]])</f>
        <v>144.24630000000002</v>
      </c>
      <c r="M287" s="5">
        <f>Orders[[#This Row],[GrossProfit]]/Orders[[#This Row],[OrderTotal]]</f>
        <v>0.48934157868186834</v>
      </c>
      <c r="N287" s="17" t="b">
        <f>COUNTIFS(OrderLines[OrderID],Orders[[#This Row],[OrderID]],OrderLines[Category],"Hot Meal")&gt;0</f>
        <v>1</v>
      </c>
      <c r="O287" s="17" t="b">
        <f>COUNTIFS(OrderLines[OrderID],Orders[[#This Row],[OrderID]],OrderLines[Category],"Snack")&gt;0</f>
        <v>0</v>
      </c>
      <c r="P287" s="17" t="b">
        <f>COUNTIFS(OrderLines[OrderID],Orders[[#This Row],[OrderID]],OrderLines[Category],"Dessert")&gt;0</f>
        <v>1</v>
      </c>
      <c r="Q287" s="11">
        <f>Orders[[#This Row],[OrderTotal]]-Orders[[#This Row],[GrossProfit]]</f>
        <v>150.52999999999997</v>
      </c>
    </row>
    <row r="288" spans="1:17" x14ac:dyDescent="0.25">
      <c r="A288" t="s">
        <v>324</v>
      </c>
      <c r="B288" s="1">
        <v>45894.056712962964</v>
      </c>
      <c r="C288" t="s">
        <v>9</v>
      </c>
      <c r="D288" t="s">
        <v>10</v>
      </c>
      <c r="E288" t="s">
        <v>11</v>
      </c>
      <c r="F288" t="s">
        <v>12</v>
      </c>
      <c r="G288" s="5">
        <v>0.08</v>
      </c>
      <c r="H288" t="b">
        <f>COUNTIFS(OrderLines[OrderID],Orders[[#This Row],[OrderID]],OrderLines[Category],"Beverage")&gt;0</f>
        <v>0</v>
      </c>
      <c r="I288">
        <f>SUMIFS(OrderLines[Revenue],OrderLines[OrderID],Orders[[#This Row],[OrderID]])</f>
        <v>371.04520000000002</v>
      </c>
      <c r="J288" t="str">
        <f>IF(AND(COUNTIFS(OrderLines[OrderID],Orders[[#This Row],[OrderID]],OrderLines[Category],"Hot Meal")&gt;0,COUNTIFS(OrderLines[OrderID],Orders[[#This Row],[OrderID]],OrderLines[Category],"Beverage")&gt;0),"Combo","Single")</f>
        <v>Single</v>
      </c>
      <c r="K288" s="17" t="str">
        <f>IF(SUMPRODUCT((OrderLines[OrderID]=Orders[[#This Row],[OrderID]])*OrderLines[Qty]*OrderLines[UnitPrice])*Orders[[#This Row],[DiscountPct]]&gt;40,"HighDisc","OK")</f>
        <v>OK</v>
      </c>
      <c r="L288" s="11">
        <f>SUMIFS(OrderLines[Revenue],OrderLines[OrderID],Orders[[#This Row],[OrderID]])-SUMIFS(OrderLines[FoodCost],OrderLines[OrderID],Orders[[#This Row],[OrderID]])</f>
        <v>168.88520000000003</v>
      </c>
      <c r="M288" s="5">
        <f>Orders[[#This Row],[GrossProfit]]/Orders[[#This Row],[OrderTotal]]</f>
        <v>0.45516071896361959</v>
      </c>
      <c r="N288" s="17" t="b">
        <f>COUNTIFS(OrderLines[OrderID],Orders[[#This Row],[OrderID]],OrderLines[Category],"Hot Meal")&gt;0</f>
        <v>1</v>
      </c>
      <c r="O288" s="17" t="b">
        <f>COUNTIFS(OrderLines[OrderID],Orders[[#This Row],[OrderID]],OrderLines[Category],"Snack")&gt;0</f>
        <v>0</v>
      </c>
      <c r="P288" s="17" t="b">
        <f>COUNTIFS(OrderLines[OrderID],Orders[[#This Row],[OrderID]],OrderLines[Category],"Dessert")&gt;0</f>
        <v>0</v>
      </c>
      <c r="Q288" s="11">
        <f>Orders[[#This Row],[OrderTotal]]-Orders[[#This Row],[GrossProfit]]</f>
        <v>202.16</v>
      </c>
    </row>
    <row r="289" spans="1:17" x14ac:dyDescent="0.25">
      <c r="A289" t="s">
        <v>325</v>
      </c>
      <c r="B289" s="1">
        <v>45869.944039351853</v>
      </c>
      <c r="C289" t="s">
        <v>27</v>
      </c>
      <c r="D289" t="s">
        <v>16</v>
      </c>
      <c r="E289" t="s">
        <v>17</v>
      </c>
      <c r="F289" t="s">
        <v>18</v>
      </c>
      <c r="G289" s="5">
        <v>0.09</v>
      </c>
      <c r="H289" t="b">
        <f>COUNTIFS(OrderLines[OrderID],Orders[[#This Row],[OrderID]],OrderLines[Category],"Beverage")&gt;0</f>
        <v>1</v>
      </c>
      <c r="I289">
        <f>SUMIFS(OrderLines[Revenue],OrderLines[OrderID],Orders[[#This Row],[OrderID]])</f>
        <v>291.31830000000002</v>
      </c>
      <c r="J289" t="str">
        <f>IF(AND(COUNTIFS(OrderLines[OrderID],Orders[[#This Row],[OrderID]],OrderLines[Category],"Hot Meal")&gt;0,COUNTIFS(OrderLines[OrderID],Orders[[#This Row],[OrderID]],OrderLines[Category],"Beverage")&gt;0),"Combo","Single")</f>
        <v>Combo</v>
      </c>
      <c r="K289" s="17" t="str">
        <f>IF(SUMPRODUCT((OrderLines[OrderID]=Orders[[#This Row],[OrderID]])*OrderLines[Qty]*OrderLines[UnitPrice])*Orders[[#This Row],[DiscountPct]]&gt;40,"HighDisc","OK")</f>
        <v>OK</v>
      </c>
      <c r="L289" s="11">
        <f>SUMIFS(OrderLines[Revenue],OrderLines[OrderID],Orders[[#This Row],[OrderID]])-SUMIFS(OrderLines[FoodCost],OrderLines[OrderID],Orders[[#This Row],[OrderID]])</f>
        <v>146.88830000000004</v>
      </c>
      <c r="M289" s="5">
        <f>Orders[[#This Row],[GrossProfit]]/Orders[[#This Row],[OrderTotal]]</f>
        <v>0.50421926806520578</v>
      </c>
      <c r="N289" s="17" t="b">
        <f>COUNTIFS(OrderLines[OrderID],Orders[[#This Row],[OrderID]],OrderLines[Category],"Hot Meal")&gt;0</f>
        <v>1</v>
      </c>
      <c r="O289" s="17" t="b">
        <f>COUNTIFS(OrderLines[OrderID],Orders[[#This Row],[OrderID]],OrderLines[Category],"Snack")&gt;0</f>
        <v>1</v>
      </c>
      <c r="P289" s="17" t="b">
        <f>COUNTIFS(OrderLines[OrderID],Orders[[#This Row],[OrderID]],OrderLines[Category],"Dessert")&gt;0</f>
        <v>0</v>
      </c>
      <c r="Q289" s="11">
        <f>Orders[[#This Row],[OrderTotal]]-Orders[[#This Row],[GrossProfit]]</f>
        <v>144.42999999999998</v>
      </c>
    </row>
    <row r="290" spans="1:17" x14ac:dyDescent="0.25">
      <c r="A290" t="s">
        <v>326</v>
      </c>
      <c r="B290" s="1">
        <v>45882.18414351852</v>
      </c>
      <c r="C290" t="s">
        <v>9</v>
      </c>
      <c r="D290" t="s">
        <v>16</v>
      </c>
      <c r="E290" t="s">
        <v>21</v>
      </c>
      <c r="F290" t="s">
        <v>12</v>
      </c>
      <c r="G290" s="5">
        <v>0.06</v>
      </c>
      <c r="H290" t="b">
        <f>COUNTIFS(OrderLines[OrderID],Orders[[#This Row],[OrderID]],OrderLines[Category],"Beverage")&gt;0</f>
        <v>1</v>
      </c>
      <c r="I290">
        <f>SUMIFS(OrderLines[Revenue],OrderLines[OrderID],Orders[[#This Row],[OrderID]])</f>
        <v>289.78319999999997</v>
      </c>
      <c r="J290" t="str">
        <f>IF(AND(COUNTIFS(OrderLines[OrderID],Orders[[#This Row],[OrderID]],OrderLines[Category],"Hot Meal")&gt;0,COUNTIFS(OrderLines[OrderID],Orders[[#This Row],[OrderID]],OrderLines[Category],"Beverage")&gt;0),"Combo","Single")</f>
        <v>Single</v>
      </c>
      <c r="K290" s="17" t="str">
        <f>IF(SUMPRODUCT((OrderLines[OrderID]=Orders[[#This Row],[OrderID]])*OrderLines[Qty]*OrderLines[UnitPrice])*Orders[[#This Row],[DiscountPct]]&gt;40,"HighDisc","OK")</f>
        <v>OK</v>
      </c>
      <c r="L290" s="11">
        <f>SUMIFS(OrderLines[Revenue],OrderLines[OrderID],Orders[[#This Row],[OrderID]])-SUMIFS(OrderLines[FoodCost],OrderLines[OrderID],Orders[[#This Row],[OrderID]])</f>
        <v>136.12319999999997</v>
      </c>
      <c r="M290" s="5">
        <f>Orders[[#This Row],[GrossProfit]]/Orders[[#This Row],[OrderTotal]]</f>
        <v>0.46974151710658169</v>
      </c>
      <c r="N290" s="17" t="b">
        <f>COUNTIFS(OrderLines[OrderID],Orders[[#This Row],[OrderID]],OrderLines[Category],"Hot Meal")&gt;0</f>
        <v>0</v>
      </c>
      <c r="O290" s="17" t="b">
        <f>COUNTIFS(OrderLines[OrderID],Orders[[#This Row],[OrderID]],OrderLines[Category],"Snack")&gt;0</f>
        <v>1</v>
      </c>
      <c r="P290" s="17" t="b">
        <f>COUNTIFS(OrderLines[OrderID],Orders[[#This Row],[OrderID]],OrderLines[Category],"Dessert")&gt;0</f>
        <v>1</v>
      </c>
      <c r="Q290" s="11">
        <f>Orders[[#This Row],[OrderTotal]]-Orders[[#This Row],[GrossProfit]]</f>
        <v>153.66</v>
      </c>
    </row>
    <row r="291" spans="1:17" x14ac:dyDescent="0.25">
      <c r="A291" t="s">
        <v>327</v>
      </c>
      <c r="B291" s="1">
        <v>45873.42019675926</v>
      </c>
      <c r="C291" t="s">
        <v>9</v>
      </c>
      <c r="D291" t="s">
        <v>28</v>
      </c>
      <c r="E291" t="s">
        <v>21</v>
      </c>
      <c r="F291" t="s">
        <v>12</v>
      </c>
      <c r="G291" s="5">
        <v>0.02</v>
      </c>
      <c r="H291" t="b">
        <f>COUNTIFS(OrderLines[OrderID],Orders[[#This Row],[OrderID]],OrderLines[Category],"Beverage")&gt;0</f>
        <v>1</v>
      </c>
      <c r="I291">
        <f>SUMIFS(OrderLines[Revenue],OrderLines[OrderID],Orders[[#This Row],[OrderID]])</f>
        <v>52.028199999999998</v>
      </c>
      <c r="J291" t="str">
        <f>IF(AND(COUNTIFS(OrderLines[OrderID],Orders[[#This Row],[OrderID]],OrderLines[Category],"Hot Meal")&gt;0,COUNTIFS(OrderLines[OrderID],Orders[[#This Row],[OrderID]],OrderLines[Category],"Beverage")&gt;0),"Combo","Single")</f>
        <v>Single</v>
      </c>
      <c r="K291" s="17" t="str">
        <f>IF(SUMPRODUCT((OrderLines[OrderID]=Orders[[#This Row],[OrderID]])*OrderLines[Qty]*OrderLines[UnitPrice])*Orders[[#This Row],[DiscountPct]]&gt;40,"HighDisc","OK")</f>
        <v>OK</v>
      </c>
      <c r="L291" s="11">
        <f>SUMIFS(OrderLines[Revenue],OrderLines[OrderID],Orders[[#This Row],[OrderID]])-SUMIFS(OrderLines[FoodCost],OrderLines[OrderID],Orders[[#This Row],[OrderID]])</f>
        <v>32.188199999999995</v>
      </c>
      <c r="M291" s="5">
        <f>Orders[[#This Row],[GrossProfit]]/Orders[[#This Row],[OrderTotal]]</f>
        <v>0.61866833755540251</v>
      </c>
      <c r="N291" s="17" t="b">
        <f>COUNTIFS(OrderLines[OrderID],Orders[[#This Row],[OrderID]],OrderLines[Category],"Hot Meal")&gt;0</f>
        <v>0</v>
      </c>
      <c r="O291" s="17" t="b">
        <f>COUNTIFS(OrderLines[OrderID],Orders[[#This Row],[OrderID]],OrderLines[Category],"Snack")&gt;0</f>
        <v>0</v>
      </c>
      <c r="P291" s="17" t="b">
        <f>COUNTIFS(OrderLines[OrderID],Orders[[#This Row],[OrderID]],OrderLines[Category],"Dessert")&gt;0</f>
        <v>0</v>
      </c>
      <c r="Q291" s="11">
        <f>Orders[[#This Row],[OrderTotal]]-Orders[[#This Row],[GrossProfit]]</f>
        <v>19.840000000000003</v>
      </c>
    </row>
    <row r="292" spans="1:17" x14ac:dyDescent="0.25">
      <c r="A292" t="s">
        <v>328</v>
      </c>
      <c r="B292" s="1">
        <v>45883.126481481479</v>
      </c>
      <c r="C292" t="s">
        <v>27</v>
      </c>
      <c r="D292" t="s">
        <v>28</v>
      </c>
      <c r="E292" t="s">
        <v>21</v>
      </c>
      <c r="F292" t="s">
        <v>12</v>
      </c>
      <c r="G292" s="5">
        <v>0.06</v>
      </c>
      <c r="H292" t="b">
        <f>COUNTIFS(OrderLines[OrderID],Orders[[#This Row],[OrderID]],OrderLines[Category],"Beverage")&gt;0</f>
        <v>0</v>
      </c>
      <c r="I292">
        <f>SUMIFS(OrderLines[Revenue],OrderLines[OrderID],Orders[[#This Row],[OrderID]])</f>
        <v>482.99080000000004</v>
      </c>
      <c r="J292" t="str">
        <f>IF(AND(COUNTIFS(OrderLines[OrderID],Orders[[#This Row],[OrderID]],OrderLines[Category],"Hot Meal")&gt;0,COUNTIFS(OrderLines[OrderID],Orders[[#This Row],[OrderID]],OrderLines[Category],"Beverage")&gt;0),"Combo","Single")</f>
        <v>Single</v>
      </c>
      <c r="K292" s="17" t="str">
        <f>IF(SUMPRODUCT((OrderLines[OrderID]=Orders[[#This Row],[OrderID]])*OrderLines[Qty]*OrderLines[UnitPrice])*Orders[[#This Row],[DiscountPct]]&gt;40,"HighDisc","OK")</f>
        <v>OK</v>
      </c>
      <c r="L292" s="11">
        <f>SUMIFS(OrderLines[Revenue],OrderLines[OrderID],Orders[[#This Row],[OrderID]])-SUMIFS(OrderLines[FoodCost],OrderLines[OrderID],Orders[[#This Row],[OrderID]])</f>
        <v>240.51080000000005</v>
      </c>
      <c r="M292" s="5">
        <f>Orders[[#This Row],[GrossProfit]]/Orders[[#This Row],[OrderTotal]]</f>
        <v>0.49796145185374135</v>
      </c>
      <c r="N292" s="17" t="b">
        <f>COUNTIFS(OrderLines[OrderID],Orders[[#This Row],[OrderID]],OrderLines[Category],"Hot Meal")&gt;0</f>
        <v>1</v>
      </c>
      <c r="O292" s="17" t="b">
        <f>COUNTIFS(OrderLines[OrderID],Orders[[#This Row],[OrderID]],OrderLines[Category],"Snack")&gt;0</f>
        <v>0</v>
      </c>
      <c r="P292" s="17" t="b">
        <f>COUNTIFS(OrderLines[OrderID],Orders[[#This Row],[OrderID]],OrderLines[Category],"Dessert")&gt;0</f>
        <v>0</v>
      </c>
      <c r="Q292" s="11">
        <f>Orders[[#This Row],[OrderTotal]]-Orders[[#This Row],[GrossProfit]]</f>
        <v>242.48</v>
      </c>
    </row>
    <row r="293" spans="1:17" x14ac:dyDescent="0.25">
      <c r="A293" t="s">
        <v>329</v>
      </c>
      <c r="B293" s="1">
        <v>45846.699837962973</v>
      </c>
      <c r="C293" t="s">
        <v>9</v>
      </c>
      <c r="D293" t="s">
        <v>28</v>
      </c>
      <c r="E293" t="s">
        <v>11</v>
      </c>
      <c r="F293" t="s">
        <v>18</v>
      </c>
      <c r="G293" s="5">
        <v>0.03</v>
      </c>
      <c r="H293" t="b">
        <f>COUNTIFS(OrderLines[OrderID],Orders[[#This Row],[OrderID]],OrderLines[Category],"Beverage")&gt;0</f>
        <v>1</v>
      </c>
      <c r="I293">
        <f>SUMIFS(OrderLines[Revenue],OrderLines[OrderID],Orders[[#This Row],[OrderID]])</f>
        <v>78.366299999999995</v>
      </c>
      <c r="J293" t="str">
        <f>IF(AND(COUNTIFS(OrderLines[OrderID],Orders[[#This Row],[OrderID]],OrderLines[Category],"Hot Meal")&gt;0,COUNTIFS(OrderLines[OrderID],Orders[[#This Row],[OrderID]],OrderLines[Category],"Beverage")&gt;0),"Combo","Single")</f>
        <v>Single</v>
      </c>
      <c r="K293" s="17" t="str">
        <f>IF(SUMPRODUCT((OrderLines[OrderID]=Orders[[#This Row],[OrderID]])*OrderLines[Qty]*OrderLines[UnitPrice])*Orders[[#This Row],[DiscountPct]]&gt;40,"HighDisc","OK")</f>
        <v>OK</v>
      </c>
      <c r="L293" s="11">
        <f>SUMIFS(OrderLines[Revenue],OrderLines[OrderID],Orders[[#This Row],[OrderID]])-SUMIFS(OrderLines[FoodCost],OrderLines[OrderID],Orders[[#This Row],[OrderID]])</f>
        <v>42.006299999999996</v>
      </c>
      <c r="M293" s="5">
        <f>Orders[[#This Row],[GrossProfit]]/Orders[[#This Row],[OrderTotal]]</f>
        <v>0.53602505158467351</v>
      </c>
      <c r="N293" s="17" t="b">
        <f>COUNTIFS(OrderLines[OrderID],Orders[[#This Row],[OrderID]],OrderLines[Category],"Hot Meal")&gt;0</f>
        <v>0</v>
      </c>
      <c r="O293" s="17" t="b">
        <f>COUNTIFS(OrderLines[OrderID],Orders[[#This Row],[OrderID]],OrderLines[Category],"Snack")&gt;0</f>
        <v>0</v>
      </c>
      <c r="P293" s="17" t="b">
        <f>COUNTIFS(OrderLines[OrderID],Orders[[#This Row],[OrderID]],OrderLines[Category],"Dessert")&gt;0</f>
        <v>0</v>
      </c>
      <c r="Q293" s="11">
        <f>Orders[[#This Row],[OrderTotal]]-Orders[[#This Row],[GrossProfit]]</f>
        <v>36.36</v>
      </c>
    </row>
    <row r="294" spans="1:17" x14ac:dyDescent="0.25">
      <c r="A294" t="s">
        <v>330</v>
      </c>
      <c r="B294" s="1">
        <v>45876.57953703704</v>
      </c>
      <c r="C294" t="s">
        <v>15</v>
      </c>
      <c r="D294" t="s">
        <v>10</v>
      </c>
      <c r="E294" t="s">
        <v>11</v>
      </c>
      <c r="F294" t="s">
        <v>22</v>
      </c>
      <c r="G294" s="5">
        <v>0.1</v>
      </c>
      <c r="H294" t="b">
        <f>COUNTIFS(OrderLines[OrderID],Orders[[#This Row],[OrderID]],OrderLines[Category],"Beverage")&gt;0</f>
        <v>1</v>
      </c>
      <c r="I294">
        <f>SUMIFS(OrderLines[Revenue],OrderLines[OrderID],Orders[[#This Row],[OrderID]])</f>
        <v>464.31000000000006</v>
      </c>
      <c r="J294" t="str">
        <f>IF(AND(COUNTIFS(OrderLines[OrderID],Orders[[#This Row],[OrderID]],OrderLines[Category],"Hot Meal")&gt;0,COUNTIFS(OrderLines[OrderID],Orders[[#This Row],[OrderID]],OrderLines[Category],"Beverage")&gt;0),"Combo","Single")</f>
        <v>Combo</v>
      </c>
      <c r="K294" s="17" t="str">
        <f>IF(SUMPRODUCT((OrderLines[OrderID]=Orders[[#This Row],[OrderID]])*OrderLines[Qty]*OrderLines[UnitPrice])*Orders[[#This Row],[DiscountPct]]&gt;40,"HighDisc","OK")</f>
        <v>HighDisc</v>
      </c>
      <c r="L294" s="11">
        <f>SUMIFS(OrderLines[Revenue],OrderLines[OrderID],Orders[[#This Row],[OrderID]])-SUMIFS(OrderLines[FoodCost],OrderLines[OrderID],Orders[[#This Row],[OrderID]])</f>
        <v>243.51000000000005</v>
      </c>
      <c r="M294" s="5">
        <f>Orders[[#This Row],[GrossProfit]]/Orders[[#This Row],[OrderTotal]]</f>
        <v>0.52445564385862897</v>
      </c>
      <c r="N294" s="17" t="b">
        <f>COUNTIFS(OrderLines[OrderID],Orders[[#This Row],[OrderID]],OrderLines[Category],"Hot Meal")&gt;0</f>
        <v>1</v>
      </c>
      <c r="O294" s="17" t="b">
        <f>COUNTIFS(OrderLines[OrderID],Orders[[#This Row],[OrderID]],OrderLines[Category],"Snack")&gt;0</f>
        <v>0</v>
      </c>
      <c r="P294" s="17" t="b">
        <f>COUNTIFS(OrderLines[OrderID],Orders[[#This Row],[OrderID]],OrderLines[Category],"Dessert")&gt;0</f>
        <v>0</v>
      </c>
      <c r="Q294" s="11">
        <f>Orders[[#This Row],[OrderTotal]]-Orders[[#This Row],[GrossProfit]]</f>
        <v>220.8</v>
      </c>
    </row>
    <row r="295" spans="1:17" x14ac:dyDescent="0.25">
      <c r="A295" t="s">
        <v>331</v>
      </c>
      <c r="B295" s="1">
        <v>45882.914803240739</v>
      </c>
      <c r="C295" t="s">
        <v>9</v>
      </c>
      <c r="D295" t="s">
        <v>10</v>
      </c>
      <c r="E295" t="s">
        <v>17</v>
      </c>
      <c r="F295" t="s">
        <v>18</v>
      </c>
      <c r="G295" s="5">
        <v>0.05</v>
      </c>
      <c r="H295" t="b">
        <f>COUNTIFS(OrderLines[OrderID],Orders[[#This Row],[OrderID]],OrderLines[Category],"Beverage")&gt;0</f>
        <v>1</v>
      </c>
      <c r="I295">
        <f>SUMIFS(OrderLines[Revenue],OrderLines[OrderID],Orders[[#This Row],[OrderID]])</f>
        <v>54.016999999999996</v>
      </c>
      <c r="J295" t="str">
        <f>IF(AND(COUNTIFS(OrderLines[OrderID],Orders[[#This Row],[OrderID]],OrderLines[Category],"Hot Meal")&gt;0,COUNTIFS(OrderLines[OrderID],Orders[[#This Row],[OrderID]],OrderLines[Category],"Beverage")&gt;0),"Combo","Single")</f>
        <v>Single</v>
      </c>
      <c r="K295" s="17" t="str">
        <f>IF(SUMPRODUCT((OrderLines[OrderID]=Orders[[#This Row],[OrderID]])*OrderLines[Qty]*OrderLines[UnitPrice])*Orders[[#This Row],[DiscountPct]]&gt;40,"HighDisc","OK")</f>
        <v>OK</v>
      </c>
      <c r="L295" s="11">
        <f>SUMIFS(OrderLines[Revenue],OrderLines[OrderID],Orders[[#This Row],[OrderID]])-SUMIFS(OrderLines[FoodCost],OrderLines[OrderID],Orders[[#This Row],[OrderID]])</f>
        <v>26.236999999999995</v>
      </c>
      <c r="M295" s="5">
        <f>Orders[[#This Row],[GrossProfit]]/Orders[[#This Row],[OrderTotal]]</f>
        <v>0.48571745931836269</v>
      </c>
      <c r="N295" s="17" t="b">
        <f>COUNTIFS(OrderLines[OrderID],Orders[[#This Row],[OrderID]],OrderLines[Category],"Hot Meal")&gt;0</f>
        <v>0</v>
      </c>
      <c r="O295" s="17" t="b">
        <f>COUNTIFS(OrderLines[OrderID],Orders[[#This Row],[OrderID]],OrderLines[Category],"Snack")&gt;0</f>
        <v>0</v>
      </c>
      <c r="P295" s="17" t="b">
        <f>COUNTIFS(OrderLines[OrderID],Orders[[#This Row],[OrderID]],OrderLines[Category],"Dessert")&gt;0</f>
        <v>0</v>
      </c>
      <c r="Q295" s="11">
        <f>Orders[[#This Row],[OrderTotal]]-Orders[[#This Row],[GrossProfit]]</f>
        <v>27.78</v>
      </c>
    </row>
    <row r="296" spans="1:17" x14ac:dyDescent="0.25">
      <c r="A296" t="s">
        <v>332</v>
      </c>
      <c r="B296" s="1">
        <v>45897.990231481483</v>
      </c>
      <c r="C296" t="s">
        <v>15</v>
      </c>
      <c r="D296" t="s">
        <v>10</v>
      </c>
      <c r="E296" t="s">
        <v>17</v>
      </c>
      <c r="F296" t="s">
        <v>18</v>
      </c>
      <c r="G296" s="5">
        <v>0.03</v>
      </c>
      <c r="H296" t="b">
        <f>COUNTIFS(OrderLines[OrderID],Orders[[#This Row],[OrderID]],OrderLines[Category],"Beverage")&gt;0</f>
        <v>1</v>
      </c>
      <c r="I296">
        <f>SUMIFS(OrderLines[Revenue],OrderLines[OrderID],Orders[[#This Row],[OrderID]])</f>
        <v>76.891899999999993</v>
      </c>
      <c r="J296" t="str">
        <f>IF(AND(COUNTIFS(OrderLines[OrderID],Orders[[#This Row],[OrderID]],OrderLines[Category],"Hot Meal")&gt;0,COUNTIFS(OrderLines[OrderID],Orders[[#This Row],[OrderID]],OrderLines[Category],"Beverage")&gt;0),"Combo","Single")</f>
        <v>Single</v>
      </c>
      <c r="K296" s="17" t="str">
        <f>IF(SUMPRODUCT((OrderLines[OrderID]=Orders[[#This Row],[OrderID]])*OrderLines[Qty]*OrderLines[UnitPrice])*Orders[[#This Row],[DiscountPct]]&gt;40,"HighDisc","OK")</f>
        <v>OK</v>
      </c>
      <c r="L296" s="11">
        <f>SUMIFS(OrderLines[Revenue],OrderLines[OrderID],Orders[[#This Row],[OrderID]])-SUMIFS(OrderLines[FoodCost],OrderLines[OrderID],Orders[[#This Row],[OrderID]])</f>
        <v>38.371899999999989</v>
      </c>
      <c r="M296" s="5">
        <f>Orders[[#This Row],[GrossProfit]]/Orders[[#This Row],[OrderTotal]]</f>
        <v>0.49903695967975814</v>
      </c>
      <c r="N296" s="17" t="b">
        <f>COUNTIFS(OrderLines[OrderID],Orders[[#This Row],[OrderID]],OrderLines[Category],"Hot Meal")&gt;0</f>
        <v>0</v>
      </c>
      <c r="O296" s="17" t="b">
        <f>COUNTIFS(OrderLines[OrderID],Orders[[#This Row],[OrderID]],OrderLines[Category],"Snack")&gt;0</f>
        <v>0</v>
      </c>
      <c r="P296" s="17" t="b">
        <f>COUNTIFS(OrderLines[OrderID],Orders[[#This Row],[OrderID]],OrderLines[Category],"Dessert")&gt;0</f>
        <v>1</v>
      </c>
      <c r="Q296" s="11">
        <f>Orders[[#This Row],[OrderTotal]]-Orders[[#This Row],[GrossProfit]]</f>
        <v>38.520000000000003</v>
      </c>
    </row>
    <row r="297" spans="1:17" x14ac:dyDescent="0.25">
      <c r="A297" t="s">
        <v>333</v>
      </c>
      <c r="B297" s="1">
        <v>45882.991446759261</v>
      </c>
      <c r="C297" t="s">
        <v>27</v>
      </c>
      <c r="D297" t="s">
        <v>16</v>
      </c>
      <c r="E297" t="s">
        <v>11</v>
      </c>
      <c r="F297" t="s">
        <v>18</v>
      </c>
      <c r="G297" s="5">
        <v>0.05</v>
      </c>
      <c r="H297" t="b">
        <f>COUNTIFS(OrderLines[OrderID],Orders[[#This Row],[OrderID]],OrderLines[Category],"Beverage")&gt;0</f>
        <v>0</v>
      </c>
      <c r="I297">
        <f>SUMIFS(OrderLines[Revenue],OrderLines[OrderID],Orders[[#This Row],[OrderID]])</f>
        <v>161.53800000000001</v>
      </c>
      <c r="J297" t="str">
        <f>IF(AND(COUNTIFS(OrderLines[OrderID],Orders[[#This Row],[OrderID]],OrderLines[Category],"Hot Meal")&gt;0,COUNTIFS(OrderLines[OrderID],Orders[[#This Row],[OrderID]],OrderLines[Category],"Beverage")&gt;0),"Combo","Single")</f>
        <v>Single</v>
      </c>
      <c r="K297" s="17" t="str">
        <f>IF(SUMPRODUCT((OrderLines[OrderID]=Orders[[#This Row],[OrderID]])*OrderLines[Qty]*OrderLines[UnitPrice])*Orders[[#This Row],[DiscountPct]]&gt;40,"HighDisc","OK")</f>
        <v>OK</v>
      </c>
      <c r="L297" s="11">
        <f>SUMIFS(OrderLines[Revenue],OrderLines[OrderID],Orders[[#This Row],[OrderID]])-SUMIFS(OrderLines[FoodCost],OrderLines[OrderID],Orders[[#This Row],[OrderID]])</f>
        <v>92.39800000000001</v>
      </c>
      <c r="M297" s="5">
        <f>Orders[[#This Row],[GrossProfit]]/Orders[[#This Row],[OrderTotal]]</f>
        <v>0.57198925330262851</v>
      </c>
      <c r="N297" s="17" t="b">
        <f>COUNTIFS(OrderLines[OrderID],Orders[[#This Row],[OrderID]],OrderLines[Category],"Hot Meal")&gt;0</f>
        <v>0</v>
      </c>
      <c r="O297" s="17" t="b">
        <f>COUNTIFS(OrderLines[OrderID],Orders[[#This Row],[OrderID]],OrderLines[Category],"Snack")&gt;0</f>
        <v>1</v>
      </c>
      <c r="P297" s="17" t="b">
        <f>COUNTIFS(OrderLines[OrderID],Orders[[#This Row],[OrderID]],OrderLines[Category],"Dessert")&gt;0</f>
        <v>0</v>
      </c>
      <c r="Q297" s="11">
        <f>Orders[[#This Row],[OrderTotal]]-Orders[[#This Row],[GrossProfit]]</f>
        <v>69.14</v>
      </c>
    </row>
    <row r="298" spans="1:17" x14ac:dyDescent="0.25">
      <c r="A298" t="s">
        <v>334</v>
      </c>
      <c r="B298" s="1">
        <v>45888.236840277779</v>
      </c>
      <c r="C298" t="s">
        <v>9</v>
      </c>
      <c r="D298" t="s">
        <v>28</v>
      </c>
      <c r="E298" t="s">
        <v>17</v>
      </c>
      <c r="F298" t="s">
        <v>12</v>
      </c>
      <c r="G298" s="5">
        <v>0.08</v>
      </c>
      <c r="H298" t="b">
        <f>COUNTIFS(OrderLines[OrderID],Orders[[#This Row],[OrderID]],OrderLines[Category],"Beverage")&gt;0</f>
        <v>0</v>
      </c>
      <c r="I298">
        <f>SUMIFS(OrderLines[Revenue],OrderLines[OrderID],Orders[[#This Row],[OrderID]])</f>
        <v>194.69040000000001</v>
      </c>
      <c r="J298" t="str">
        <f>IF(AND(COUNTIFS(OrderLines[OrderID],Orders[[#This Row],[OrderID]],OrderLines[Category],"Hot Meal")&gt;0,COUNTIFS(OrderLines[OrderID],Orders[[#This Row],[OrderID]],OrderLines[Category],"Beverage")&gt;0),"Combo","Single")</f>
        <v>Single</v>
      </c>
      <c r="K298" s="17" t="str">
        <f>IF(SUMPRODUCT((OrderLines[OrderID]=Orders[[#This Row],[OrderID]])*OrderLines[Qty]*OrderLines[UnitPrice])*Orders[[#This Row],[DiscountPct]]&gt;40,"HighDisc","OK")</f>
        <v>OK</v>
      </c>
      <c r="L298" s="11">
        <f>SUMIFS(OrderLines[Revenue],OrderLines[OrderID],Orders[[#This Row],[OrderID]])-SUMIFS(OrderLines[FoodCost],OrderLines[OrderID],Orders[[#This Row],[OrderID]])</f>
        <v>87.260400000000004</v>
      </c>
      <c r="M298" s="5">
        <f>Orders[[#This Row],[GrossProfit]]/Orders[[#This Row],[OrderTotal]]</f>
        <v>0.44820083578851344</v>
      </c>
      <c r="N298" s="17" t="b">
        <f>COUNTIFS(OrderLines[OrderID],Orders[[#This Row],[OrderID]],OrderLines[Category],"Hot Meal")&gt;0</f>
        <v>0</v>
      </c>
      <c r="O298" s="17" t="b">
        <f>COUNTIFS(OrderLines[OrderID],Orders[[#This Row],[OrderID]],OrderLines[Category],"Snack")&gt;0</f>
        <v>1</v>
      </c>
      <c r="P298" s="17" t="b">
        <f>COUNTIFS(OrderLines[OrderID],Orders[[#This Row],[OrderID]],OrderLines[Category],"Dessert")&gt;0</f>
        <v>0</v>
      </c>
      <c r="Q298" s="11">
        <f>Orders[[#This Row],[OrderTotal]]-Orders[[#This Row],[GrossProfit]]</f>
        <v>107.43</v>
      </c>
    </row>
    <row r="299" spans="1:17" x14ac:dyDescent="0.25">
      <c r="A299" t="s">
        <v>335</v>
      </c>
      <c r="B299" s="1">
        <v>45881.752106481479</v>
      </c>
      <c r="C299" t="s">
        <v>15</v>
      </c>
      <c r="D299" t="s">
        <v>10</v>
      </c>
      <c r="E299" t="s">
        <v>11</v>
      </c>
      <c r="F299" t="s">
        <v>18</v>
      </c>
      <c r="G299" s="5">
        <v>0.04</v>
      </c>
      <c r="H299" t="b">
        <f>COUNTIFS(OrderLines[OrderID],Orders[[#This Row],[OrderID]],OrderLines[Category],"Beverage")&gt;0</f>
        <v>0</v>
      </c>
      <c r="I299">
        <f>SUMIFS(OrderLines[Revenue],OrderLines[OrderID],Orders[[#This Row],[OrderID]])</f>
        <v>246.6336</v>
      </c>
      <c r="J299" t="str">
        <f>IF(AND(COUNTIFS(OrderLines[OrderID],Orders[[#This Row],[OrderID]],OrderLines[Category],"Hot Meal")&gt;0,COUNTIFS(OrderLines[OrderID],Orders[[#This Row],[OrderID]],OrderLines[Category],"Beverage")&gt;0),"Combo","Single")</f>
        <v>Single</v>
      </c>
      <c r="K299" s="17" t="str">
        <f>IF(SUMPRODUCT((OrderLines[OrderID]=Orders[[#This Row],[OrderID]])*OrderLines[Qty]*OrderLines[UnitPrice])*Orders[[#This Row],[DiscountPct]]&gt;40,"HighDisc","OK")</f>
        <v>OK</v>
      </c>
      <c r="L299" s="11">
        <f>SUMIFS(OrderLines[Revenue],OrderLines[OrderID],Orders[[#This Row],[OrderID]])-SUMIFS(OrderLines[FoodCost],OrderLines[OrderID],Orders[[#This Row],[OrderID]])</f>
        <v>125.39360000000001</v>
      </c>
      <c r="M299" s="5">
        <f>Orders[[#This Row],[GrossProfit]]/Orders[[#This Row],[OrderTotal]]</f>
        <v>0.50842058827345504</v>
      </c>
      <c r="N299" s="17" t="b">
        <f>COUNTIFS(OrderLines[OrderID],Orders[[#This Row],[OrderID]],OrderLines[Category],"Hot Meal")&gt;0</f>
        <v>1</v>
      </c>
      <c r="O299" s="17" t="b">
        <f>COUNTIFS(OrderLines[OrderID],Orders[[#This Row],[OrderID]],OrderLines[Category],"Snack")&gt;0</f>
        <v>0</v>
      </c>
      <c r="P299" s="17" t="b">
        <f>COUNTIFS(OrderLines[OrderID],Orders[[#This Row],[OrderID]],OrderLines[Category],"Dessert")&gt;0</f>
        <v>0</v>
      </c>
      <c r="Q299" s="11">
        <f>Orders[[#This Row],[OrderTotal]]-Orders[[#This Row],[GrossProfit]]</f>
        <v>121.24</v>
      </c>
    </row>
    <row r="300" spans="1:17" x14ac:dyDescent="0.25">
      <c r="A300" t="s">
        <v>336</v>
      </c>
      <c r="B300" s="1">
        <v>45874.580983796302</v>
      </c>
      <c r="C300" t="s">
        <v>15</v>
      </c>
      <c r="D300" t="s">
        <v>16</v>
      </c>
      <c r="E300" t="s">
        <v>21</v>
      </c>
      <c r="F300" t="s">
        <v>22</v>
      </c>
      <c r="G300" s="5">
        <v>0.03</v>
      </c>
      <c r="H300" t="b">
        <f>COUNTIFS(OrderLines[OrderID],Orders[[#This Row],[OrderID]],OrderLines[Category],"Beverage")&gt;0</f>
        <v>1</v>
      </c>
      <c r="I300">
        <f>SUMIFS(OrderLines[Revenue],OrderLines[OrderID],Orders[[#This Row],[OrderID]])</f>
        <v>453.73690000000005</v>
      </c>
      <c r="J300" t="str">
        <f>IF(AND(COUNTIFS(OrderLines[OrderID],Orders[[#This Row],[OrderID]],OrderLines[Category],"Hot Meal")&gt;0,COUNTIFS(OrderLines[OrderID],Orders[[#This Row],[OrderID]],OrderLines[Category],"Beverage")&gt;0),"Combo","Single")</f>
        <v>Combo</v>
      </c>
      <c r="K300" s="17" t="str">
        <f>IF(SUMPRODUCT((OrderLines[OrderID]=Orders[[#This Row],[OrderID]])*OrderLines[Qty]*OrderLines[UnitPrice])*Orders[[#This Row],[DiscountPct]]&gt;40,"HighDisc","OK")</f>
        <v>OK</v>
      </c>
      <c r="L300" s="11">
        <f>SUMIFS(OrderLines[Revenue],OrderLines[OrderID],Orders[[#This Row],[OrderID]])-SUMIFS(OrderLines[FoodCost],OrderLines[OrderID],Orders[[#This Row],[OrderID]])</f>
        <v>215.37690000000003</v>
      </c>
      <c r="M300" s="5">
        <f>Orders[[#This Row],[GrossProfit]]/Orders[[#This Row],[OrderTotal]]</f>
        <v>0.47467353878426022</v>
      </c>
      <c r="N300" s="17" t="b">
        <f>COUNTIFS(OrderLines[OrderID],Orders[[#This Row],[OrderID]],OrderLines[Category],"Hot Meal")&gt;0</f>
        <v>1</v>
      </c>
      <c r="O300" s="17" t="b">
        <f>COUNTIFS(OrderLines[OrderID],Orders[[#This Row],[OrderID]],OrderLines[Category],"Snack")&gt;0</f>
        <v>1</v>
      </c>
      <c r="P300" s="17" t="b">
        <f>COUNTIFS(OrderLines[OrderID],Orders[[#This Row],[OrderID]],OrderLines[Category],"Dessert")&gt;0</f>
        <v>1</v>
      </c>
      <c r="Q300" s="11">
        <f>Orders[[#This Row],[OrderTotal]]-Orders[[#This Row],[GrossProfit]]</f>
        <v>238.36</v>
      </c>
    </row>
    <row r="301" spans="1:17" x14ac:dyDescent="0.25">
      <c r="A301" t="s">
        <v>337</v>
      </c>
      <c r="B301" s="1">
        <v>45872.102187500001</v>
      </c>
      <c r="C301" t="s">
        <v>9</v>
      </c>
      <c r="D301" t="s">
        <v>10</v>
      </c>
      <c r="E301" t="s">
        <v>17</v>
      </c>
      <c r="F301" t="s">
        <v>12</v>
      </c>
      <c r="G301" s="5">
        <v>7.0000000000000007E-2</v>
      </c>
      <c r="H301" t="b">
        <f>COUNTIFS(OrderLines[OrderID],Orders[[#This Row],[OrderID]],OrderLines[Category],"Beverage")&gt;0</f>
        <v>0</v>
      </c>
      <c r="I301">
        <f>SUMIFS(OrderLines[Revenue],OrderLines[OrderID],Orders[[#This Row],[OrderID]])</f>
        <v>376.82670000000002</v>
      </c>
      <c r="J301" t="str">
        <f>IF(AND(COUNTIFS(OrderLines[OrderID],Orders[[#This Row],[OrderID]],OrderLines[Category],"Hot Meal")&gt;0,COUNTIFS(OrderLines[OrderID],Orders[[#This Row],[OrderID]],OrderLines[Category],"Beverage")&gt;0),"Combo","Single")</f>
        <v>Single</v>
      </c>
      <c r="K301" s="17" t="str">
        <f>IF(SUMPRODUCT((OrderLines[OrderID]=Orders[[#This Row],[OrderID]])*OrderLines[Qty]*OrderLines[UnitPrice])*Orders[[#This Row],[DiscountPct]]&gt;40,"HighDisc","OK")</f>
        <v>OK</v>
      </c>
      <c r="L301" s="11">
        <f>SUMIFS(OrderLines[Revenue],OrderLines[OrderID],Orders[[#This Row],[OrderID]])-SUMIFS(OrderLines[FoodCost],OrderLines[OrderID],Orders[[#This Row],[OrderID]])</f>
        <v>191.19670000000002</v>
      </c>
      <c r="M301" s="5">
        <f>Orders[[#This Row],[GrossProfit]]/Orders[[#This Row],[OrderTotal]]</f>
        <v>0.507386286587442</v>
      </c>
      <c r="N301" s="17" t="b">
        <f>COUNTIFS(OrderLines[OrderID],Orders[[#This Row],[OrderID]],OrderLines[Category],"Hot Meal")&gt;0</f>
        <v>1</v>
      </c>
      <c r="O301" s="17" t="b">
        <f>COUNTIFS(OrderLines[OrderID],Orders[[#This Row],[OrderID]],OrderLines[Category],"Snack")&gt;0</f>
        <v>1</v>
      </c>
      <c r="P301" s="17" t="b">
        <f>COUNTIFS(OrderLines[OrderID],Orders[[#This Row],[OrderID]],OrderLines[Category],"Dessert")&gt;0</f>
        <v>1</v>
      </c>
      <c r="Q301" s="11">
        <f>Orders[[#This Row],[OrderTotal]]-Orders[[#This Row],[GrossProfit]]</f>
        <v>185.63</v>
      </c>
    </row>
    <row r="302" spans="1:17" x14ac:dyDescent="0.25">
      <c r="A302" t="s">
        <v>338</v>
      </c>
      <c r="B302" s="1">
        <v>45845.649398148147</v>
      </c>
      <c r="C302" t="s">
        <v>15</v>
      </c>
      <c r="D302" t="s">
        <v>28</v>
      </c>
      <c r="E302" t="s">
        <v>11</v>
      </c>
      <c r="F302" t="s">
        <v>22</v>
      </c>
      <c r="G302" s="5">
        <v>7.0000000000000007E-2</v>
      </c>
      <c r="H302" t="b">
        <f>COUNTIFS(OrderLines[OrderID],Orders[[#This Row],[OrderID]],OrderLines[Category],"Beverage")&gt;0</f>
        <v>0</v>
      </c>
      <c r="I302">
        <f>SUMIFS(OrderLines[Revenue],OrderLines[OrderID],Orders[[#This Row],[OrderID]])</f>
        <v>349.06619999999998</v>
      </c>
      <c r="J302" t="str">
        <f>IF(AND(COUNTIFS(OrderLines[OrderID],Orders[[#This Row],[OrderID]],OrderLines[Category],"Hot Meal")&gt;0,COUNTIFS(OrderLines[OrderID],Orders[[#This Row],[OrderID]],OrderLines[Category],"Beverage")&gt;0),"Combo","Single")</f>
        <v>Single</v>
      </c>
      <c r="K302" s="17" t="str">
        <f>IF(SUMPRODUCT((OrderLines[OrderID]=Orders[[#This Row],[OrderID]])*OrderLines[Qty]*OrderLines[UnitPrice])*Orders[[#This Row],[DiscountPct]]&gt;40,"HighDisc","OK")</f>
        <v>OK</v>
      </c>
      <c r="L302" s="11">
        <f>SUMIFS(OrderLines[Revenue],OrderLines[OrderID],Orders[[#This Row],[OrderID]])-SUMIFS(OrderLines[FoodCost],OrderLines[OrderID],Orders[[#This Row],[OrderID]])</f>
        <v>184.59619999999998</v>
      </c>
      <c r="M302" s="5">
        <f>Orders[[#This Row],[GrossProfit]]/Orders[[#This Row],[OrderTotal]]</f>
        <v>0.52882862906806782</v>
      </c>
      <c r="N302" s="17" t="b">
        <f>COUNTIFS(OrderLines[OrderID],Orders[[#This Row],[OrderID]],OrderLines[Category],"Hot Meal")&gt;0</f>
        <v>0</v>
      </c>
      <c r="O302" s="17" t="b">
        <f>COUNTIFS(OrderLines[OrderID],Orders[[#This Row],[OrderID]],OrderLines[Category],"Snack")&gt;0</f>
        <v>1</v>
      </c>
      <c r="P302" s="17" t="b">
        <f>COUNTIFS(OrderLines[OrderID],Orders[[#This Row],[OrderID]],OrderLines[Category],"Dessert")&gt;0</f>
        <v>1</v>
      </c>
      <c r="Q302" s="11">
        <f>Orders[[#This Row],[OrderTotal]]-Orders[[#This Row],[GrossProfit]]</f>
        <v>164.47</v>
      </c>
    </row>
    <row r="303" spans="1:17" x14ac:dyDescent="0.25">
      <c r="A303" t="s">
        <v>339</v>
      </c>
      <c r="B303" s="1">
        <v>45866.83792824074</v>
      </c>
      <c r="C303" t="s">
        <v>15</v>
      </c>
      <c r="D303" t="s">
        <v>10</v>
      </c>
      <c r="E303" t="s">
        <v>11</v>
      </c>
      <c r="F303" t="s">
        <v>18</v>
      </c>
      <c r="G303" s="5">
        <v>0.04</v>
      </c>
      <c r="H303" t="b">
        <f>COUNTIFS(OrderLines[OrderID],Orders[[#This Row],[OrderID]],OrderLines[Category],"Beverage")&gt;0</f>
        <v>1</v>
      </c>
      <c r="I303">
        <f>SUMIFS(OrderLines[Revenue],OrderLines[OrderID],Orders[[#This Row],[OrderID]])</f>
        <v>63.935999999999993</v>
      </c>
      <c r="J303" t="str">
        <f>IF(AND(COUNTIFS(OrderLines[OrderID],Orders[[#This Row],[OrderID]],OrderLines[Category],"Hot Meal")&gt;0,COUNTIFS(OrderLines[OrderID],Orders[[#This Row],[OrderID]],OrderLines[Category],"Beverage")&gt;0),"Combo","Single")</f>
        <v>Single</v>
      </c>
      <c r="K303" s="17" t="str">
        <f>IF(SUMPRODUCT((OrderLines[OrderID]=Orders[[#This Row],[OrderID]])*OrderLines[Qty]*OrderLines[UnitPrice])*Orders[[#This Row],[DiscountPct]]&gt;40,"HighDisc","OK")</f>
        <v>OK</v>
      </c>
      <c r="L303" s="11">
        <f>SUMIFS(OrderLines[Revenue],OrderLines[OrderID],Orders[[#This Row],[OrderID]])-SUMIFS(OrderLines[FoodCost],OrderLines[OrderID],Orders[[#This Row],[OrderID]])</f>
        <v>35.795999999999992</v>
      </c>
      <c r="M303" s="5">
        <f>Orders[[#This Row],[GrossProfit]]/Orders[[#This Row],[OrderTotal]]</f>
        <v>0.55987237237237231</v>
      </c>
      <c r="N303" s="17" t="b">
        <f>COUNTIFS(OrderLines[OrderID],Orders[[#This Row],[OrderID]],OrderLines[Category],"Hot Meal")&gt;0</f>
        <v>0</v>
      </c>
      <c r="O303" s="17" t="b">
        <f>COUNTIFS(OrderLines[OrderID],Orders[[#This Row],[OrderID]],OrderLines[Category],"Snack")&gt;0</f>
        <v>0</v>
      </c>
      <c r="P303" s="17" t="b">
        <f>COUNTIFS(OrderLines[OrderID],Orders[[#This Row],[OrderID]],OrderLines[Category],"Dessert")&gt;0</f>
        <v>0</v>
      </c>
      <c r="Q303" s="11">
        <f>Orders[[#This Row],[OrderTotal]]-Orders[[#This Row],[GrossProfit]]</f>
        <v>28.14</v>
      </c>
    </row>
    <row r="304" spans="1:17" x14ac:dyDescent="0.25">
      <c r="A304" t="s">
        <v>340</v>
      </c>
      <c r="B304" s="1">
        <v>45871.616238425922</v>
      </c>
      <c r="C304" t="s">
        <v>27</v>
      </c>
      <c r="D304" t="s">
        <v>10</v>
      </c>
      <c r="E304" t="s">
        <v>11</v>
      </c>
      <c r="F304" t="s">
        <v>22</v>
      </c>
      <c r="G304" s="5">
        <v>0.04</v>
      </c>
      <c r="H304" t="b">
        <f>COUNTIFS(OrderLines[OrderID],Orders[[#This Row],[OrderID]],OrderLines[Category],"Beverage")&gt;0</f>
        <v>0</v>
      </c>
      <c r="I304">
        <f>SUMIFS(OrderLines[Revenue],OrderLines[OrderID],Orders[[#This Row],[OrderID]])</f>
        <v>149.7792</v>
      </c>
      <c r="J304" t="str">
        <f>IF(AND(COUNTIFS(OrderLines[OrderID],Orders[[#This Row],[OrderID]],OrderLines[Category],"Hot Meal")&gt;0,COUNTIFS(OrderLines[OrderID],Orders[[#This Row],[OrderID]],OrderLines[Category],"Beverage")&gt;0),"Combo","Single")</f>
        <v>Single</v>
      </c>
      <c r="K304" s="17" t="str">
        <f>IF(SUMPRODUCT((OrderLines[OrderID]=Orders[[#This Row],[OrderID]])*OrderLines[Qty]*OrderLines[UnitPrice])*Orders[[#This Row],[DiscountPct]]&gt;40,"HighDisc","OK")</f>
        <v>OK</v>
      </c>
      <c r="L304" s="11">
        <f>SUMIFS(OrderLines[Revenue],OrderLines[OrderID],Orders[[#This Row],[OrderID]])-SUMIFS(OrderLines[FoodCost],OrderLines[OrderID],Orders[[#This Row],[OrderID]])</f>
        <v>79.659199999999998</v>
      </c>
      <c r="M304" s="5">
        <f>Orders[[#This Row],[GrossProfit]]/Orders[[#This Row],[OrderTotal]]</f>
        <v>0.53184420800752041</v>
      </c>
      <c r="N304" s="17" t="b">
        <f>COUNTIFS(OrderLines[OrderID],Orders[[#This Row],[OrderID]],OrderLines[Category],"Hot Meal")&gt;0</f>
        <v>0</v>
      </c>
      <c r="O304" s="17" t="b">
        <f>COUNTIFS(OrderLines[OrderID],Orders[[#This Row],[OrderID]],OrderLines[Category],"Snack")&gt;0</f>
        <v>1</v>
      </c>
      <c r="P304" s="17" t="b">
        <f>COUNTIFS(OrderLines[OrderID],Orders[[#This Row],[OrderID]],OrderLines[Category],"Dessert")&gt;0</f>
        <v>0</v>
      </c>
      <c r="Q304" s="11">
        <f>Orders[[#This Row],[OrderTotal]]-Orders[[#This Row],[GrossProfit]]</f>
        <v>70.12</v>
      </c>
    </row>
    <row r="305" spans="1:17" x14ac:dyDescent="0.25">
      <c r="A305" t="s">
        <v>341</v>
      </c>
      <c r="B305" s="1">
        <v>45873.214224537027</v>
      </c>
      <c r="C305" t="s">
        <v>15</v>
      </c>
      <c r="D305" t="s">
        <v>10</v>
      </c>
      <c r="E305" t="s">
        <v>11</v>
      </c>
      <c r="F305" t="s">
        <v>12</v>
      </c>
      <c r="G305" s="5">
        <v>7.0000000000000007E-2</v>
      </c>
      <c r="H305" t="b">
        <f>COUNTIFS(OrderLines[OrderID],Orders[[#This Row],[OrderID]],OrderLines[Category],"Beverage")&gt;0</f>
        <v>1</v>
      </c>
      <c r="I305">
        <f>SUMIFS(OrderLines[Revenue],OrderLines[OrderID],Orders[[#This Row],[OrderID]])</f>
        <v>30.671399999999995</v>
      </c>
      <c r="J305" t="str">
        <f>IF(AND(COUNTIFS(OrderLines[OrderID],Orders[[#This Row],[OrderID]],OrderLines[Category],"Hot Meal")&gt;0,COUNTIFS(OrderLines[OrderID],Orders[[#This Row],[OrderID]],OrderLines[Category],"Beverage")&gt;0),"Combo","Single")</f>
        <v>Single</v>
      </c>
      <c r="K305" s="17" t="str">
        <f>IF(SUMPRODUCT((OrderLines[OrderID]=Orders[[#This Row],[OrderID]])*OrderLines[Qty]*OrderLines[UnitPrice])*Orders[[#This Row],[DiscountPct]]&gt;40,"HighDisc","OK")</f>
        <v>OK</v>
      </c>
      <c r="L305" s="11">
        <f>SUMIFS(OrderLines[Revenue],OrderLines[OrderID],Orders[[#This Row],[OrderID]])-SUMIFS(OrderLines[FoodCost],OrderLines[OrderID],Orders[[#This Row],[OrderID]])</f>
        <v>18.831399999999995</v>
      </c>
      <c r="M305" s="5">
        <f>Orders[[#This Row],[GrossProfit]]/Orders[[#This Row],[OrderTotal]]</f>
        <v>0.61397262596425328</v>
      </c>
      <c r="N305" s="17" t="b">
        <f>COUNTIFS(OrderLines[OrderID],Orders[[#This Row],[OrderID]],OrderLines[Category],"Hot Meal")&gt;0</f>
        <v>0</v>
      </c>
      <c r="O305" s="17" t="b">
        <f>COUNTIFS(OrderLines[OrderID],Orders[[#This Row],[OrderID]],OrderLines[Category],"Snack")&gt;0</f>
        <v>0</v>
      </c>
      <c r="P305" s="17" t="b">
        <f>COUNTIFS(OrderLines[OrderID],Orders[[#This Row],[OrderID]],OrderLines[Category],"Dessert")&gt;0</f>
        <v>0</v>
      </c>
      <c r="Q305" s="11">
        <f>Orders[[#This Row],[OrderTotal]]-Orders[[#This Row],[GrossProfit]]</f>
        <v>11.84</v>
      </c>
    </row>
    <row r="306" spans="1:17" x14ac:dyDescent="0.25">
      <c r="A306" t="s">
        <v>342</v>
      </c>
      <c r="B306" s="1">
        <v>45851.769953703697</v>
      </c>
      <c r="C306" t="s">
        <v>9</v>
      </c>
      <c r="D306" t="s">
        <v>10</v>
      </c>
      <c r="E306" t="s">
        <v>17</v>
      </c>
      <c r="F306" t="s">
        <v>18</v>
      </c>
      <c r="G306" s="5">
        <v>0</v>
      </c>
      <c r="H306" t="b">
        <f>COUNTIFS(OrderLines[OrderID],Orders[[#This Row],[OrderID]],OrderLines[Category],"Beverage")&gt;0</f>
        <v>0</v>
      </c>
      <c r="I306">
        <f>SUMIFS(OrderLines[Revenue],OrderLines[OrderID],Orders[[#This Row],[OrderID]])</f>
        <v>572.08000000000004</v>
      </c>
      <c r="J306" t="str">
        <f>IF(AND(COUNTIFS(OrderLines[OrderID],Orders[[#This Row],[OrderID]],OrderLines[Category],"Hot Meal")&gt;0,COUNTIFS(OrderLines[OrderID],Orders[[#This Row],[OrderID]],OrderLines[Category],"Beverage")&gt;0),"Combo","Single")</f>
        <v>Single</v>
      </c>
      <c r="K306" s="17" t="str">
        <f>IF(SUMPRODUCT((OrderLines[OrderID]=Orders[[#This Row],[OrderID]])*OrderLines[Qty]*OrderLines[UnitPrice])*Orders[[#This Row],[DiscountPct]]&gt;40,"HighDisc","OK")</f>
        <v>OK</v>
      </c>
      <c r="L306" s="11">
        <f>SUMIFS(OrderLines[Revenue],OrderLines[OrderID],Orders[[#This Row],[OrderID]])-SUMIFS(OrderLines[FoodCost],OrderLines[OrderID],Orders[[#This Row],[OrderID]])</f>
        <v>316.90000000000003</v>
      </c>
      <c r="M306" s="5">
        <f>Orders[[#This Row],[GrossProfit]]/Orders[[#This Row],[OrderTotal]]</f>
        <v>0.5539435044049783</v>
      </c>
      <c r="N306" s="17" t="b">
        <f>COUNTIFS(OrderLines[OrderID],Orders[[#This Row],[OrderID]],OrderLines[Category],"Hot Meal")&gt;0</f>
        <v>1</v>
      </c>
      <c r="O306" s="17" t="b">
        <f>COUNTIFS(OrderLines[OrderID],Orders[[#This Row],[OrderID]],OrderLines[Category],"Snack")&gt;0</f>
        <v>1</v>
      </c>
      <c r="P306" s="17" t="b">
        <f>COUNTIFS(OrderLines[OrderID],Orders[[#This Row],[OrderID]],OrderLines[Category],"Dessert")&gt;0</f>
        <v>0</v>
      </c>
      <c r="Q306" s="11">
        <f>Orders[[#This Row],[OrderTotal]]-Orders[[#This Row],[GrossProfit]]</f>
        <v>255.18</v>
      </c>
    </row>
    <row r="307" spans="1:17" x14ac:dyDescent="0.25">
      <c r="A307" t="s">
        <v>343</v>
      </c>
      <c r="B307" s="1">
        <v>45893.515949074077</v>
      </c>
      <c r="C307" t="s">
        <v>15</v>
      </c>
      <c r="D307" t="s">
        <v>10</v>
      </c>
      <c r="E307" t="s">
        <v>21</v>
      </c>
      <c r="F307" t="s">
        <v>22</v>
      </c>
      <c r="G307" s="5">
        <v>0</v>
      </c>
      <c r="H307" t="b">
        <f>COUNTIFS(OrderLines[OrderID],Orders[[#This Row],[OrderID]],OrderLines[Category],"Beverage")&gt;0</f>
        <v>1</v>
      </c>
      <c r="I307">
        <f>SUMIFS(OrderLines[Revenue],OrderLines[OrderID],Orders[[#This Row],[OrderID]])</f>
        <v>680.33</v>
      </c>
      <c r="J307" t="str">
        <f>IF(AND(COUNTIFS(OrderLines[OrderID],Orders[[#This Row],[OrderID]],OrderLines[Category],"Hot Meal")&gt;0,COUNTIFS(OrderLines[OrderID],Orders[[#This Row],[OrderID]],OrderLines[Category],"Beverage")&gt;0),"Combo","Single")</f>
        <v>Combo</v>
      </c>
      <c r="K307" s="17" t="str">
        <f>IF(SUMPRODUCT((OrderLines[OrderID]=Orders[[#This Row],[OrderID]])*OrderLines[Qty]*OrderLines[UnitPrice])*Orders[[#This Row],[DiscountPct]]&gt;40,"HighDisc","OK")</f>
        <v>OK</v>
      </c>
      <c r="L307" s="11">
        <f>SUMIFS(OrderLines[Revenue],OrderLines[OrderID],Orders[[#This Row],[OrderID]])-SUMIFS(OrderLines[FoodCost],OrderLines[OrderID],Orders[[#This Row],[OrderID]])</f>
        <v>332.89000000000004</v>
      </c>
      <c r="M307" s="5">
        <f>Orders[[#This Row],[GrossProfit]]/Orders[[#This Row],[OrderTotal]]</f>
        <v>0.48930666000323375</v>
      </c>
      <c r="N307" s="17" t="b">
        <f>COUNTIFS(OrderLines[OrderID],Orders[[#This Row],[OrderID]],OrderLines[Category],"Hot Meal")&gt;0</f>
        <v>1</v>
      </c>
      <c r="O307" s="17" t="b">
        <f>COUNTIFS(OrderLines[OrderID],Orders[[#This Row],[OrderID]],OrderLines[Category],"Snack")&gt;0</f>
        <v>1</v>
      </c>
      <c r="P307" s="17" t="b">
        <f>COUNTIFS(OrderLines[OrderID],Orders[[#This Row],[OrderID]],OrderLines[Category],"Dessert")&gt;0</f>
        <v>0</v>
      </c>
      <c r="Q307" s="11">
        <f>Orders[[#This Row],[OrderTotal]]-Orders[[#This Row],[GrossProfit]]</f>
        <v>347.44</v>
      </c>
    </row>
    <row r="308" spans="1:17" x14ac:dyDescent="0.25">
      <c r="A308" t="s">
        <v>344</v>
      </c>
      <c r="B308" s="1">
        <v>45890.357719907413</v>
      </c>
      <c r="C308" t="s">
        <v>27</v>
      </c>
      <c r="D308" t="s">
        <v>10</v>
      </c>
      <c r="E308" t="s">
        <v>11</v>
      </c>
      <c r="F308" t="s">
        <v>12</v>
      </c>
      <c r="G308" s="5">
        <v>0.03</v>
      </c>
      <c r="H308" t="b">
        <f>COUNTIFS(OrderLines[OrderID],Orders[[#This Row],[OrderID]],OrderLines[Category],"Beverage")&gt;0</f>
        <v>1</v>
      </c>
      <c r="I308">
        <f>SUMIFS(OrderLines[Revenue],OrderLines[OrderID],Orders[[#This Row],[OrderID]])</f>
        <v>414.88839999999999</v>
      </c>
      <c r="J308" t="str">
        <f>IF(AND(COUNTIFS(OrderLines[OrderID],Orders[[#This Row],[OrderID]],OrderLines[Category],"Hot Meal")&gt;0,COUNTIFS(OrderLines[OrderID],Orders[[#This Row],[OrderID]],OrderLines[Category],"Beverage")&gt;0),"Combo","Single")</f>
        <v>Combo</v>
      </c>
      <c r="K308" s="17" t="str">
        <f>IF(SUMPRODUCT((OrderLines[OrderID]=Orders[[#This Row],[OrderID]])*OrderLines[Qty]*OrderLines[UnitPrice])*Orders[[#This Row],[DiscountPct]]&gt;40,"HighDisc","OK")</f>
        <v>OK</v>
      </c>
      <c r="L308" s="11">
        <f>SUMIFS(OrderLines[Revenue],OrderLines[OrderID],Orders[[#This Row],[OrderID]])-SUMIFS(OrderLines[FoodCost],OrderLines[OrderID],Orders[[#This Row],[OrderID]])</f>
        <v>217.45839999999998</v>
      </c>
      <c r="M308" s="5">
        <f>Orders[[#This Row],[GrossProfit]]/Orders[[#This Row],[OrderTotal]]</f>
        <v>0.52413709325206481</v>
      </c>
      <c r="N308" s="17" t="b">
        <f>COUNTIFS(OrderLines[OrderID],Orders[[#This Row],[OrderID]],OrderLines[Category],"Hot Meal")&gt;0</f>
        <v>1</v>
      </c>
      <c r="O308" s="17" t="b">
        <f>COUNTIFS(OrderLines[OrderID],Orders[[#This Row],[OrderID]],OrderLines[Category],"Snack")&gt;0</f>
        <v>0</v>
      </c>
      <c r="P308" s="17" t="b">
        <f>COUNTIFS(OrderLines[OrderID],Orders[[#This Row],[OrderID]],OrderLines[Category],"Dessert")&gt;0</f>
        <v>1</v>
      </c>
      <c r="Q308" s="11">
        <f>Orders[[#This Row],[OrderTotal]]-Orders[[#This Row],[GrossProfit]]</f>
        <v>197.43</v>
      </c>
    </row>
    <row r="309" spans="1:17" x14ac:dyDescent="0.25">
      <c r="A309" t="s">
        <v>345</v>
      </c>
      <c r="B309" s="1">
        <v>45888.619328703702</v>
      </c>
      <c r="C309" t="s">
        <v>15</v>
      </c>
      <c r="D309" t="s">
        <v>28</v>
      </c>
      <c r="E309" t="s">
        <v>21</v>
      </c>
      <c r="F309" t="s">
        <v>22</v>
      </c>
      <c r="G309" s="5">
        <v>0.05</v>
      </c>
      <c r="H309" t="b">
        <f>COUNTIFS(OrderLines[OrderID],Orders[[#This Row],[OrderID]],OrderLines[Category],"Beverage")&gt;0</f>
        <v>0</v>
      </c>
      <c r="I309">
        <f>SUMIFS(OrderLines[Revenue],OrderLines[OrderID],Orders[[#This Row],[OrderID]])</f>
        <v>977.06549999999993</v>
      </c>
      <c r="J309" t="str">
        <f>IF(AND(COUNTIFS(OrderLines[OrderID],Orders[[#This Row],[OrderID]],OrderLines[Category],"Hot Meal")&gt;0,COUNTIFS(OrderLines[OrderID],Orders[[#This Row],[OrderID]],OrderLines[Category],"Beverage")&gt;0),"Combo","Single")</f>
        <v>Single</v>
      </c>
      <c r="K309" s="17" t="str">
        <f>IF(SUMPRODUCT((OrderLines[OrderID]=Orders[[#This Row],[OrderID]])*OrderLines[Qty]*OrderLines[UnitPrice])*Orders[[#This Row],[DiscountPct]]&gt;40,"HighDisc","OK")</f>
        <v>HighDisc</v>
      </c>
      <c r="L309" s="11">
        <f>SUMIFS(OrderLines[Revenue],OrderLines[OrderID],Orders[[#This Row],[OrderID]])-SUMIFS(OrderLines[FoodCost],OrderLines[OrderID],Orders[[#This Row],[OrderID]])</f>
        <v>516.8454999999999</v>
      </c>
      <c r="M309" s="5">
        <f>Orders[[#This Row],[GrossProfit]]/Orders[[#This Row],[OrderTotal]]</f>
        <v>0.52897733058837915</v>
      </c>
      <c r="N309" s="17" t="b">
        <f>COUNTIFS(OrderLines[OrderID],Orders[[#This Row],[OrderID]],OrderLines[Category],"Hot Meal")&gt;0</f>
        <v>1</v>
      </c>
      <c r="O309" s="17" t="b">
        <f>COUNTIFS(OrderLines[OrderID],Orders[[#This Row],[OrderID]],OrderLines[Category],"Snack")&gt;0</f>
        <v>0</v>
      </c>
      <c r="P309" s="17" t="b">
        <f>COUNTIFS(OrderLines[OrderID],Orders[[#This Row],[OrderID]],OrderLines[Category],"Dessert")&gt;0</f>
        <v>1</v>
      </c>
      <c r="Q309" s="11">
        <f>Orders[[#This Row],[OrderTotal]]-Orders[[#This Row],[GrossProfit]]</f>
        <v>460.22</v>
      </c>
    </row>
    <row r="310" spans="1:17" x14ac:dyDescent="0.25">
      <c r="A310" t="s">
        <v>346</v>
      </c>
      <c r="B310" s="1">
        <v>45856.751782407409</v>
      </c>
      <c r="C310" t="s">
        <v>27</v>
      </c>
      <c r="D310" t="s">
        <v>16</v>
      </c>
      <c r="E310" t="s">
        <v>21</v>
      </c>
      <c r="F310" t="s">
        <v>18</v>
      </c>
      <c r="G310" s="5">
        <v>7.0000000000000007E-2</v>
      </c>
      <c r="H310" t="b">
        <f>COUNTIFS(OrderLines[OrderID],Orders[[#This Row],[OrderID]],OrderLines[Category],"Beverage")&gt;0</f>
        <v>1</v>
      </c>
      <c r="I310">
        <f>SUMIFS(OrderLines[Revenue],OrderLines[OrderID],Orders[[#This Row],[OrderID]])</f>
        <v>101.46299999999999</v>
      </c>
      <c r="J310" t="str">
        <f>IF(AND(COUNTIFS(OrderLines[OrderID],Orders[[#This Row],[OrderID]],OrderLines[Category],"Hot Meal")&gt;0,COUNTIFS(OrderLines[OrderID],Orders[[#This Row],[OrderID]],OrderLines[Category],"Beverage")&gt;0),"Combo","Single")</f>
        <v>Single</v>
      </c>
      <c r="K310" s="17" t="str">
        <f>IF(SUMPRODUCT((OrderLines[OrderID]=Orders[[#This Row],[OrderID]])*OrderLines[Qty]*OrderLines[UnitPrice])*Orders[[#This Row],[DiscountPct]]&gt;40,"HighDisc","OK")</f>
        <v>OK</v>
      </c>
      <c r="L310" s="11">
        <f>SUMIFS(OrderLines[Revenue],OrderLines[OrderID],Orders[[#This Row],[OrderID]])-SUMIFS(OrderLines[FoodCost],OrderLines[OrderID],Orders[[#This Row],[OrderID]])</f>
        <v>50.522999999999996</v>
      </c>
      <c r="M310" s="5">
        <f>Orders[[#This Row],[GrossProfit]]/Orders[[#This Row],[OrderTotal]]</f>
        <v>0.49794506371780844</v>
      </c>
      <c r="N310" s="17" t="b">
        <f>COUNTIFS(OrderLines[OrderID],Orders[[#This Row],[OrderID]],OrderLines[Category],"Hot Meal")&gt;0</f>
        <v>0</v>
      </c>
      <c r="O310" s="17" t="b">
        <f>COUNTIFS(OrderLines[OrderID],Orders[[#This Row],[OrderID]],OrderLines[Category],"Snack")&gt;0</f>
        <v>1</v>
      </c>
      <c r="P310" s="17" t="b">
        <f>COUNTIFS(OrderLines[OrderID],Orders[[#This Row],[OrderID]],OrderLines[Category],"Dessert")&gt;0</f>
        <v>0</v>
      </c>
      <c r="Q310" s="11">
        <f>Orders[[#This Row],[OrderTotal]]-Orders[[#This Row],[GrossProfit]]</f>
        <v>50.94</v>
      </c>
    </row>
    <row r="311" spans="1:17" x14ac:dyDescent="0.25">
      <c r="A311" t="s">
        <v>347</v>
      </c>
      <c r="B311" s="1">
        <v>45861.245138888888</v>
      </c>
      <c r="C311" t="s">
        <v>27</v>
      </c>
      <c r="D311" t="s">
        <v>28</v>
      </c>
      <c r="E311" t="s">
        <v>17</v>
      </c>
      <c r="F311" t="s">
        <v>12</v>
      </c>
      <c r="G311" s="5">
        <v>0.12</v>
      </c>
      <c r="H311" t="b">
        <f>COUNTIFS(OrderLines[OrderID],Orders[[#This Row],[OrderID]],OrderLines[Category],"Beverage")&gt;0</f>
        <v>1</v>
      </c>
      <c r="I311">
        <f>SUMIFS(OrderLines[Revenue],OrderLines[OrderID],Orders[[#This Row],[OrderID]])</f>
        <v>162.30719999999999</v>
      </c>
      <c r="J311" t="str">
        <f>IF(AND(COUNTIFS(OrderLines[OrderID],Orders[[#This Row],[OrderID]],OrderLines[Category],"Hot Meal")&gt;0,COUNTIFS(OrderLines[OrderID],Orders[[#This Row],[OrderID]],OrderLines[Category],"Beverage")&gt;0),"Combo","Single")</f>
        <v>Single</v>
      </c>
      <c r="K311" s="17" t="str">
        <f>IF(SUMPRODUCT((OrderLines[OrderID]=Orders[[#This Row],[OrderID]])*OrderLines[Qty]*OrderLines[UnitPrice])*Orders[[#This Row],[DiscountPct]]&gt;40,"HighDisc","OK")</f>
        <v>OK</v>
      </c>
      <c r="L311" s="11">
        <f>SUMIFS(OrderLines[Revenue],OrderLines[OrderID],Orders[[#This Row],[OrderID]])-SUMIFS(OrderLines[FoodCost],OrderLines[OrderID],Orders[[#This Row],[OrderID]])</f>
        <v>73.417199999999994</v>
      </c>
      <c r="M311" s="5">
        <f>Orders[[#This Row],[GrossProfit]]/Orders[[#This Row],[OrderTotal]]</f>
        <v>0.45233483172650379</v>
      </c>
      <c r="N311" s="17" t="b">
        <f>COUNTIFS(OrderLines[OrderID],Orders[[#This Row],[OrderID]],OrderLines[Category],"Hot Meal")&gt;0</f>
        <v>0</v>
      </c>
      <c r="O311" s="17" t="b">
        <f>COUNTIFS(OrderLines[OrderID],Orders[[#This Row],[OrderID]],OrderLines[Category],"Snack")&gt;0</f>
        <v>1</v>
      </c>
      <c r="P311" s="17" t="b">
        <f>COUNTIFS(OrderLines[OrderID],Orders[[#This Row],[OrderID]],OrderLines[Category],"Dessert")&gt;0</f>
        <v>1</v>
      </c>
      <c r="Q311" s="11">
        <f>Orders[[#This Row],[OrderTotal]]-Orders[[#This Row],[GrossProfit]]</f>
        <v>88.89</v>
      </c>
    </row>
    <row r="312" spans="1:17" x14ac:dyDescent="0.25">
      <c r="A312" t="s">
        <v>348</v>
      </c>
      <c r="B312" s="1">
        <v>45849.069791666669</v>
      </c>
      <c r="C312" t="s">
        <v>9</v>
      </c>
      <c r="D312" t="s">
        <v>10</v>
      </c>
      <c r="E312" t="s">
        <v>11</v>
      </c>
      <c r="F312" t="s">
        <v>12</v>
      </c>
      <c r="G312" s="5">
        <v>0.09</v>
      </c>
      <c r="H312" t="b">
        <f>COUNTIFS(OrderLines[OrderID],Orders[[#This Row],[OrderID]],OrderLines[Category],"Beverage")&gt;0</f>
        <v>0</v>
      </c>
      <c r="I312">
        <f>SUMIFS(OrderLines[Revenue],OrderLines[OrderID],Orders[[#This Row],[OrderID]])</f>
        <v>314.87819999999999</v>
      </c>
      <c r="J312" t="str">
        <f>IF(AND(COUNTIFS(OrderLines[OrderID],Orders[[#This Row],[OrderID]],OrderLines[Category],"Hot Meal")&gt;0,COUNTIFS(OrderLines[OrderID],Orders[[#This Row],[OrderID]],OrderLines[Category],"Beverage")&gt;0),"Combo","Single")</f>
        <v>Single</v>
      </c>
      <c r="K312" s="17" t="str">
        <f>IF(SUMPRODUCT((OrderLines[OrderID]=Orders[[#This Row],[OrderID]])*OrderLines[Qty]*OrderLines[UnitPrice])*Orders[[#This Row],[DiscountPct]]&gt;40,"HighDisc","OK")</f>
        <v>OK</v>
      </c>
      <c r="L312" s="11">
        <f>SUMIFS(OrderLines[Revenue],OrderLines[OrderID],Orders[[#This Row],[OrderID]])-SUMIFS(OrderLines[FoodCost],OrderLines[OrderID],Orders[[#This Row],[OrderID]])</f>
        <v>150.34819999999999</v>
      </c>
      <c r="M312" s="5">
        <f>Orders[[#This Row],[GrossProfit]]/Orders[[#This Row],[OrderTotal]]</f>
        <v>0.47748049880874571</v>
      </c>
      <c r="N312" s="17" t="b">
        <f>COUNTIFS(OrderLines[OrderID],Orders[[#This Row],[OrderID]],OrderLines[Category],"Hot Meal")&gt;0</f>
        <v>0</v>
      </c>
      <c r="O312" s="17" t="b">
        <f>COUNTIFS(OrderLines[OrderID],Orders[[#This Row],[OrderID]],OrderLines[Category],"Snack")&gt;0</f>
        <v>1</v>
      </c>
      <c r="P312" s="17" t="b">
        <f>COUNTIFS(OrderLines[OrderID],Orders[[#This Row],[OrderID]],OrderLines[Category],"Dessert")&gt;0</f>
        <v>1</v>
      </c>
      <c r="Q312" s="11">
        <f>Orders[[#This Row],[OrderTotal]]-Orders[[#This Row],[GrossProfit]]</f>
        <v>164.53</v>
      </c>
    </row>
    <row r="313" spans="1:17" x14ac:dyDescent="0.25">
      <c r="A313" t="s">
        <v>349</v>
      </c>
      <c r="B313" s="1">
        <v>45842.914907407408</v>
      </c>
      <c r="C313" t="s">
        <v>9</v>
      </c>
      <c r="D313" t="s">
        <v>16</v>
      </c>
      <c r="E313" t="s">
        <v>11</v>
      </c>
      <c r="F313" t="s">
        <v>18</v>
      </c>
      <c r="G313" s="5">
        <v>0.05</v>
      </c>
      <c r="H313" t="b">
        <f>COUNTIFS(OrderLines[OrderID],Orders[[#This Row],[OrderID]],OrderLines[Category],"Beverage")&gt;0</f>
        <v>0</v>
      </c>
      <c r="I313">
        <f>SUMIFS(OrderLines[Revenue],OrderLines[OrderID],Orders[[#This Row],[OrderID]])</f>
        <v>260.96500000000003</v>
      </c>
      <c r="J313" t="str">
        <f>IF(AND(COUNTIFS(OrderLines[OrderID],Orders[[#This Row],[OrderID]],OrderLines[Category],"Hot Meal")&gt;0,COUNTIFS(OrderLines[OrderID],Orders[[#This Row],[OrderID]],OrderLines[Category],"Beverage")&gt;0),"Combo","Single")</f>
        <v>Single</v>
      </c>
      <c r="K313" s="17" t="str">
        <f>IF(SUMPRODUCT((OrderLines[OrderID]=Orders[[#This Row],[OrderID]])*OrderLines[Qty]*OrderLines[UnitPrice])*Orders[[#This Row],[DiscountPct]]&gt;40,"HighDisc","OK")</f>
        <v>OK</v>
      </c>
      <c r="L313" s="11">
        <f>SUMIFS(OrderLines[Revenue],OrderLines[OrderID],Orders[[#This Row],[OrderID]])-SUMIFS(OrderLines[FoodCost],OrderLines[OrderID],Orders[[#This Row],[OrderID]])</f>
        <v>121.97500000000002</v>
      </c>
      <c r="M313" s="5">
        <f>Orders[[#This Row],[GrossProfit]]/Orders[[#This Row],[OrderTotal]]</f>
        <v>0.46739984289080916</v>
      </c>
      <c r="N313" s="17" t="b">
        <f>COUNTIFS(OrderLines[OrderID],Orders[[#This Row],[OrderID]],OrderLines[Category],"Hot Meal")&gt;0</f>
        <v>0</v>
      </c>
      <c r="O313" s="17" t="b">
        <f>COUNTIFS(OrderLines[OrderID],Orders[[#This Row],[OrderID]],OrderLines[Category],"Snack")&gt;0</f>
        <v>1</v>
      </c>
      <c r="P313" s="17" t="b">
        <f>COUNTIFS(OrderLines[OrderID],Orders[[#This Row],[OrderID]],OrderLines[Category],"Dessert")&gt;0</f>
        <v>1</v>
      </c>
      <c r="Q313" s="11">
        <f>Orders[[#This Row],[OrderTotal]]-Orders[[#This Row],[GrossProfit]]</f>
        <v>138.99</v>
      </c>
    </row>
    <row r="314" spans="1:17" x14ac:dyDescent="0.25">
      <c r="A314" t="s">
        <v>350</v>
      </c>
      <c r="B314" s="1">
        <v>45897.236875000002</v>
      </c>
      <c r="C314" t="s">
        <v>15</v>
      </c>
      <c r="D314" t="s">
        <v>28</v>
      </c>
      <c r="E314" t="s">
        <v>17</v>
      </c>
      <c r="F314" t="s">
        <v>12</v>
      </c>
      <c r="G314" s="5">
        <v>0.06</v>
      </c>
      <c r="H314" t="b">
        <f>COUNTIFS(OrderLines[OrderID],Orders[[#This Row],[OrderID]],OrderLines[Category],"Beverage")&gt;0</f>
        <v>0</v>
      </c>
      <c r="I314">
        <f>SUMIFS(OrderLines[Revenue],OrderLines[OrderID],Orders[[#This Row],[OrderID]])</f>
        <v>50.948</v>
      </c>
      <c r="J314" t="str">
        <f>IF(AND(COUNTIFS(OrderLines[OrderID],Orders[[#This Row],[OrderID]],OrderLines[Category],"Hot Meal")&gt;0,COUNTIFS(OrderLines[OrderID],Orders[[#This Row],[OrderID]],OrderLines[Category],"Beverage")&gt;0),"Combo","Single")</f>
        <v>Single</v>
      </c>
      <c r="K314" s="17" t="str">
        <f>IF(SUMPRODUCT((OrderLines[OrderID]=Orders[[#This Row],[OrderID]])*OrderLines[Qty]*OrderLines[UnitPrice])*Orders[[#This Row],[DiscountPct]]&gt;40,"HighDisc","OK")</f>
        <v>OK</v>
      </c>
      <c r="L314" s="11">
        <f>SUMIFS(OrderLines[Revenue],OrderLines[OrderID],Orders[[#This Row],[OrderID]])-SUMIFS(OrderLines[FoodCost],OrderLines[OrderID],Orders[[#This Row],[OrderID]])</f>
        <v>28.998000000000001</v>
      </c>
      <c r="M314" s="5">
        <f>Orders[[#This Row],[GrossProfit]]/Orders[[#This Row],[OrderTotal]]</f>
        <v>0.56916856402606586</v>
      </c>
      <c r="N314" s="17" t="b">
        <f>COUNTIFS(OrderLines[OrderID],Orders[[#This Row],[OrderID]],OrderLines[Category],"Hot Meal")&gt;0</f>
        <v>0</v>
      </c>
      <c r="O314" s="17" t="b">
        <f>COUNTIFS(OrderLines[OrderID],Orders[[#This Row],[OrderID]],OrderLines[Category],"Snack")&gt;0</f>
        <v>0</v>
      </c>
      <c r="P314" s="17" t="b">
        <f>COUNTIFS(OrderLines[OrderID],Orders[[#This Row],[OrderID]],OrderLines[Category],"Dessert")&gt;0</f>
        <v>1</v>
      </c>
      <c r="Q314" s="11">
        <f>Orders[[#This Row],[OrderTotal]]-Orders[[#This Row],[GrossProfit]]</f>
        <v>21.95</v>
      </c>
    </row>
    <row r="315" spans="1:17" x14ac:dyDescent="0.25">
      <c r="A315" t="s">
        <v>351</v>
      </c>
      <c r="B315" s="1">
        <v>45855.322256944448</v>
      </c>
      <c r="C315" t="s">
        <v>9</v>
      </c>
      <c r="D315" t="s">
        <v>16</v>
      </c>
      <c r="E315" t="s">
        <v>17</v>
      </c>
      <c r="F315" t="s">
        <v>12</v>
      </c>
      <c r="G315" s="5">
        <v>0.02</v>
      </c>
      <c r="H315" t="b">
        <f>COUNTIFS(OrderLines[OrderID],Orders[[#This Row],[OrderID]],OrderLines[Category],"Beverage")&gt;0</f>
        <v>1</v>
      </c>
      <c r="I315">
        <f>SUMIFS(OrderLines[Revenue],OrderLines[OrderID],Orders[[#This Row],[OrderID]])</f>
        <v>32.320399999999999</v>
      </c>
      <c r="J315" t="str">
        <f>IF(AND(COUNTIFS(OrderLines[OrderID],Orders[[#This Row],[OrderID]],OrderLines[Category],"Hot Meal")&gt;0,COUNTIFS(OrderLines[OrderID],Orders[[#This Row],[OrderID]],OrderLines[Category],"Beverage")&gt;0),"Combo","Single")</f>
        <v>Single</v>
      </c>
      <c r="K315" s="17" t="str">
        <f>IF(SUMPRODUCT((OrderLines[OrderID]=Orders[[#This Row],[OrderID]])*OrderLines[Qty]*OrderLines[UnitPrice])*Orders[[#This Row],[DiscountPct]]&gt;40,"HighDisc","OK")</f>
        <v>OK</v>
      </c>
      <c r="L315" s="11">
        <f>SUMIFS(OrderLines[Revenue],OrderLines[OrderID],Orders[[#This Row],[OrderID]])-SUMIFS(OrderLines[FoodCost],OrderLines[OrderID],Orders[[#This Row],[OrderID]])</f>
        <v>20.480399999999999</v>
      </c>
      <c r="M315" s="5">
        <f>Orders[[#This Row],[GrossProfit]]/Orders[[#This Row],[OrderTotal]]</f>
        <v>0.63366790014975061</v>
      </c>
      <c r="N315" s="17" t="b">
        <f>COUNTIFS(OrderLines[OrderID],Orders[[#This Row],[OrderID]],OrderLines[Category],"Hot Meal")&gt;0</f>
        <v>0</v>
      </c>
      <c r="O315" s="17" t="b">
        <f>COUNTIFS(OrderLines[OrderID],Orders[[#This Row],[OrderID]],OrderLines[Category],"Snack")&gt;0</f>
        <v>0</v>
      </c>
      <c r="P315" s="17" t="b">
        <f>COUNTIFS(OrderLines[OrderID],Orders[[#This Row],[OrderID]],OrderLines[Category],"Dessert")&gt;0</f>
        <v>0</v>
      </c>
      <c r="Q315" s="11">
        <f>Orders[[#This Row],[OrderTotal]]-Orders[[#This Row],[GrossProfit]]</f>
        <v>11.84</v>
      </c>
    </row>
    <row r="316" spans="1:17" x14ac:dyDescent="0.25">
      <c r="A316" t="s">
        <v>352</v>
      </c>
      <c r="B316" s="1">
        <v>45874.619953703703</v>
      </c>
      <c r="C316" t="s">
        <v>9</v>
      </c>
      <c r="D316" t="s">
        <v>10</v>
      </c>
      <c r="E316" t="s">
        <v>17</v>
      </c>
      <c r="F316" t="s">
        <v>22</v>
      </c>
      <c r="G316" s="5">
        <v>0.06</v>
      </c>
      <c r="H316" t="b">
        <f>COUNTIFS(OrderLines[OrderID],Orders[[#This Row],[OrderID]],OrderLines[Category],"Beverage")&gt;0</f>
        <v>0</v>
      </c>
      <c r="I316">
        <f>SUMIFS(OrderLines[Revenue],OrderLines[OrderID],Orders[[#This Row],[OrderID]])</f>
        <v>325.66299999999995</v>
      </c>
      <c r="J316" t="str">
        <f>IF(AND(COUNTIFS(OrderLines[OrderID],Orders[[#This Row],[OrderID]],OrderLines[Category],"Hot Meal")&gt;0,COUNTIFS(OrderLines[OrderID],Orders[[#This Row],[OrderID]],OrderLines[Category],"Beverage")&gt;0),"Combo","Single")</f>
        <v>Single</v>
      </c>
      <c r="K316" s="17" t="str">
        <f>IF(SUMPRODUCT((OrderLines[OrderID]=Orders[[#This Row],[OrderID]])*OrderLines[Qty]*OrderLines[UnitPrice])*Orders[[#This Row],[DiscountPct]]&gt;40,"HighDisc","OK")</f>
        <v>OK</v>
      </c>
      <c r="L316" s="11">
        <f>SUMIFS(OrderLines[Revenue],OrderLines[OrderID],Orders[[#This Row],[OrderID]])-SUMIFS(OrderLines[FoodCost],OrderLines[OrderID],Orders[[#This Row],[OrderID]])</f>
        <v>162.00299999999996</v>
      </c>
      <c r="M316" s="5">
        <f>Orders[[#This Row],[GrossProfit]]/Orders[[#This Row],[OrderTotal]]</f>
        <v>0.49745595907425766</v>
      </c>
      <c r="N316" s="17" t="b">
        <f>COUNTIFS(OrderLines[OrderID],Orders[[#This Row],[OrderID]],OrderLines[Category],"Hot Meal")&gt;0</f>
        <v>0</v>
      </c>
      <c r="O316" s="17" t="b">
        <f>COUNTIFS(OrderLines[OrderID],Orders[[#This Row],[OrderID]],OrderLines[Category],"Snack")&gt;0</f>
        <v>0</v>
      </c>
      <c r="P316" s="17" t="b">
        <f>COUNTIFS(OrderLines[OrderID],Orders[[#This Row],[OrderID]],OrderLines[Category],"Dessert")&gt;0</f>
        <v>1</v>
      </c>
      <c r="Q316" s="11">
        <f>Orders[[#This Row],[OrderTotal]]-Orders[[#This Row],[GrossProfit]]</f>
        <v>163.66</v>
      </c>
    </row>
    <row r="317" spans="1:17" x14ac:dyDescent="0.25">
      <c r="A317" t="s">
        <v>353</v>
      </c>
      <c r="B317" s="1">
        <v>45898.53292824074</v>
      </c>
      <c r="C317" t="s">
        <v>15</v>
      </c>
      <c r="D317" t="s">
        <v>10</v>
      </c>
      <c r="E317" t="s">
        <v>21</v>
      </c>
      <c r="F317" t="s">
        <v>22</v>
      </c>
      <c r="G317" s="5">
        <v>0.05</v>
      </c>
      <c r="H317" t="b">
        <f>COUNTIFS(OrderLines[OrderID],Orders[[#This Row],[OrderID]],OrderLines[Category],"Beverage")&gt;0</f>
        <v>1</v>
      </c>
      <c r="I317">
        <f>SUMIFS(OrderLines[Revenue],OrderLines[OrderID],Orders[[#This Row],[OrderID]])</f>
        <v>63.269999999999989</v>
      </c>
      <c r="J317" t="str">
        <f>IF(AND(COUNTIFS(OrderLines[OrderID],Orders[[#This Row],[OrderID]],OrderLines[Category],"Hot Meal")&gt;0,COUNTIFS(OrderLines[OrderID],Orders[[#This Row],[OrderID]],OrderLines[Category],"Beverage")&gt;0),"Combo","Single")</f>
        <v>Single</v>
      </c>
      <c r="K317" s="17" t="str">
        <f>IF(SUMPRODUCT((OrderLines[OrderID]=Orders[[#This Row],[OrderID]])*OrderLines[Qty]*OrderLines[UnitPrice])*Orders[[#This Row],[DiscountPct]]&gt;40,"HighDisc","OK")</f>
        <v>OK</v>
      </c>
      <c r="L317" s="11">
        <f>SUMIFS(OrderLines[Revenue],OrderLines[OrderID],Orders[[#This Row],[OrderID]])-SUMIFS(OrderLines[FoodCost],OrderLines[OrderID],Orders[[#This Row],[OrderID]])</f>
        <v>35.129999999999988</v>
      </c>
      <c r="M317" s="5">
        <f>Orders[[#This Row],[GrossProfit]]/Orders[[#This Row],[OrderTotal]]</f>
        <v>0.55523944997629204</v>
      </c>
      <c r="N317" s="17" t="b">
        <f>COUNTIFS(OrderLines[OrderID],Orders[[#This Row],[OrderID]],OrderLines[Category],"Hot Meal")&gt;0</f>
        <v>0</v>
      </c>
      <c r="O317" s="17" t="b">
        <f>COUNTIFS(OrderLines[OrderID],Orders[[#This Row],[OrderID]],OrderLines[Category],"Snack")&gt;0</f>
        <v>0</v>
      </c>
      <c r="P317" s="17" t="b">
        <f>COUNTIFS(OrderLines[OrderID],Orders[[#This Row],[OrderID]],OrderLines[Category],"Dessert")&gt;0</f>
        <v>0</v>
      </c>
      <c r="Q317" s="11">
        <f>Orders[[#This Row],[OrderTotal]]-Orders[[#This Row],[GrossProfit]]</f>
        <v>28.14</v>
      </c>
    </row>
    <row r="318" spans="1:17" x14ac:dyDescent="0.25">
      <c r="A318" t="s">
        <v>354</v>
      </c>
      <c r="B318" s="1">
        <v>45891.097337962958</v>
      </c>
      <c r="C318" t="s">
        <v>27</v>
      </c>
      <c r="D318" t="s">
        <v>16</v>
      </c>
      <c r="E318" t="s">
        <v>21</v>
      </c>
      <c r="F318" t="s">
        <v>12</v>
      </c>
      <c r="G318" s="5">
        <v>7.0000000000000007E-2</v>
      </c>
      <c r="H318" t="b">
        <f>COUNTIFS(OrderLines[OrderID],Orders[[#This Row],[OrderID]],OrderLines[Category],"Beverage")&gt;0</f>
        <v>0</v>
      </c>
      <c r="I318">
        <f>SUMIFS(OrderLines[Revenue],OrderLines[OrderID],Orders[[#This Row],[OrderID]])</f>
        <v>233.709</v>
      </c>
      <c r="J318" t="str">
        <f>IF(AND(COUNTIFS(OrderLines[OrderID],Orders[[#This Row],[OrderID]],OrderLines[Category],"Hot Meal")&gt;0,COUNTIFS(OrderLines[OrderID],Orders[[#This Row],[OrderID]],OrderLines[Category],"Beverage")&gt;0),"Combo","Single")</f>
        <v>Single</v>
      </c>
      <c r="K318" s="17" t="str">
        <f>IF(SUMPRODUCT((OrderLines[OrderID]=Orders[[#This Row],[OrderID]])*OrderLines[Qty]*OrderLines[UnitPrice])*Orders[[#This Row],[DiscountPct]]&gt;40,"HighDisc","OK")</f>
        <v>OK</v>
      </c>
      <c r="L318" s="11">
        <f>SUMIFS(OrderLines[Revenue],OrderLines[OrderID],Orders[[#This Row],[OrderID]])-SUMIFS(OrderLines[FoodCost],OrderLines[OrderID],Orders[[#This Row],[OrderID]])</f>
        <v>101.18899999999999</v>
      </c>
      <c r="M318" s="5">
        <f>Orders[[#This Row],[GrossProfit]]/Orders[[#This Row],[OrderTotal]]</f>
        <v>0.43297006105883812</v>
      </c>
      <c r="N318" s="17" t="b">
        <f>COUNTIFS(OrderLines[OrderID],Orders[[#This Row],[OrderID]],OrderLines[Category],"Hot Meal")&gt;0</f>
        <v>1</v>
      </c>
      <c r="O318" s="17" t="b">
        <f>COUNTIFS(OrderLines[OrderID],Orders[[#This Row],[OrderID]],OrderLines[Category],"Snack")&gt;0</f>
        <v>1</v>
      </c>
      <c r="P318" s="17" t="b">
        <f>COUNTIFS(OrderLines[OrderID],Orders[[#This Row],[OrderID]],OrderLines[Category],"Dessert")&gt;0</f>
        <v>0</v>
      </c>
      <c r="Q318" s="11">
        <f>Orders[[#This Row],[OrderTotal]]-Orders[[#This Row],[GrossProfit]]</f>
        <v>132.52000000000001</v>
      </c>
    </row>
    <row r="319" spans="1:17" x14ac:dyDescent="0.25">
      <c r="A319" t="s">
        <v>355</v>
      </c>
      <c r="B319" s="1">
        <v>45874.963807870372</v>
      </c>
      <c r="C319" t="s">
        <v>9</v>
      </c>
      <c r="D319" t="s">
        <v>10</v>
      </c>
      <c r="E319" t="s">
        <v>21</v>
      </c>
      <c r="F319" t="s">
        <v>18</v>
      </c>
      <c r="G319" s="5">
        <v>0.03</v>
      </c>
      <c r="H319" t="b">
        <f>COUNTIFS(OrderLines[OrderID],Orders[[#This Row],[OrderID]],OrderLines[Category],"Beverage")&gt;0</f>
        <v>1</v>
      </c>
      <c r="I319">
        <f>SUMIFS(OrderLines[Revenue],OrderLines[OrderID],Orders[[#This Row],[OrderID]])</f>
        <v>386.19579999999996</v>
      </c>
      <c r="J319" t="str">
        <f>IF(AND(COUNTIFS(OrderLines[OrderID],Orders[[#This Row],[OrderID]],OrderLines[Category],"Hot Meal")&gt;0,COUNTIFS(OrderLines[OrderID],Orders[[#This Row],[OrderID]],OrderLines[Category],"Beverage")&gt;0),"Combo","Single")</f>
        <v>Combo</v>
      </c>
      <c r="K319" s="17" t="str">
        <f>IF(SUMPRODUCT((OrderLines[OrderID]=Orders[[#This Row],[OrderID]])*OrderLines[Qty]*OrderLines[UnitPrice])*Orders[[#This Row],[DiscountPct]]&gt;40,"HighDisc","OK")</f>
        <v>OK</v>
      </c>
      <c r="L319" s="11">
        <f>SUMIFS(OrderLines[Revenue],OrderLines[OrderID],Orders[[#This Row],[OrderID]])-SUMIFS(OrderLines[FoodCost],OrderLines[OrderID],Orders[[#This Row],[OrderID]])</f>
        <v>207.09579999999997</v>
      </c>
      <c r="M319" s="5">
        <f>Orders[[#This Row],[GrossProfit]]/Orders[[#This Row],[OrderTotal]]</f>
        <v>0.53624560391386955</v>
      </c>
      <c r="N319" s="17" t="b">
        <f>COUNTIFS(OrderLines[OrderID],Orders[[#This Row],[OrderID]],OrderLines[Category],"Hot Meal")&gt;0</f>
        <v>1</v>
      </c>
      <c r="O319" s="17" t="b">
        <f>COUNTIFS(OrderLines[OrderID],Orders[[#This Row],[OrderID]],OrderLines[Category],"Snack")&gt;0</f>
        <v>0</v>
      </c>
      <c r="P319" s="17" t="b">
        <f>COUNTIFS(OrderLines[OrderID],Orders[[#This Row],[OrderID]],OrderLines[Category],"Dessert")&gt;0</f>
        <v>1</v>
      </c>
      <c r="Q319" s="11">
        <f>Orders[[#This Row],[OrderTotal]]-Orders[[#This Row],[GrossProfit]]</f>
        <v>179.1</v>
      </c>
    </row>
    <row r="320" spans="1:17" x14ac:dyDescent="0.25">
      <c r="A320" t="s">
        <v>356</v>
      </c>
      <c r="B320" s="1">
        <v>45866.607314814813</v>
      </c>
      <c r="C320" t="s">
        <v>15</v>
      </c>
      <c r="D320" t="s">
        <v>10</v>
      </c>
      <c r="E320" t="s">
        <v>11</v>
      </c>
      <c r="F320" t="s">
        <v>22</v>
      </c>
      <c r="G320" s="5">
        <v>0.08</v>
      </c>
      <c r="H320" t="b">
        <f>COUNTIFS(OrderLines[OrderID],Orders[[#This Row],[OrderID]],OrderLines[Category],"Beverage")&gt;0</f>
        <v>1</v>
      </c>
      <c r="I320">
        <f>SUMIFS(OrderLines[Revenue],OrderLines[OrderID],Orders[[#This Row],[OrderID]])</f>
        <v>89.506799999999998</v>
      </c>
      <c r="J320" t="str">
        <f>IF(AND(COUNTIFS(OrderLines[OrderID],Orders[[#This Row],[OrderID]],OrderLines[Category],"Hot Meal")&gt;0,COUNTIFS(OrderLines[OrderID],Orders[[#This Row],[OrderID]],OrderLines[Category],"Beverage")&gt;0),"Combo","Single")</f>
        <v>Single</v>
      </c>
      <c r="K320" s="17" t="str">
        <f>IF(SUMPRODUCT((OrderLines[OrderID]=Orders[[#This Row],[OrderID]])*OrderLines[Qty]*OrderLines[UnitPrice])*Orders[[#This Row],[DiscountPct]]&gt;40,"HighDisc","OK")</f>
        <v>OK</v>
      </c>
      <c r="L320" s="11">
        <f>SUMIFS(OrderLines[Revenue],OrderLines[OrderID],Orders[[#This Row],[OrderID]])-SUMIFS(OrderLines[FoodCost],OrderLines[OrderID],Orders[[#This Row],[OrderID]])</f>
        <v>44.366799999999998</v>
      </c>
      <c r="M320" s="5">
        <f>Orders[[#This Row],[GrossProfit]]/Orders[[#This Row],[OrderTotal]]</f>
        <v>0.4956807750919483</v>
      </c>
      <c r="N320" s="17" t="b">
        <f>COUNTIFS(OrderLines[OrderID],Orders[[#This Row],[OrderID]],OrderLines[Category],"Hot Meal")&gt;0</f>
        <v>0</v>
      </c>
      <c r="O320" s="17" t="b">
        <f>COUNTIFS(OrderLines[OrderID],Orders[[#This Row],[OrderID]],OrderLines[Category],"Snack")&gt;0</f>
        <v>0</v>
      </c>
      <c r="P320" s="17" t="b">
        <f>COUNTIFS(OrderLines[OrderID],Orders[[#This Row],[OrderID]],OrderLines[Category],"Dessert")&gt;0</f>
        <v>1</v>
      </c>
      <c r="Q320" s="11">
        <f>Orders[[#This Row],[OrderTotal]]-Orders[[#This Row],[GrossProfit]]</f>
        <v>45.14</v>
      </c>
    </row>
    <row r="321" spans="1:17" x14ac:dyDescent="0.25">
      <c r="A321" t="s">
        <v>357</v>
      </c>
      <c r="B321" s="1">
        <v>45854.984282407408</v>
      </c>
      <c r="C321" t="s">
        <v>27</v>
      </c>
      <c r="D321" t="s">
        <v>10</v>
      </c>
      <c r="E321" t="s">
        <v>17</v>
      </c>
      <c r="F321" t="s">
        <v>18</v>
      </c>
      <c r="G321" s="5">
        <v>0.12</v>
      </c>
      <c r="H321" t="b">
        <f>COUNTIFS(OrderLines[OrderID],Orders[[#This Row],[OrderID]],OrderLines[Category],"Beverage")&gt;0</f>
        <v>0</v>
      </c>
      <c r="I321">
        <f>SUMIFS(OrderLines[Revenue],OrderLines[OrderID],Orders[[#This Row],[OrderID]])</f>
        <v>300.66080000000005</v>
      </c>
      <c r="J321" t="str">
        <f>IF(AND(COUNTIFS(OrderLines[OrderID],Orders[[#This Row],[OrderID]],OrderLines[Category],"Hot Meal")&gt;0,COUNTIFS(OrderLines[OrderID],Orders[[#This Row],[OrderID]],OrderLines[Category],"Beverage")&gt;0),"Combo","Single")</f>
        <v>Single</v>
      </c>
      <c r="K321" s="17" t="str">
        <f>IF(SUMPRODUCT((OrderLines[OrderID]=Orders[[#This Row],[OrderID]])*OrderLines[Qty]*OrderLines[UnitPrice])*Orders[[#This Row],[DiscountPct]]&gt;40,"HighDisc","OK")</f>
        <v>HighDisc</v>
      </c>
      <c r="L321" s="11">
        <f>SUMIFS(OrderLines[Revenue],OrderLines[OrderID],Orders[[#This Row],[OrderID]])-SUMIFS(OrderLines[FoodCost],OrderLines[OrderID],Orders[[#This Row],[OrderID]])</f>
        <v>152.52080000000007</v>
      </c>
      <c r="M321" s="5">
        <f>Orders[[#This Row],[GrossProfit]]/Orders[[#This Row],[OrderTotal]]</f>
        <v>0.50728528627609604</v>
      </c>
      <c r="N321" s="17" t="b">
        <f>COUNTIFS(OrderLines[OrderID],Orders[[#This Row],[OrderID]],OrderLines[Category],"Hot Meal")&gt;0</f>
        <v>1</v>
      </c>
      <c r="O321" s="17" t="b">
        <f>COUNTIFS(OrderLines[OrderID],Orders[[#This Row],[OrderID]],OrderLines[Category],"Snack")&gt;0</f>
        <v>0</v>
      </c>
      <c r="P321" s="17" t="b">
        <f>COUNTIFS(OrderLines[OrderID],Orders[[#This Row],[OrderID]],OrderLines[Category],"Dessert")&gt;0</f>
        <v>0</v>
      </c>
      <c r="Q321" s="11">
        <f>Orders[[#This Row],[OrderTotal]]-Orders[[#This Row],[GrossProfit]]</f>
        <v>148.13999999999999</v>
      </c>
    </row>
    <row r="322" spans="1:17" x14ac:dyDescent="0.25">
      <c r="A322" t="s">
        <v>358</v>
      </c>
      <c r="B322" s="1">
        <v>45844.316145833327</v>
      </c>
      <c r="C322" t="s">
        <v>9</v>
      </c>
      <c r="D322" t="s">
        <v>16</v>
      </c>
      <c r="E322" t="s">
        <v>21</v>
      </c>
      <c r="F322" t="s">
        <v>12</v>
      </c>
      <c r="G322" s="5">
        <v>0.06</v>
      </c>
      <c r="H322" t="b">
        <f>COUNTIFS(OrderLines[OrderID],Orders[[#This Row],[OrderID]],OrderLines[Category],"Beverage")&gt;0</f>
        <v>1</v>
      </c>
      <c r="I322">
        <f>SUMIFS(OrderLines[Revenue],OrderLines[OrderID],Orders[[#This Row],[OrderID]])</f>
        <v>592.32219999999995</v>
      </c>
      <c r="J322" t="str">
        <f>IF(AND(COUNTIFS(OrderLines[OrderID],Orders[[#This Row],[OrderID]],OrderLines[Category],"Hot Meal")&gt;0,COUNTIFS(OrderLines[OrderID],Orders[[#This Row],[OrderID]],OrderLines[Category],"Beverage")&gt;0),"Combo","Single")</f>
        <v>Combo</v>
      </c>
      <c r="K322" s="17" t="str">
        <f>IF(SUMPRODUCT((OrderLines[OrderID]=Orders[[#This Row],[OrderID]])*OrderLines[Qty]*OrderLines[UnitPrice])*Orders[[#This Row],[DiscountPct]]&gt;40,"HighDisc","OK")</f>
        <v>OK</v>
      </c>
      <c r="L322" s="11">
        <f>SUMIFS(OrderLines[Revenue],OrderLines[OrderID],Orders[[#This Row],[OrderID]])-SUMIFS(OrderLines[FoodCost],OrderLines[OrderID],Orders[[#This Row],[OrderID]])</f>
        <v>299.00219999999996</v>
      </c>
      <c r="M322" s="5">
        <f>Orders[[#This Row],[GrossProfit]]/Orders[[#This Row],[OrderTotal]]</f>
        <v>0.50479654485345982</v>
      </c>
      <c r="N322" s="17" t="b">
        <f>COUNTIFS(OrderLines[OrderID],Orders[[#This Row],[OrderID]],OrderLines[Category],"Hot Meal")&gt;0</f>
        <v>1</v>
      </c>
      <c r="O322" s="17" t="b">
        <f>COUNTIFS(OrderLines[OrderID],Orders[[#This Row],[OrderID]],OrderLines[Category],"Snack")&gt;0</f>
        <v>1</v>
      </c>
      <c r="P322" s="17" t="b">
        <f>COUNTIFS(OrderLines[OrderID],Orders[[#This Row],[OrderID]],OrderLines[Category],"Dessert")&gt;0</f>
        <v>1</v>
      </c>
      <c r="Q322" s="11">
        <f>Orders[[#This Row],[OrderTotal]]-Orders[[#This Row],[GrossProfit]]</f>
        <v>293.32</v>
      </c>
    </row>
    <row r="323" spans="1:17" x14ac:dyDescent="0.25">
      <c r="A323" t="s">
        <v>359</v>
      </c>
      <c r="B323" s="1">
        <v>45849.210474537038</v>
      </c>
      <c r="C323" t="s">
        <v>9</v>
      </c>
      <c r="D323" t="s">
        <v>10</v>
      </c>
      <c r="E323" t="s">
        <v>17</v>
      </c>
      <c r="F323" t="s">
        <v>12</v>
      </c>
      <c r="G323" s="5">
        <v>0.08</v>
      </c>
      <c r="H323" t="b">
        <f>COUNTIFS(OrderLines[OrderID],Orders[[#This Row],[OrderID]],OrderLines[Category],"Beverage")&gt;0</f>
        <v>1</v>
      </c>
      <c r="I323">
        <f>SUMIFS(OrderLines[Revenue],OrderLines[OrderID],Orders[[#This Row],[OrderID]])</f>
        <v>668.0856</v>
      </c>
      <c r="J323" t="str">
        <f>IF(AND(COUNTIFS(OrderLines[OrderID],Orders[[#This Row],[OrderID]],OrderLines[Category],"Hot Meal")&gt;0,COUNTIFS(OrderLines[OrderID],Orders[[#This Row],[OrderID]],OrderLines[Category],"Beverage")&gt;0),"Combo","Single")</f>
        <v>Combo</v>
      </c>
      <c r="K323" s="17" t="str">
        <f>IF(SUMPRODUCT((OrderLines[OrderID]=Orders[[#This Row],[OrderID]])*OrderLines[Qty]*OrderLines[UnitPrice])*Orders[[#This Row],[DiscountPct]]&gt;40,"HighDisc","OK")</f>
        <v>HighDisc</v>
      </c>
      <c r="L323" s="11">
        <f>SUMIFS(OrderLines[Revenue],OrderLines[OrderID],Orders[[#This Row],[OrderID]])-SUMIFS(OrderLines[FoodCost],OrderLines[OrderID],Orders[[#This Row],[OrderID]])</f>
        <v>348.66560000000004</v>
      </c>
      <c r="M323" s="5">
        <f>Orders[[#This Row],[GrossProfit]]/Orders[[#This Row],[OrderTotal]]</f>
        <v>0.52188761440150788</v>
      </c>
      <c r="N323" s="17" t="b">
        <f>COUNTIFS(OrderLines[OrderID],Orders[[#This Row],[OrderID]],OrderLines[Category],"Hot Meal")&gt;0</f>
        <v>1</v>
      </c>
      <c r="O323" s="17" t="b">
        <f>COUNTIFS(OrderLines[OrderID],Orders[[#This Row],[OrderID]],OrderLines[Category],"Snack")&gt;0</f>
        <v>0</v>
      </c>
      <c r="P323" s="17" t="b">
        <f>COUNTIFS(OrderLines[OrderID],Orders[[#This Row],[OrderID]],OrderLines[Category],"Dessert")&gt;0</f>
        <v>1</v>
      </c>
      <c r="Q323" s="11">
        <f>Orders[[#This Row],[OrderTotal]]-Orders[[#This Row],[GrossProfit]]</f>
        <v>319.41999999999996</v>
      </c>
    </row>
    <row r="324" spans="1:17" x14ac:dyDescent="0.25">
      <c r="A324" t="s">
        <v>360</v>
      </c>
      <c r="B324" s="1">
        <v>45847.393460648149</v>
      </c>
      <c r="C324" t="s">
        <v>27</v>
      </c>
      <c r="D324" t="s">
        <v>16</v>
      </c>
      <c r="E324" t="s">
        <v>21</v>
      </c>
      <c r="F324" t="s">
        <v>12</v>
      </c>
      <c r="G324" s="5">
        <v>0.09</v>
      </c>
      <c r="H324" t="b">
        <f>COUNTIFS(OrderLines[OrderID],Orders[[#This Row],[OrderID]],OrderLines[Category],"Beverage")&gt;0</f>
        <v>1</v>
      </c>
      <c r="I324">
        <f>SUMIFS(OrderLines[Revenue],OrderLines[OrderID],Orders[[#This Row],[OrderID]])</f>
        <v>158.03059999999999</v>
      </c>
      <c r="J324" t="str">
        <f>IF(AND(COUNTIFS(OrderLines[OrderID],Orders[[#This Row],[OrderID]],OrderLines[Category],"Hot Meal")&gt;0,COUNTIFS(OrderLines[OrderID],Orders[[#This Row],[OrderID]],OrderLines[Category],"Beverage")&gt;0),"Combo","Single")</f>
        <v>Single</v>
      </c>
      <c r="K324" s="17" t="str">
        <f>IF(SUMPRODUCT((OrderLines[OrderID]=Orders[[#This Row],[OrderID]])*OrderLines[Qty]*OrderLines[UnitPrice])*Orders[[#This Row],[DiscountPct]]&gt;40,"HighDisc","OK")</f>
        <v>OK</v>
      </c>
      <c r="L324" s="11">
        <f>SUMIFS(OrderLines[Revenue],OrderLines[OrderID],Orders[[#This Row],[OrderID]])-SUMIFS(OrderLines[FoodCost],OrderLines[OrderID],Orders[[#This Row],[OrderID]])</f>
        <v>81.280599999999993</v>
      </c>
      <c r="M324" s="5">
        <f>Orders[[#This Row],[GrossProfit]]/Orders[[#This Row],[OrderTotal]]</f>
        <v>0.51433456558413371</v>
      </c>
      <c r="N324" s="17" t="b">
        <f>COUNTIFS(OrderLines[OrderID],Orders[[#This Row],[OrderID]],OrderLines[Category],"Hot Meal")&gt;0</f>
        <v>0</v>
      </c>
      <c r="O324" s="17" t="b">
        <f>COUNTIFS(OrderLines[OrderID],Orders[[#This Row],[OrderID]],OrderLines[Category],"Snack")&gt;0</f>
        <v>0</v>
      </c>
      <c r="P324" s="17" t="b">
        <f>COUNTIFS(OrderLines[OrderID],Orders[[#This Row],[OrderID]],OrderLines[Category],"Dessert")&gt;0</f>
        <v>1</v>
      </c>
      <c r="Q324" s="11">
        <f>Orders[[#This Row],[OrderTotal]]-Orders[[#This Row],[GrossProfit]]</f>
        <v>76.75</v>
      </c>
    </row>
    <row r="325" spans="1:17" x14ac:dyDescent="0.25">
      <c r="A325" t="s">
        <v>361</v>
      </c>
      <c r="B325" s="1">
        <v>45853.556134259263</v>
      </c>
      <c r="C325" t="s">
        <v>15</v>
      </c>
      <c r="D325" t="s">
        <v>28</v>
      </c>
      <c r="E325" t="s">
        <v>17</v>
      </c>
      <c r="F325" t="s">
        <v>22</v>
      </c>
      <c r="G325" s="5">
        <v>0.04</v>
      </c>
      <c r="H325" t="b">
        <f>COUNTIFS(OrderLines[OrderID],Orders[[#This Row],[OrderID]],OrderLines[Category],"Beverage")&gt;0</f>
        <v>0</v>
      </c>
      <c r="I325">
        <f>SUMIFS(OrderLines[Revenue],OrderLines[OrderID],Orders[[#This Row],[OrderID]])</f>
        <v>498.4896</v>
      </c>
      <c r="J325" t="str">
        <f>IF(AND(COUNTIFS(OrderLines[OrderID],Orders[[#This Row],[OrderID]],OrderLines[Category],"Hot Meal")&gt;0,COUNTIFS(OrderLines[OrderID],Orders[[#This Row],[OrderID]],OrderLines[Category],"Beverage")&gt;0),"Combo","Single")</f>
        <v>Single</v>
      </c>
      <c r="K325" s="17" t="str">
        <f>IF(SUMPRODUCT((OrderLines[OrderID]=Orders[[#This Row],[OrderID]])*OrderLines[Qty]*OrderLines[UnitPrice])*Orders[[#This Row],[DiscountPct]]&gt;40,"HighDisc","OK")</f>
        <v>OK</v>
      </c>
      <c r="L325" s="11">
        <f>SUMIFS(OrderLines[Revenue],OrderLines[OrderID],Orders[[#This Row],[OrderID]])-SUMIFS(OrderLines[FoodCost],OrderLines[OrderID],Orders[[#This Row],[OrderID]])</f>
        <v>262.81959999999998</v>
      </c>
      <c r="M325" s="5">
        <f>Orders[[#This Row],[GrossProfit]]/Orders[[#This Row],[OrderTotal]]</f>
        <v>0.52723186200875605</v>
      </c>
      <c r="N325" s="17" t="b">
        <f>COUNTIFS(OrderLines[OrderID],Orders[[#This Row],[OrderID]],OrderLines[Category],"Hot Meal")&gt;0</f>
        <v>1</v>
      </c>
      <c r="O325" s="17" t="b">
        <f>COUNTIFS(OrderLines[OrderID],Orders[[#This Row],[OrderID]],OrderLines[Category],"Snack")&gt;0</f>
        <v>1</v>
      </c>
      <c r="P325" s="17" t="b">
        <f>COUNTIFS(OrderLines[OrderID],Orders[[#This Row],[OrderID]],OrderLines[Category],"Dessert")&gt;0</f>
        <v>0</v>
      </c>
      <c r="Q325" s="11">
        <f>Orders[[#This Row],[OrderTotal]]-Orders[[#This Row],[GrossProfit]]</f>
        <v>235.67000000000002</v>
      </c>
    </row>
    <row r="326" spans="1:17" x14ac:dyDescent="0.25">
      <c r="A326" t="s">
        <v>362</v>
      </c>
      <c r="B326" s="1">
        <v>45873.191342592603</v>
      </c>
      <c r="C326" t="s">
        <v>27</v>
      </c>
      <c r="D326" t="s">
        <v>16</v>
      </c>
      <c r="E326" t="s">
        <v>17</v>
      </c>
      <c r="F326" t="s">
        <v>12</v>
      </c>
      <c r="G326" s="5">
        <v>7.0000000000000007E-2</v>
      </c>
      <c r="H326" t="b">
        <f>COUNTIFS(OrderLines[OrderID],Orders[[#This Row],[OrderID]],OrderLines[Category],"Beverage")&gt;0</f>
        <v>0</v>
      </c>
      <c r="I326">
        <f>SUMIFS(OrderLines[Revenue],OrderLines[OrderID],Orders[[#This Row],[OrderID]])</f>
        <v>46.676699999999997</v>
      </c>
      <c r="J326" t="str">
        <f>IF(AND(COUNTIFS(OrderLines[OrderID],Orders[[#This Row],[OrderID]],OrderLines[Category],"Hot Meal")&gt;0,COUNTIFS(OrderLines[OrderID],Orders[[#This Row],[OrderID]],OrderLines[Category],"Beverage")&gt;0),"Combo","Single")</f>
        <v>Single</v>
      </c>
      <c r="K326" s="17" t="str">
        <f>IF(SUMPRODUCT((OrderLines[OrderID]=Orders[[#This Row],[OrderID]])*OrderLines[Qty]*OrderLines[UnitPrice])*Orders[[#This Row],[DiscountPct]]&gt;40,"HighDisc","OK")</f>
        <v>OK</v>
      </c>
      <c r="L326" s="11">
        <f>SUMIFS(OrderLines[Revenue],OrderLines[OrderID],Orders[[#This Row],[OrderID]])-SUMIFS(OrderLines[FoodCost],OrderLines[OrderID],Orders[[#This Row],[OrderID]])</f>
        <v>24.066699999999997</v>
      </c>
      <c r="M326" s="5">
        <f>Orders[[#This Row],[GrossProfit]]/Orders[[#This Row],[OrderTotal]]</f>
        <v>0.51560414510880159</v>
      </c>
      <c r="N326" s="17" t="b">
        <f>COUNTIFS(OrderLines[OrderID],Orders[[#This Row],[OrderID]],OrderLines[Category],"Hot Meal")&gt;0</f>
        <v>0</v>
      </c>
      <c r="O326" s="17" t="b">
        <f>COUNTIFS(OrderLines[OrderID],Orders[[#This Row],[OrderID]],OrderLines[Category],"Snack")&gt;0</f>
        <v>1</v>
      </c>
      <c r="P326" s="17" t="b">
        <f>COUNTIFS(OrderLines[OrderID],Orders[[#This Row],[OrderID]],OrderLines[Category],"Dessert")&gt;0</f>
        <v>0</v>
      </c>
      <c r="Q326" s="11">
        <f>Orders[[#This Row],[OrderTotal]]-Orders[[#This Row],[GrossProfit]]</f>
        <v>22.61</v>
      </c>
    </row>
    <row r="327" spans="1:17" x14ac:dyDescent="0.25">
      <c r="A327" t="s">
        <v>363</v>
      </c>
      <c r="B327" s="1">
        <v>45887.990046296298</v>
      </c>
      <c r="C327" t="s">
        <v>15</v>
      </c>
      <c r="D327" t="s">
        <v>28</v>
      </c>
      <c r="E327" t="s">
        <v>21</v>
      </c>
      <c r="F327" t="s">
        <v>18</v>
      </c>
      <c r="G327" s="5">
        <v>0.06</v>
      </c>
      <c r="H327" t="b">
        <f>COUNTIFS(OrderLines[OrderID],Orders[[#This Row],[OrderID]],OrderLines[Category],"Beverage")&gt;0</f>
        <v>1</v>
      </c>
      <c r="I327">
        <f>SUMIFS(OrderLines[Revenue],OrderLines[OrderID],Orders[[#This Row],[OrderID]])</f>
        <v>18.903399999999998</v>
      </c>
      <c r="J327" t="str">
        <f>IF(AND(COUNTIFS(OrderLines[OrderID],Orders[[#This Row],[OrderID]],OrderLines[Category],"Hot Meal")&gt;0,COUNTIFS(OrderLines[OrderID],Orders[[#This Row],[OrderID]],OrderLines[Category],"Beverage")&gt;0),"Combo","Single")</f>
        <v>Single</v>
      </c>
      <c r="K327" s="17" t="str">
        <f>IF(SUMPRODUCT((OrderLines[OrderID]=Orders[[#This Row],[OrderID]])*OrderLines[Qty]*OrderLines[UnitPrice])*Orders[[#This Row],[DiscountPct]]&gt;40,"HighDisc","OK")</f>
        <v>OK</v>
      </c>
      <c r="L327" s="11">
        <f>SUMIFS(OrderLines[Revenue],OrderLines[OrderID],Orders[[#This Row],[OrderID]])-SUMIFS(OrderLines[FoodCost],OrderLines[OrderID],Orders[[#This Row],[OrderID]])</f>
        <v>10.903399999999998</v>
      </c>
      <c r="M327" s="5">
        <f>Orders[[#This Row],[GrossProfit]]/Orders[[#This Row],[OrderTotal]]</f>
        <v>0.57679570870848629</v>
      </c>
      <c r="N327" s="17" t="b">
        <f>COUNTIFS(OrderLines[OrderID],Orders[[#This Row],[OrderID]],OrderLines[Category],"Hot Meal")&gt;0</f>
        <v>0</v>
      </c>
      <c r="O327" s="17" t="b">
        <f>COUNTIFS(OrderLines[OrderID],Orders[[#This Row],[OrderID]],OrderLines[Category],"Snack")&gt;0</f>
        <v>0</v>
      </c>
      <c r="P327" s="17" t="b">
        <f>COUNTIFS(OrderLines[OrderID],Orders[[#This Row],[OrderID]],OrderLines[Category],"Dessert")&gt;0</f>
        <v>0</v>
      </c>
      <c r="Q327" s="11">
        <f>Orders[[#This Row],[OrderTotal]]-Orders[[#This Row],[GrossProfit]]</f>
        <v>8</v>
      </c>
    </row>
    <row r="328" spans="1:17" x14ac:dyDescent="0.25">
      <c r="A328" t="s">
        <v>364</v>
      </c>
      <c r="B328" s="1">
        <v>45875.650405092587</v>
      </c>
      <c r="C328" t="s">
        <v>27</v>
      </c>
      <c r="D328" t="s">
        <v>28</v>
      </c>
      <c r="E328" t="s">
        <v>21</v>
      </c>
      <c r="F328" t="s">
        <v>22</v>
      </c>
      <c r="G328" s="5">
        <v>0.06</v>
      </c>
      <c r="H328" t="b">
        <f>COUNTIFS(OrderLines[OrderID],Orders[[#This Row],[OrderID]],OrderLines[Category],"Beverage")&gt;0</f>
        <v>1</v>
      </c>
      <c r="I328">
        <f>SUMIFS(OrderLines[Revenue],OrderLines[OrderID],Orders[[#This Row],[OrderID]])</f>
        <v>109.67920000000001</v>
      </c>
      <c r="J328" t="str">
        <f>IF(AND(COUNTIFS(OrderLines[OrderID],Orders[[#This Row],[OrderID]],OrderLines[Category],"Hot Meal")&gt;0,COUNTIFS(OrderLines[OrderID],Orders[[#This Row],[OrderID]],OrderLines[Category],"Beverage")&gt;0),"Combo","Single")</f>
        <v>Single</v>
      </c>
      <c r="K328" s="17" t="str">
        <f>IF(SUMPRODUCT((OrderLines[OrderID]=Orders[[#This Row],[OrderID]])*OrderLines[Qty]*OrderLines[UnitPrice])*Orders[[#This Row],[DiscountPct]]&gt;40,"HighDisc","OK")</f>
        <v>OK</v>
      </c>
      <c r="L328" s="11">
        <f>SUMIFS(OrderLines[Revenue],OrderLines[OrderID],Orders[[#This Row],[OrderID]])-SUMIFS(OrderLines[FoodCost],OrderLines[OrderID],Orders[[#This Row],[OrderID]])</f>
        <v>53.629200000000012</v>
      </c>
      <c r="M328" s="5">
        <f>Orders[[#This Row],[GrossProfit]]/Orders[[#This Row],[OrderTotal]]</f>
        <v>0.48896417916979706</v>
      </c>
      <c r="N328" s="17" t="b">
        <f>COUNTIFS(OrderLines[OrderID],Orders[[#This Row],[OrderID]],OrderLines[Category],"Hot Meal")&gt;0</f>
        <v>0</v>
      </c>
      <c r="O328" s="17" t="b">
        <f>COUNTIFS(OrderLines[OrderID],Orders[[#This Row],[OrderID]],OrderLines[Category],"Snack")&gt;0</f>
        <v>1</v>
      </c>
      <c r="P328" s="17" t="b">
        <f>COUNTIFS(OrderLines[OrderID],Orders[[#This Row],[OrderID]],OrderLines[Category],"Dessert")&gt;0</f>
        <v>0</v>
      </c>
      <c r="Q328" s="11">
        <f>Orders[[#This Row],[OrderTotal]]-Orders[[#This Row],[GrossProfit]]</f>
        <v>56.05</v>
      </c>
    </row>
    <row r="329" spans="1:17" x14ac:dyDescent="0.25">
      <c r="A329" t="s">
        <v>365</v>
      </c>
      <c r="B329" s="1">
        <v>45871.803460648152</v>
      </c>
      <c r="C329" t="s">
        <v>27</v>
      </c>
      <c r="D329" t="s">
        <v>28</v>
      </c>
      <c r="E329" t="s">
        <v>17</v>
      </c>
      <c r="F329" t="s">
        <v>18</v>
      </c>
      <c r="G329" s="5">
        <v>0.03</v>
      </c>
      <c r="H329" t="b">
        <f>COUNTIFS(OrderLines[OrderID],Orders[[#This Row],[OrderID]],OrderLines[Category],"Beverage")&gt;0</f>
        <v>0</v>
      </c>
      <c r="I329">
        <f>SUMIFS(OrderLines[Revenue],OrderLines[OrderID],Orders[[#This Row],[OrderID]])</f>
        <v>284.01600000000002</v>
      </c>
      <c r="J329" t="str">
        <f>IF(AND(COUNTIFS(OrderLines[OrderID],Orders[[#This Row],[OrderID]],OrderLines[Category],"Hot Meal")&gt;0,COUNTIFS(OrderLines[OrderID],Orders[[#This Row],[OrderID]],OrderLines[Category],"Beverage")&gt;0),"Combo","Single")</f>
        <v>Single</v>
      </c>
      <c r="K329" s="17" t="str">
        <f>IF(SUMPRODUCT((OrderLines[OrderID]=Orders[[#This Row],[OrderID]])*OrderLines[Qty]*OrderLines[UnitPrice])*Orders[[#This Row],[DiscountPct]]&gt;40,"HighDisc","OK")</f>
        <v>OK</v>
      </c>
      <c r="L329" s="11">
        <f>SUMIFS(OrderLines[Revenue],OrderLines[OrderID],Orders[[#This Row],[OrderID]])-SUMIFS(OrderLines[FoodCost],OrderLines[OrderID],Orders[[#This Row],[OrderID]])</f>
        <v>122.17600000000002</v>
      </c>
      <c r="M329" s="5">
        <f>Orders[[#This Row],[GrossProfit]]/Orders[[#This Row],[OrderTotal]]</f>
        <v>0.43017294800292943</v>
      </c>
      <c r="N329" s="17" t="b">
        <f>COUNTIFS(OrderLines[OrderID],Orders[[#This Row],[OrderID]],OrderLines[Category],"Hot Meal")&gt;0</f>
        <v>1</v>
      </c>
      <c r="O329" s="17" t="b">
        <f>COUNTIFS(OrderLines[OrderID],Orders[[#This Row],[OrderID]],OrderLines[Category],"Snack")&gt;0</f>
        <v>0</v>
      </c>
      <c r="P329" s="17" t="b">
        <f>COUNTIFS(OrderLines[OrderID],Orders[[#This Row],[OrderID]],OrderLines[Category],"Dessert")&gt;0</f>
        <v>0</v>
      </c>
      <c r="Q329" s="11">
        <f>Orders[[#This Row],[OrderTotal]]-Orders[[#This Row],[GrossProfit]]</f>
        <v>161.84</v>
      </c>
    </row>
    <row r="330" spans="1:17" x14ac:dyDescent="0.25">
      <c r="A330" t="s">
        <v>366</v>
      </c>
      <c r="B330" s="1">
        <v>45885.120821759258</v>
      </c>
      <c r="C330" t="s">
        <v>9</v>
      </c>
      <c r="D330" t="s">
        <v>28</v>
      </c>
      <c r="E330" t="s">
        <v>11</v>
      </c>
      <c r="F330" t="s">
        <v>12</v>
      </c>
      <c r="G330" s="5">
        <v>0.06</v>
      </c>
      <c r="H330" t="b">
        <f>COUNTIFS(OrderLines[OrderID],Orders[[#This Row],[OrderID]],OrderLines[Category],"Beverage")&gt;0</f>
        <v>0</v>
      </c>
      <c r="I330">
        <f>SUMIFS(OrderLines[Revenue],OrderLines[OrderID],Orders[[#This Row],[OrderID]])</f>
        <v>513.09899999999993</v>
      </c>
      <c r="J330" t="str">
        <f>IF(AND(COUNTIFS(OrderLines[OrderID],Orders[[#This Row],[OrderID]],OrderLines[Category],"Hot Meal")&gt;0,COUNTIFS(OrderLines[OrderID],Orders[[#This Row],[OrderID]],OrderLines[Category],"Beverage")&gt;0),"Combo","Single")</f>
        <v>Single</v>
      </c>
      <c r="K330" s="17" t="str">
        <f>IF(SUMPRODUCT((OrderLines[OrderID]=Orders[[#This Row],[OrderID]])*OrderLines[Qty]*OrderLines[UnitPrice])*Orders[[#This Row],[DiscountPct]]&gt;40,"HighDisc","OK")</f>
        <v>OK</v>
      </c>
      <c r="L330" s="11">
        <f>SUMIFS(OrderLines[Revenue],OrderLines[OrderID],Orders[[#This Row],[OrderID]])-SUMIFS(OrderLines[FoodCost],OrderLines[OrderID],Orders[[#This Row],[OrderID]])</f>
        <v>222.58899999999994</v>
      </c>
      <c r="M330" s="5">
        <f>Orders[[#This Row],[GrossProfit]]/Orders[[#This Row],[OrderTotal]]</f>
        <v>0.43381296786779933</v>
      </c>
      <c r="N330" s="17" t="b">
        <f>COUNTIFS(OrderLines[OrderID],Orders[[#This Row],[OrderID]],OrderLines[Category],"Hot Meal")&gt;0</f>
        <v>1</v>
      </c>
      <c r="O330" s="17" t="b">
        <f>COUNTIFS(OrderLines[OrderID],Orders[[#This Row],[OrderID]],OrderLines[Category],"Snack")&gt;0</f>
        <v>1</v>
      </c>
      <c r="P330" s="17" t="b">
        <f>COUNTIFS(OrderLines[OrderID],Orders[[#This Row],[OrderID]],OrderLines[Category],"Dessert")&gt;0</f>
        <v>1</v>
      </c>
      <c r="Q330" s="11">
        <f>Orders[[#This Row],[OrderTotal]]-Orders[[#This Row],[GrossProfit]]</f>
        <v>290.51</v>
      </c>
    </row>
    <row r="331" spans="1:17" x14ac:dyDescent="0.25">
      <c r="A331" t="s">
        <v>367</v>
      </c>
      <c r="B331" s="1">
        <v>45882.804872685178</v>
      </c>
      <c r="C331" t="s">
        <v>9</v>
      </c>
      <c r="D331" t="s">
        <v>28</v>
      </c>
      <c r="E331" t="s">
        <v>17</v>
      </c>
      <c r="F331" t="s">
        <v>18</v>
      </c>
      <c r="G331" s="5">
        <v>0.08</v>
      </c>
      <c r="H331" t="b">
        <f>COUNTIFS(OrderLines[OrderID],Orders[[#This Row],[OrderID]],OrderLines[Category],"Beverage")&gt;0</f>
        <v>1</v>
      </c>
      <c r="I331">
        <f>SUMIFS(OrderLines[Revenue],OrderLines[OrderID],Orders[[#This Row],[OrderID]])</f>
        <v>666.88040000000012</v>
      </c>
      <c r="J331" t="str">
        <f>IF(AND(COUNTIFS(OrderLines[OrderID],Orders[[#This Row],[OrderID]],OrderLines[Category],"Hot Meal")&gt;0,COUNTIFS(OrderLines[OrderID],Orders[[#This Row],[OrderID]],OrderLines[Category],"Beverage")&gt;0),"Combo","Single")</f>
        <v>Combo</v>
      </c>
      <c r="K331" s="17" t="str">
        <f>IF(SUMPRODUCT((OrderLines[OrderID]=Orders[[#This Row],[OrderID]])*OrderLines[Qty]*OrderLines[UnitPrice])*Orders[[#This Row],[DiscountPct]]&gt;40,"HighDisc","OK")</f>
        <v>HighDisc</v>
      </c>
      <c r="L331" s="11">
        <f>SUMIFS(OrderLines[Revenue],OrderLines[OrderID],Orders[[#This Row],[OrderID]])-SUMIFS(OrderLines[FoodCost],OrderLines[OrderID],Orders[[#This Row],[OrderID]])</f>
        <v>334.33040000000017</v>
      </c>
      <c r="M331" s="5">
        <f>Orders[[#This Row],[GrossProfit]]/Orders[[#This Row],[OrderTotal]]</f>
        <v>0.50133487204002414</v>
      </c>
      <c r="N331" s="17" t="b">
        <f>COUNTIFS(OrderLines[OrderID],Orders[[#This Row],[OrderID]],OrderLines[Category],"Hot Meal")&gt;0</f>
        <v>1</v>
      </c>
      <c r="O331" s="17" t="b">
        <f>COUNTIFS(OrderLines[OrderID],Orders[[#This Row],[OrderID]],OrderLines[Category],"Snack")&gt;0</f>
        <v>0</v>
      </c>
      <c r="P331" s="17" t="b">
        <f>COUNTIFS(OrderLines[OrderID],Orders[[#This Row],[OrderID]],OrderLines[Category],"Dessert")&gt;0</f>
        <v>0</v>
      </c>
      <c r="Q331" s="11">
        <f>Orders[[#This Row],[OrderTotal]]-Orders[[#This Row],[GrossProfit]]</f>
        <v>332.54999999999995</v>
      </c>
    </row>
    <row r="332" spans="1:17" x14ac:dyDescent="0.25">
      <c r="A332" t="s">
        <v>368</v>
      </c>
      <c r="B332" s="1">
        <v>45864.097743055558</v>
      </c>
      <c r="C332" t="s">
        <v>27</v>
      </c>
      <c r="D332" t="s">
        <v>28</v>
      </c>
      <c r="E332" t="s">
        <v>11</v>
      </c>
      <c r="F332" t="s">
        <v>12</v>
      </c>
      <c r="G332" s="5">
        <v>0.12</v>
      </c>
      <c r="H332" t="b">
        <f>COUNTIFS(OrderLines[OrderID],Orders[[#This Row],[OrderID]],OrderLines[Category],"Beverage")&gt;0</f>
        <v>0</v>
      </c>
      <c r="I332">
        <f>SUMIFS(OrderLines[Revenue],OrderLines[OrderID],Orders[[#This Row],[OrderID]])</f>
        <v>404.07840000000004</v>
      </c>
      <c r="J332" t="str">
        <f>IF(AND(COUNTIFS(OrderLines[OrderID],Orders[[#This Row],[OrderID]],OrderLines[Category],"Hot Meal")&gt;0,COUNTIFS(OrderLines[OrderID],Orders[[#This Row],[OrderID]],OrderLines[Category],"Beverage")&gt;0),"Combo","Single")</f>
        <v>Single</v>
      </c>
      <c r="K332" s="17" t="str">
        <f>IF(SUMPRODUCT((OrderLines[OrderID]=Orders[[#This Row],[OrderID]])*OrderLines[Qty]*OrderLines[UnitPrice])*Orders[[#This Row],[DiscountPct]]&gt;40,"HighDisc","OK")</f>
        <v>HighDisc</v>
      </c>
      <c r="L332" s="11">
        <f>SUMIFS(OrderLines[Revenue],OrderLines[OrderID],Orders[[#This Row],[OrderID]])-SUMIFS(OrderLines[FoodCost],OrderLines[OrderID],Orders[[#This Row],[OrderID]])</f>
        <v>192.73840000000001</v>
      </c>
      <c r="M332" s="5">
        <f>Orders[[#This Row],[GrossProfit]]/Orders[[#This Row],[OrderTotal]]</f>
        <v>0.47698268454834503</v>
      </c>
      <c r="N332" s="17" t="b">
        <f>COUNTIFS(OrderLines[OrderID],Orders[[#This Row],[OrderID]],OrderLines[Category],"Hot Meal")&gt;0</f>
        <v>1</v>
      </c>
      <c r="O332" s="17" t="b">
        <f>COUNTIFS(OrderLines[OrderID],Orders[[#This Row],[OrderID]],OrderLines[Category],"Snack")&gt;0</f>
        <v>1</v>
      </c>
      <c r="P332" s="17" t="b">
        <f>COUNTIFS(OrderLines[OrderID],Orders[[#This Row],[OrderID]],OrderLines[Category],"Dessert")&gt;0</f>
        <v>1</v>
      </c>
      <c r="Q332" s="11">
        <f>Orders[[#This Row],[OrderTotal]]-Orders[[#This Row],[GrossProfit]]</f>
        <v>211.34000000000003</v>
      </c>
    </row>
    <row r="333" spans="1:17" x14ac:dyDescent="0.25">
      <c r="A333" t="s">
        <v>369</v>
      </c>
      <c r="B333" s="1">
        <v>45880.343958333331</v>
      </c>
      <c r="C333" t="s">
        <v>27</v>
      </c>
      <c r="D333" t="s">
        <v>16</v>
      </c>
      <c r="E333" t="s">
        <v>17</v>
      </c>
      <c r="F333" t="s">
        <v>12</v>
      </c>
      <c r="G333" s="5">
        <v>0.1</v>
      </c>
      <c r="H333" t="b">
        <f>COUNTIFS(OrderLines[OrderID],Orders[[#This Row],[OrderID]],OrderLines[Category],"Beverage")&gt;0</f>
        <v>1</v>
      </c>
      <c r="I333">
        <f>SUMIFS(OrderLines[Revenue],OrderLines[OrderID],Orders[[#This Row],[OrderID]])</f>
        <v>197.39699999999999</v>
      </c>
      <c r="J333" t="str">
        <f>IF(AND(COUNTIFS(OrderLines[OrderID],Orders[[#This Row],[OrderID]],OrderLines[Category],"Hot Meal")&gt;0,COUNTIFS(OrderLines[OrderID],Orders[[#This Row],[OrderID]],OrderLines[Category],"Beverage")&gt;0),"Combo","Single")</f>
        <v>Single</v>
      </c>
      <c r="K333" s="17" t="str">
        <f>IF(SUMPRODUCT((OrderLines[OrderID]=Orders[[#This Row],[OrderID]])*OrderLines[Qty]*OrderLines[UnitPrice])*Orders[[#This Row],[DiscountPct]]&gt;40,"HighDisc","OK")</f>
        <v>OK</v>
      </c>
      <c r="L333" s="11">
        <f>SUMIFS(OrderLines[Revenue],OrderLines[OrderID],Orders[[#This Row],[OrderID]])-SUMIFS(OrderLines[FoodCost],OrderLines[OrderID],Orders[[#This Row],[OrderID]])</f>
        <v>98.266999999999982</v>
      </c>
      <c r="M333" s="5">
        <f>Orders[[#This Row],[GrossProfit]]/Orders[[#This Row],[OrderTotal]]</f>
        <v>0.4978140498589137</v>
      </c>
      <c r="N333" s="17" t="b">
        <f>COUNTIFS(OrderLines[OrderID],Orders[[#This Row],[OrderID]],OrderLines[Category],"Hot Meal")&gt;0</f>
        <v>0</v>
      </c>
      <c r="O333" s="17" t="b">
        <f>COUNTIFS(OrderLines[OrderID],Orders[[#This Row],[OrderID]],OrderLines[Category],"Snack")&gt;0</f>
        <v>1</v>
      </c>
      <c r="P333" s="17" t="b">
        <f>COUNTIFS(OrderLines[OrderID],Orders[[#This Row],[OrderID]],OrderLines[Category],"Dessert")&gt;0</f>
        <v>1</v>
      </c>
      <c r="Q333" s="11">
        <f>Orders[[#This Row],[OrderTotal]]-Orders[[#This Row],[GrossProfit]]</f>
        <v>99.13000000000001</v>
      </c>
    </row>
    <row r="334" spans="1:17" x14ac:dyDescent="0.25">
      <c r="A334" t="s">
        <v>370</v>
      </c>
      <c r="B334" s="1">
        <v>45851.080300925933</v>
      </c>
      <c r="C334" t="s">
        <v>27</v>
      </c>
      <c r="D334" t="s">
        <v>28</v>
      </c>
      <c r="E334" t="s">
        <v>21</v>
      </c>
      <c r="F334" t="s">
        <v>12</v>
      </c>
      <c r="G334" s="5">
        <v>0.15</v>
      </c>
      <c r="H334" t="b">
        <f>COUNTIFS(OrderLines[OrderID],Orders[[#This Row],[OrderID]],OrderLines[Category],"Beverage")&gt;0</f>
        <v>1</v>
      </c>
      <c r="I334">
        <f>SUMIFS(OrderLines[Revenue],OrderLines[OrderID],Orders[[#This Row],[OrderID]])</f>
        <v>147.2285</v>
      </c>
      <c r="J334" t="str">
        <f>IF(AND(COUNTIFS(OrderLines[OrderID],Orders[[#This Row],[OrderID]],OrderLines[Category],"Hot Meal")&gt;0,COUNTIFS(OrderLines[OrderID],Orders[[#This Row],[OrderID]],OrderLines[Category],"Beverage")&gt;0),"Combo","Single")</f>
        <v>Single</v>
      </c>
      <c r="K334" s="17" t="str">
        <f>IF(SUMPRODUCT((OrderLines[OrderID]=Orders[[#This Row],[OrderID]])*OrderLines[Qty]*OrderLines[UnitPrice])*Orders[[#This Row],[DiscountPct]]&gt;40,"HighDisc","OK")</f>
        <v>OK</v>
      </c>
      <c r="L334" s="11">
        <f>SUMIFS(OrderLines[Revenue],OrderLines[OrderID],Orders[[#This Row],[OrderID]])-SUMIFS(OrderLines[FoodCost],OrderLines[OrderID],Orders[[#This Row],[OrderID]])</f>
        <v>62.768500000000003</v>
      </c>
      <c r="M334" s="5">
        <f>Orders[[#This Row],[GrossProfit]]/Orders[[#This Row],[OrderTotal]]</f>
        <v>0.42633389595085192</v>
      </c>
      <c r="N334" s="17" t="b">
        <f>COUNTIFS(OrderLines[OrderID],Orders[[#This Row],[OrderID]],OrderLines[Category],"Hot Meal")&gt;0</f>
        <v>0</v>
      </c>
      <c r="O334" s="17" t="b">
        <f>COUNTIFS(OrderLines[OrderID],Orders[[#This Row],[OrderID]],OrderLines[Category],"Snack")&gt;0</f>
        <v>0</v>
      </c>
      <c r="P334" s="17" t="b">
        <f>COUNTIFS(OrderLines[OrderID],Orders[[#This Row],[OrderID]],OrderLines[Category],"Dessert")&gt;0</f>
        <v>1</v>
      </c>
      <c r="Q334" s="11">
        <f>Orders[[#This Row],[OrderTotal]]-Orders[[#This Row],[GrossProfit]]</f>
        <v>84.46</v>
      </c>
    </row>
    <row r="335" spans="1:17" x14ac:dyDescent="0.25">
      <c r="A335" t="s">
        <v>371</v>
      </c>
      <c r="B335" s="1">
        <v>45845.347962962973</v>
      </c>
      <c r="C335" t="s">
        <v>27</v>
      </c>
      <c r="D335" t="s">
        <v>16</v>
      </c>
      <c r="E335" t="s">
        <v>11</v>
      </c>
      <c r="F335" t="s">
        <v>12</v>
      </c>
      <c r="G335" s="5">
        <v>0.03</v>
      </c>
      <c r="H335" t="b">
        <f>COUNTIFS(OrderLines[OrderID],Orders[[#This Row],[OrderID]],OrderLines[Category],"Beverage")&gt;0</f>
        <v>1</v>
      </c>
      <c r="I335">
        <f>SUMIFS(OrderLines[Revenue],OrderLines[OrderID],Orders[[#This Row],[OrderID]])</f>
        <v>655.48719999999992</v>
      </c>
      <c r="J335" t="str">
        <f>IF(AND(COUNTIFS(OrderLines[OrderID],Orders[[#This Row],[OrderID]],OrderLines[Category],"Hot Meal")&gt;0,COUNTIFS(OrderLines[OrderID],Orders[[#This Row],[OrderID]],OrderLines[Category],"Beverage")&gt;0),"Combo","Single")</f>
        <v>Combo</v>
      </c>
      <c r="K335" s="17" t="str">
        <f>IF(SUMPRODUCT((OrderLines[OrderID]=Orders[[#This Row],[OrderID]])*OrderLines[Qty]*OrderLines[UnitPrice])*Orders[[#This Row],[DiscountPct]]&gt;40,"HighDisc","OK")</f>
        <v>OK</v>
      </c>
      <c r="L335" s="11">
        <f>SUMIFS(OrderLines[Revenue],OrderLines[OrderID],Orders[[#This Row],[OrderID]])-SUMIFS(OrderLines[FoodCost],OrderLines[OrderID],Orders[[#This Row],[OrderID]])</f>
        <v>372.1971999999999</v>
      </c>
      <c r="M335" s="5">
        <f>Orders[[#This Row],[GrossProfit]]/Orders[[#This Row],[OrderTotal]]</f>
        <v>0.56781764769777343</v>
      </c>
      <c r="N335" s="17" t="b">
        <f>COUNTIFS(OrderLines[OrderID],Orders[[#This Row],[OrderID]],OrderLines[Category],"Hot Meal")&gt;0</f>
        <v>1</v>
      </c>
      <c r="O335" s="17" t="b">
        <f>COUNTIFS(OrderLines[OrderID],Orders[[#This Row],[OrderID]],OrderLines[Category],"Snack")&gt;0</f>
        <v>1</v>
      </c>
      <c r="P335" s="17" t="b">
        <f>COUNTIFS(OrderLines[OrderID],Orders[[#This Row],[OrderID]],OrderLines[Category],"Dessert")&gt;0</f>
        <v>1</v>
      </c>
      <c r="Q335" s="11">
        <f>Orders[[#This Row],[OrderTotal]]-Orders[[#This Row],[GrossProfit]]</f>
        <v>283.29000000000002</v>
      </c>
    </row>
    <row r="336" spans="1:17" x14ac:dyDescent="0.25">
      <c r="A336" t="s">
        <v>372</v>
      </c>
      <c r="B336" s="1">
        <v>45840.845706018517</v>
      </c>
      <c r="C336" t="s">
        <v>9</v>
      </c>
      <c r="D336" t="s">
        <v>10</v>
      </c>
      <c r="E336" t="s">
        <v>11</v>
      </c>
      <c r="F336" t="s">
        <v>18</v>
      </c>
      <c r="G336" s="5">
        <v>0.09</v>
      </c>
      <c r="H336" t="b">
        <f>COUNTIFS(OrderLines[OrderID],Orders[[#This Row],[OrderID]],OrderLines[Category],"Beverage")&gt;0</f>
        <v>0</v>
      </c>
      <c r="I336">
        <f>SUMIFS(OrderLines[Revenue],OrderLines[OrderID],Orders[[#This Row],[OrderID]])</f>
        <v>656.71060000000011</v>
      </c>
      <c r="J336" t="str">
        <f>IF(AND(COUNTIFS(OrderLines[OrderID],Orders[[#This Row],[OrderID]],OrderLines[Category],"Hot Meal")&gt;0,COUNTIFS(OrderLines[OrderID],Orders[[#This Row],[OrderID]],OrderLines[Category],"Beverage")&gt;0),"Combo","Single")</f>
        <v>Single</v>
      </c>
      <c r="K336" s="17" t="str">
        <f>IF(SUMPRODUCT((OrderLines[OrderID]=Orders[[#This Row],[OrderID]])*OrderLines[Qty]*OrderLines[UnitPrice])*Orders[[#This Row],[DiscountPct]]&gt;40,"HighDisc","OK")</f>
        <v>HighDisc</v>
      </c>
      <c r="L336" s="11">
        <f>SUMIFS(OrderLines[Revenue],OrderLines[OrderID],Orders[[#This Row],[OrderID]])-SUMIFS(OrderLines[FoodCost],OrderLines[OrderID],Orders[[#This Row],[OrderID]])</f>
        <v>329.71060000000011</v>
      </c>
      <c r="M336" s="5">
        <f>Orders[[#This Row],[GrossProfit]]/Orders[[#This Row],[OrderTotal]]</f>
        <v>0.50206377055585838</v>
      </c>
      <c r="N336" s="17" t="b">
        <f>COUNTIFS(OrderLines[OrderID],Orders[[#This Row],[OrderID]],OrderLines[Category],"Hot Meal")&gt;0</f>
        <v>1</v>
      </c>
      <c r="O336" s="17" t="b">
        <f>COUNTIFS(OrderLines[OrderID],Orders[[#This Row],[OrderID]],OrderLines[Category],"Snack")&gt;0</f>
        <v>0</v>
      </c>
      <c r="P336" s="17" t="b">
        <f>COUNTIFS(OrderLines[OrderID],Orders[[#This Row],[OrderID]],OrderLines[Category],"Dessert")&gt;0</f>
        <v>1</v>
      </c>
      <c r="Q336" s="11">
        <f>Orders[[#This Row],[OrderTotal]]-Orders[[#This Row],[GrossProfit]]</f>
        <v>327</v>
      </c>
    </row>
    <row r="337" spans="1:17" x14ac:dyDescent="0.25">
      <c r="A337" t="s">
        <v>373</v>
      </c>
      <c r="B337" s="1">
        <v>45853.189918981479</v>
      </c>
      <c r="C337" t="s">
        <v>15</v>
      </c>
      <c r="D337" t="s">
        <v>16</v>
      </c>
      <c r="E337" t="s">
        <v>17</v>
      </c>
      <c r="F337" t="s">
        <v>12</v>
      </c>
      <c r="G337" s="5">
        <v>7.0000000000000007E-2</v>
      </c>
      <c r="H337" t="b">
        <f>COUNTIFS(OrderLines[OrderID],Orders[[#This Row],[OrderID]],OrderLines[Category],"Beverage")&gt;0</f>
        <v>0</v>
      </c>
      <c r="I337">
        <f>SUMIFS(OrderLines[Revenue],OrderLines[OrderID],Orders[[#This Row],[OrderID]])</f>
        <v>199.50360000000001</v>
      </c>
      <c r="J337" t="str">
        <f>IF(AND(COUNTIFS(OrderLines[OrderID],Orders[[#This Row],[OrderID]],OrderLines[Category],"Hot Meal")&gt;0,COUNTIFS(OrderLines[OrderID],Orders[[#This Row],[OrderID]],OrderLines[Category],"Beverage")&gt;0),"Combo","Single")</f>
        <v>Single</v>
      </c>
      <c r="K337" s="17" t="str">
        <f>IF(SUMPRODUCT((OrderLines[OrderID]=Orders[[#This Row],[OrderID]])*OrderLines[Qty]*OrderLines[UnitPrice])*Orders[[#This Row],[DiscountPct]]&gt;40,"HighDisc","OK")</f>
        <v>OK</v>
      </c>
      <c r="L337" s="11">
        <f>SUMIFS(OrderLines[Revenue],OrderLines[OrderID],Orders[[#This Row],[OrderID]])-SUMIFS(OrderLines[FoodCost],OrderLines[OrderID],Orders[[#This Row],[OrderID]])</f>
        <v>96.003600000000006</v>
      </c>
      <c r="M337" s="5">
        <f>Orders[[#This Row],[GrossProfit]]/Orders[[#This Row],[OrderTotal]]</f>
        <v>0.48121236910010645</v>
      </c>
      <c r="N337" s="17" t="b">
        <f>COUNTIFS(OrderLines[OrderID],Orders[[#This Row],[OrderID]],OrderLines[Category],"Hot Meal")&gt;0</f>
        <v>0</v>
      </c>
      <c r="O337" s="17" t="b">
        <f>COUNTIFS(OrderLines[OrderID],Orders[[#This Row],[OrderID]],OrderLines[Category],"Snack")&gt;0</f>
        <v>1</v>
      </c>
      <c r="P337" s="17" t="b">
        <f>COUNTIFS(OrderLines[OrderID],Orders[[#This Row],[OrderID]],OrderLines[Category],"Dessert")&gt;0</f>
        <v>1</v>
      </c>
      <c r="Q337" s="11">
        <f>Orders[[#This Row],[OrderTotal]]-Orders[[#This Row],[GrossProfit]]</f>
        <v>103.5</v>
      </c>
    </row>
    <row r="338" spans="1:17" x14ac:dyDescent="0.25">
      <c r="A338" t="s">
        <v>374</v>
      </c>
      <c r="B338" s="1">
        <v>45862.606469907398</v>
      </c>
      <c r="C338" t="s">
        <v>9</v>
      </c>
      <c r="D338" t="s">
        <v>16</v>
      </c>
      <c r="E338" t="s">
        <v>17</v>
      </c>
      <c r="F338" t="s">
        <v>22</v>
      </c>
      <c r="G338" s="5">
        <v>0.15</v>
      </c>
      <c r="H338" t="b">
        <f>COUNTIFS(OrderLines[OrderID],Orders[[#This Row],[OrderID]],OrderLines[Category],"Beverage")&gt;0</f>
        <v>0</v>
      </c>
      <c r="I338">
        <f>SUMIFS(OrderLines[Revenue],OrderLines[OrderID],Orders[[#This Row],[OrderID]])</f>
        <v>124.44</v>
      </c>
      <c r="J338" t="str">
        <f>IF(AND(COUNTIFS(OrderLines[OrderID],Orders[[#This Row],[OrderID]],OrderLines[Category],"Hot Meal")&gt;0,COUNTIFS(OrderLines[OrderID],Orders[[#This Row],[OrderID]],OrderLines[Category],"Beverage")&gt;0),"Combo","Single")</f>
        <v>Single</v>
      </c>
      <c r="K338" s="17" t="str">
        <f>IF(SUMPRODUCT((OrderLines[OrderID]=Orders[[#This Row],[OrderID]])*OrderLines[Qty]*OrderLines[UnitPrice])*Orders[[#This Row],[DiscountPct]]&gt;40,"HighDisc","OK")</f>
        <v>OK</v>
      </c>
      <c r="L338" s="11">
        <f>SUMIFS(OrderLines[Revenue],OrderLines[OrderID],Orders[[#This Row],[OrderID]])-SUMIFS(OrderLines[FoodCost],OrderLines[OrderID],Orders[[#This Row],[OrderID]])</f>
        <v>43.519999999999996</v>
      </c>
      <c r="M338" s="5">
        <f>Orders[[#This Row],[GrossProfit]]/Orders[[#This Row],[OrderTotal]]</f>
        <v>0.34972677595628415</v>
      </c>
      <c r="N338" s="17" t="b">
        <f>COUNTIFS(OrderLines[OrderID],Orders[[#This Row],[OrderID]],OrderLines[Category],"Hot Meal")&gt;0</f>
        <v>1</v>
      </c>
      <c r="O338" s="17" t="b">
        <f>COUNTIFS(OrderLines[OrderID],Orders[[#This Row],[OrderID]],OrderLines[Category],"Snack")&gt;0</f>
        <v>0</v>
      </c>
      <c r="P338" s="17" t="b">
        <f>COUNTIFS(OrderLines[OrderID],Orders[[#This Row],[OrderID]],OrderLines[Category],"Dessert")&gt;0</f>
        <v>0</v>
      </c>
      <c r="Q338" s="11">
        <f>Orders[[#This Row],[OrderTotal]]-Orders[[#This Row],[GrossProfit]]</f>
        <v>80.92</v>
      </c>
    </row>
    <row r="339" spans="1:17" x14ac:dyDescent="0.25">
      <c r="A339" t="s">
        <v>375</v>
      </c>
      <c r="B339" s="1">
        <v>45890.075300925928</v>
      </c>
      <c r="C339" t="s">
        <v>15</v>
      </c>
      <c r="D339" t="s">
        <v>28</v>
      </c>
      <c r="E339" t="s">
        <v>11</v>
      </c>
      <c r="F339" t="s">
        <v>12</v>
      </c>
      <c r="G339" s="5">
        <v>0.03</v>
      </c>
      <c r="H339" t="b">
        <f>COUNTIFS(OrderLines[OrderID],Orders[[#This Row],[OrderID]],OrderLines[Category],"Beverage")&gt;0</f>
        <v>1</v>
      </c>
      <c r="I339">
        <f>SUMIFS(OrderLines[Revenue],OrderLines[OrderID],Orders[[#This Row],[OrderID]])</f>
        <v>152.9787</v>
      </c>
      <c r="J339" t="str">
        <f>IF(AND(COUNTIFS(OrderLines[OrderID],Orders[[#This Row],[OrderID]],OrderLines[Category],"Hot Meal")&gt;0,COUNTIFS(OrderLines[OrderID],Orders[[#This Row],[OrderID]],OrderLines[Category],"Beverage")&gt;0),"Combo","Single")</f>
        <v>Single</v>
      </c>
      <c r="K339" s="17" t="str">
        <f>IF(SUMPRODUCT((OrderLines[OrderID]=Orders[[#This Row],[OrderID]])*OrderLines[Qty]*OrderLines[UnitPrice])*Orders[[#This Row],[DiscountPct]]&gt;40,"HighDisc","OK")</f>
        <v>OK</v>
      </c>
      <c r="L339" s="11">
        <f>SUMIFS(OrderLines[Revenue],OrderLines[OrderID],Orders[[#This Row],[OrderID]])-SUMIFS(OrderLines[FoodCost],OrderLines[OrderID],Orders[[#This Row],[OrderID]])</f>
        <v>89.3887</v>
      </c>
      <c r="M339" s="5">
        <f>Orders[[#This Row],[GrossProfit]]/Orders[[#This Row],[OrderTotal]]</f>
        <v>0.58432121596013042</v>
      </c>
      <c r="N339" s="17" t="b">
        <f>COUNTIFS(OrderLines[OrderID],Orders[[#This Row],[OrderID]],OrderLines[Category],"Hot Meal")&gt;0</f>
        <v>0</v>
      </c>
      <c r="O339" s="17" t="b">
        <f>COUNTIFS(OrderLines[OrderID],Orders[[#This Row],[OrderID]],OrderLines[Category],"Snack")&gt;0</f>
        <v>0</v>
      </c>
      <c r="P339" s="17" t="b">
        <f>COUNTIFS(OrderLines[OrderID],Orders[[#This Row],[OrderID]],OrderLines[Category],"Dessert")&gt;0</f>
        <v>0</v>
      </c>
      <c r="Q339" s="11">
        <f>Orders[[#This Row],[OrderTotal]]-Orders[[#This Row],[GrossProfit]]</f>
        <v>63.59</v>
      </c>
    </row>
    <row r="340" spans="1:17" x14ac:dyDescent="0.25">
      <c r="A340" t="s">
        <v>376</v>
      </c>
      <c r="B340" s="1">
        <v>45888.506631944438</v>
      </c>
      <c r="C340" t="s">
        <v>9</v>
      </c>
      <c r="D340" t="s">
        <v>10</v>
      </c>
      <c r="E340" t="s">
        <v>17</v>
      </c>
      <c r="F340" t="s">
        <v>22</v>
      </c>
      <c r="G340" s="5">
        <v>0.03</v>
      </c>
      <c r="H340" t="b">
        <f>COUNTIFS(OrderLines[OrderID],Orders[[#This Row],[OrderID]],OrderLines[Category],"Beverage")&gt;0</f>
        <v>0</v>
      </c>
      <c r="I340">
        <f>SUMIFS(OrderLines[Revenue],OrderLines[OrderID],Orders[[#This Row],[OrderID]])</f>
        <v>392.66570000000002</v>
      </c>
      <c r="J340" t="str">
        <f>IF(AND(COUNTIFS(OrderLines[OrderID],Orders[[#This Row],[OrderID]],OrderLines[Category],"Hot Meal")&gt;0,COUNTIFS(OrderLines[OrderID],Orders[[#This Row],[OrderID]],OrderLines[Category],"Beverage")&gt;0),"Combo","Single")</f>
        <v>Single</v>
      </c>
      <c r="K340" s="17" t="str">
        <f>IF(SUMPRODUCT((OrderLines[OrderID]=Orders[[#This Row],[OrderID]])*OrderLines[Qty]*OrderLines[UnitPrice])*Orders[[#This Row],[DiscountPct]]&gt;40,"HighDisc","OK")</f>
        <v>OK</v>
      </c>
      <c r="L340" s="11">
        <f>SUMIFS(OrderLines[Revenue],OrderLines[OrderID],Orders[[#This Row],[OrderID]])-SUMIFS(OrderLines[FoodCost],OrderLines[OrderID],Orders[[#This Row],[OrderID]])</f>
        <v>207.3057</v>
      </c>
      <c r="M340" s="5">
        <f>Orders[[#This Row],[GrossProfit]]/Orders[[#This Row],[OrderTotal]]</f>
        <v>0.5279445085221347</v>
      </c>
      <c r="N340" s="17" t="b">
        <f>COUNTIFS(OrderLines[OrderID],Orders[[#This Row],[OrderID]],OrderLines[Category],"Hot Meal")&gt;0</f>
        <v>0</v>
      </c>
      <c r="O340" s="17" t="b">
        <f>COUNTIFS(OrderLines[OrderID],Orders[[#This Row],[OrderID]],OrderLines[Category],"Snack")&gt;0</f>
        <v>0</v>
      </c>
      <c r="P340" s="17" t="b">
        <f>COUNTIFS(OrderLines[OrderID],Orders[[#This Row],[OrderID]],OrderLines[Category],"Dessert")&gt;0</f>
        <v>1</v>
      </c>
      <c r="Q340" s="11">
        <f>Orders[[#This Row],[OrderTotal]]-Orders[[#This Row],[GrossProfit]]</f>
        <v>185.36</v>
      </c>
    </row>
    <row r="341" spans="1:17" x14ac:dyDescent="0.25">
      <c r="A341" t="s">
        <v>377</v>
      </c>
      <c r="B341" s="1">
        <v>45884.895578703698</v>
      </c>
      <c r="C341" t="s">
        <v>27</v>
      </c>
      <c r="D341" t="s">
        <v>10</v>
      </c>
      <c r="E341" t="s">
        <v>21</v>
      </c>
      <c r="F341" t="s">
        <v>18</v>
      </c>
      <c r="G341" s="5">
        <v>0.04</v>
      </c>
      <c r="H341" t="b">
        <f>COUNTIFS(OrderLines[OrderID],Orders[[#This Row],[OrderID]],OrderLines[Category],"Beverage")&gt;0</f>
        <v>1</v>
      </c>
      <c r="I341">
        <f>SUMIFS(OrderLines[Revenue],OrderLines[OrderID],Orders[[#This Row],[OrderID]])</f>
        <v>263.87520000000001</v>
      </c>
      <c r="J341" t="str">
        <f>IF(AND(COUNTIFS(OrderLines[OrderID],Orders[[#This Row],[OrderID]],OrderLines[Category],"Hot Meal")&gt;0,COUNTIFS(OrderLines[OrderID],Orders[[#This Row],[OrderID]],OrderLines[Category],"Beverage")&gt;0),"Combo","Single")</f>
        <v>Single</v>
      </c>
      <c r="K341" s="17" t="str">
        <f>IF(SUMPRODUCT((OrderLines[OrderID]=Orders[[#This Row],[OrderID]])*OrderLines[Qty]*OrderLines[UnitPrice])*Orders[[#This Row],[DiscountPct]]&gt;40,"HighDisc","OK")</f>
        <v>OK</v>
      </c>
      <c r="L341" s="11">
        <f>SUMIFS(OrderLines[Revenue],OrderLines[OrderID],Orders[[#This Row],[OrderID]])-SUMIFS(OrderLines[FoodCost],OrderLines[OrderID],Orders[[#This Row],[OrderID]])</f>
        <v>138.5052</v>
      </c>
      <c r="M341" s="5">
        <f>Orders[[#This Row],[GrossProfit]]/Orders[[#This Row],[OrderTotal]]</f>
        <v>0.52488903845454216</v>
      </c>
      <c r="N341" s="17" t="b">
        <f>COUNTIFS(OrderLines[OrderID],Orders[[#This Row],[OrderID]],OrderLines[Category],"Hot Meal")&gt;0</f>
        <v>0</v>
      </c>
      <c r="O341" s="17" t="b">
        <f>COUNTIFS(OrderLines[OrderID],Orders[[#This Row],[OrderID]],OrderLines[Category],"Snack")&gt;0</f>
        <v>1</v>
      </c>
      <c r="P341" s="17" t="b">
        <f>COUNTIFS(OrderLines[OrderID],Orders[[#This Row],[OrderID]],OrderLines[Category],"Dessert")&gt;0</f>
        <v>1</v>
      </c>
      <c r="Q341" s="11">
        <f>Orders[[#This Row],[OrderTotal]]-Orders[[#This Row],[GrossProfit]]</f>
        <v>125.37</v>
      </c>
    </row>
    <row r="342" spans="1:17" x14ac:dyDescent="0.25">
      <c r="A342" t="s">
        <v>378</v>
      </c>
      <c r="B342" s="1">
        <v>45863.87699074074</v>
      </c>
      <c r="C342" t="s">
        <v>9</v>
      </c>
      <c r="D342" t="s">
        <v>28</v>
      </c>
      <c r="E342" t="s">
        <v>21</v>
      </c>
      <c r="F342" t="s">
        <v>18</v>
      </c>
      <c r="G342" s="5">
        <v>0</v>
      </c>
      <c r="H342" t="b">
        <f>COUNTIFS(OrderLines[OrderID],Orders[[#This Row],[OrderID]],OrderLines[Category],"Beverage")&gt;0</f>
        <v>0</v>
      </c>
      <c r="I342">
        <f>SUMIFS(OrderLines[Revenue],OrderLines[OrderID],Orders[[#This Row],[OrderID]])</f>
        <v>416</v>
      </c>
      <c r="J342" t="str">
        <f>IF(AND(COUNTIFS(OrderLines[OrderID],Orders[[#This Row],[OrderID]],OrderLines[Category],"Hot Meal")&gt;0,COUNTIFS(OrderLines[OrderID],Orders[[#This Row],[OrderID]],OrderLines[Category],"Beverage")&gt;0),"Combo","Single")</f>
        <v>Single</v>
      </c>
      <c r="K342" s="17" t="str">
        <f>IF(SUMPRODUCT((OrderLines[OrderID]=Orders[[#This Row],[OrderID]])*OrderLines[Qty]*OrderLines[UnitPrice])*Orders[[#This Row],[DiscountPct]]&gt;40,"HighDisc","OK")</f>
        <v>OK</v>
      </c>
      <c r="L342" s="11">
        <f>SUMIFS(OrderLines[Revenue],OrderLines[OrderID],Orders[[#This Row],[OrderID]])-SUMIFS(OrderLines[FoodCost],OrderLines[OrderID],Orders[[#This Row],[OrderID]])</f>
        <v>204.88</v>
      </c>
      <c r="M342" s="5">
        <f>Orders[[#This Row],[GrossProfit]]/Orders[[#This Row],[OrderTotal]]</f>
        <v>0.49249999999999999</v>
      </c>
      <c r="N342" s="17" t="b">
        <f>COUNTIFS(OrderLines[OrderID],Orders[[#This Row],[OrderID]],OrderLines[Category],"Hot Meal")&gt;0</f>
        <v>1</v>
      </c>
      <c r="O342" s="17" t="b">
        <f>COUNTIFS(OrderLines[OrderID],Orders[[#This Row],[OrderID]],OrderLines[Category],"Snack")&gt;0</f>
        <v>1</v>
      </c>
      <c r="P342" s="17" t="b">
        <f>COUNTIFS(OrderLines[OrderID],Orders[[#This Row],[OrderID]],OrderLines[Category],"Dessert")&gt;0</f>
        <v>1</v>
      </c>
      <c r="Q342" s="11">
        <f>Orders[[#This Row],[OrderTotal]]-Orders[[#This Row],[GrossProfit]]</f>
        <v>211.12</v>
      </c>
    </row>
    <row r="343" spans="1:17" x14ac:dyDescent="0.25">
      <c r="A343" t="s">
        <v>379</v>
      </c>
      <c r="B343" s="1">
        <v>45872.726990740739</v>
      </c>
      <c r="C343" t="s">
        <v>27</v>
      </c>
      <c r="D343" t="s">
        <v>10</v>
      </c>
      <c r="E343" t="s">
        <v>11</v>
      </c>
      <c r="F343" t="s">
        <v>18</v>
      </c>
      <c r="G343" s="5">
        <v>0.04</v>
      </c>
      <c r="H343" t="b">
        <f>COUNTIFS(OrderLines[OrderID],Orders[[#This Row],[OrderID]],OrderLines[Category],"Beverage")&gt;0</f>
        <v>1</v>
      </c>
      <c r="I343">
        <f>SUMIFS(OrderLines[Revenue],OrderLines[OrderID],Orders[[#This Row],[OrderID]])</f>
        <v>104.9376</v>
      </c>
      <c r="J343" t="str">
        <f>IF(AND(COUNTIFS(OrderLines[OrderID],Orders[[#This Row],[OrderID]],OrderLines[Category],"Hot Meal")&gt;0,COUNTIFS(OrderLines[OrderID],Orders[[#This Row],[OrderID]],OrderLines[Category],"Beverage")&gt;0),"Combo","Single")</f>
        <v>Single</v>
      </c>
      <c r="K343" s="17" t="str">
        <f>IF(SUMPRODUCT((OrderLines[OrderID]=Orders[[#This Row],[OrderID]])*OrderLines[Qty]*OrderLines[UnitPrice])*Orders[[#This Row],[DiscountPct]]&gt;40,"HighDisc","OK")</f>
        <v>OK</v>
      </c>
      <c r="L343" s="11">
        <f>SUMIFS(OrderLines[Revenue],OrderLines[OrderID],Orders[[#This Row],[OrderID]])-SUMIFS(OrderLines[FoodCost],OrderLines[OrderID],Orders[[#This Row],[OrderID]])</f>
        <v>51.357600000000005</v>
      </c>
      <c r="M343" s="5">
        <f>Orders[[#This Row],[GrossProfit]]/Orders[[#This Row],[OrderTotal]]</f>
        <v>0.48941084987649808</v>
      </c>
      <c r="N343" s="17" t="b">
        <f>COUNTIFS(OrderLines[OrderID],Orders[[#This Row],[OrderID]],OrderLines[Category],"Hot Meal")&gt;0</f>
        <v>0</v>
      </c>
      <c r="O343" s="17" t="b">
        <f>COUNTIFS(OrderLines[OrderID],Orders[[#This Row],[OrderID]],OrderLines[Category],"Snack")&gt;0</f>
        <v>1</v>
      </c>
      <c r="P343" s="17" t="b">
        <f>COUNTIFS(OrderLines[OrderID],Orders[[#This Row],[OrderID]],OrderLines[Category],"Dessert")&gt;0</f>
        <v>0</v>
      </c>
      <c r="Q343" s="11">
        <f>Orders[[#This Row],[OrderTotal]]-Orders[[#This Row],[GrossProfit]]</f>
        <v>53.58</v>
      </c>
    </row>
    <row r="344" spans="1:17" x14ac:dyDescent="0.25">
      <c r="A344" t="s">
        <v>380</v>
      </c>
      <c r="B344" s="1">
        <v>45895.747199074067</v>
      </c>
      <c r="C344" t="s">
        <v>9</v>
      </c>
      <c r="D344" t="s">
        <v>16</v>
      </c>
      <c r="E344" t="s">
        <v>17</v>
      </c>
      <c r="F344" t="s">
        <v>18</v>
      </c>
      <c r="G344" s="5">
        <v>0.03</v>
      </c>
      <c r="H344" t="b">
        <f>COUNTIFS(OrderLines[OrderID],Orders[[#This Row],[OrderID]],OrderLines[Category],"Beverage")&gt;0</f>
        <v>0</v>
      </c>
      <c r="I344">
        <f>SUMIFS(OrderLines[Revenue],OrderLines[OrderID],Orders[[#This Row],[OrderID]])</f>
        <v>105.148</v>
      </c>
      <c r="J344" t="str">
        <f>IF(AND(COUNTIFS(OrderLines[OrderID],Orders[[#This Row],[OrderID]],OrderLines[Category],"Hot Meal")&gt;0,COUNTIFS(OrderLines[OrderID],Orders[[#This Row],[OrderID]],OrderLines[Category],"Beverage")&gt;0),"Combo","Single")</f>
        <v>Single</v>
      </c>
      <c r="K344" s="17" t="str">
        <f>IF(SUMPRODUCT((OrderLines[OrderID]=Orders[[#This Row],[OrderID]])*OrderLines[Qty]*OrderLines[UnitPrice])*Orders[[#This Row],[DiscountPct]]&gt;40,"HighDisc","OK")</f>
        <v>OK</v>
      </c>
      <c r="L344" s="11">
        <f>SUMIFS(OrderLines[Revenue],OrderLines[OrderID],Orders[[#This Row],[OrderID]])-SUMIFS(OrderLines[FoodCost],OrderLines[OrderID],Orders[[#This Row],[OrderID]])</f>
        <v>61.247999999999998</v>
      </c>
      <c r="M344" s="5">
        <f>Orders[[#This Row],[GrossProfit]]/Orders[[#This Row],[OrderTotal]]</f>
        <v>0.58249324761288845</v>
      </c>
      <c r="N344" s="17" t="b">
        <f>COUNTIFS(OrderLines[OrderID],Orders[[#This Row],[OrderID]],OrderLines[Category],"Hot Meal")&gt;0</f>
        <v>0</v>
      </c>
      <c r="O344" s="17" t="b">
        <f>COUNTIFS(OrderLines[OrderID],Orders[[#This Row],[OrderID]],OrderLines[Category],"Snack")&gt;0</f>
        <v>0</v>
      </c>
      <c r="P344" s="17" t="b">
        <f>COUNTIFS(OrderLines[OrderID],Orders[[#This Row],[OrderID]],OrderLines[Category],"Dessert")&gt;0</f>
        <v>1</v>
      </c>
      <c r="Q344" s="11">
        <f>Orders[[#This Row],[OrderTotal]]-Orders[[#This Row],[GrossProfit]]</f>
        <v>43.9</v>
      </c>
    </row>
    <row r="345" spans="1:17" x14ac:dyDescent="0.25">
      <c r="A345" t="s">
        <v>381</v>
      </c>
      <c r="B345" s="1">
        <v>45873.454837962963</v>
      </c>
      <c r="C345" t="s">
        <v>9</v>
      </c>
      <c r="D345" t="s">
        <v>16</v>
      </c>
      <c r="E345" t="s">
        <v>11</v>
      </c>
      <c r="F345" t="s">
        <v>12</v>
      </c>
      <c r="G345" s="5">
        <v>7.0000000000000007E-2</v>
      </c>
      <c r="H345" t="b">
        <f>COUNTIFS(OrderLines[OrderID],Orders[[#This Row],[OrderID]],OrderLines[Category],"Beverage")&gt;0</f>
        <v>0</v>
      </c>
      <c r="I345">
        <f>SUMIFS(OrderLines[Revenue],OrderLines[OrderID],Orders[[#This Row],[OrderID]])</f>
        <v>214.55099999999999</v>
      </c>
      <c r="J345" t="str">
        <f>IF(AND(COUNTIFS(OrderLines[OrderID],Orders[[#This Row],[OrderID]],OrderLines[Category],"Hot Meal")&gt;0,COUNTIFS(OrderLines[OrderID],Orders[[#This Row],[OrderID]],OrderLines[Category],"Beverage")&gt;0),"Combo","Single")</f>
        <v>Single</v>
      </c>
      <c r="K345" s="17" t="str">
        <f>IF(SUMPRODUCT((OrderLines[OrderID]=Orders[[#This Row],[OrderID]])*OrderLines[Qty]*OrderLines[UnitPrice])*Orders[[#This Row],[DiscountPct]]&gt;40,"HighDisc","OK")</f>
        <v>OK</v>
      </c>
      <c r="L345" s="11">
        <f>SUMIFS(OrderLines[Revenue],OrderLines[OrderID],Orders[[#This Row],[OrderID]])-SUMIFS(OrderLines[FoodCost],OrderLines[OrderID],Orders[[#This Row],[OrderID]])</f>
        <v>108.28099999999999</v>
      </c>
      <c r="M345" s="5">
        <f>Orders[[#This Row],[GrossProfit]]/Orders[[#This Row],[OrderTotal]]</f>
        <v>0.5046865314074509</v>
      </c>
      <c r="N345" s="17" t="b">
        <f>COUNTIFS(OrderLines[OrderID],Orders[[#This Row],[OrderID]],OrderLines[Category],"Hot Meal")&gt;0</f>
        <v>0</v>
      </c>
      <c r="O345" s="17" t="b">
        <f>COUNTIFS(OrderLines[OrderID],Orders[[#This Row],[OrderID]],OrderLines[Category],"Snack")&gt;0</f>
        <v>1</v>
      </c>
      <c r="P345" s="17" t="b">
        <f>COUNTIFS(OrderLines[OrderID],Orders[[#This Row],[OrderID]],OrderLines[Category],"Dessert")&gt;0</f>
        <v>1</v>
      </c>
      <c r="Q345" s="11">
        <f>Orders[[#This Row],[OrderTotal]]-Orders[[#This Row],[GrossProfit]]</f>
        <v>106.27</v>
      </c>
    </row>
    <row r="346" spans="1:17" x14ac:dyDescent="0.25">
      <c r="A346" t="s">
        <v>382</v>
      </c>
      <c r="B346" s="1">
        <v>45884.360405092593</v>
      </c>
      <c r="C346" t="s">
        <v>9</v>
      </c>
      <c r="D346" t="s">
        <v>16</v>
      </c>
      <c r="E346" t="s">
        <v>11</v>
      </c>
      <c r="F346" t="s">
        <v>12</v>
      </c>
      <c r="G346" s="5">
        <v>7.0000000000000007E-2</v>
      </c>
      <c r="H346" t="b">
        <f>COUNTIFS(OrderLines[OrderID],Orders[[#This Row],[OrderID]],OrderLines[Category],"Beverage")&gt;0</f>
        <v>1</v>
      </c>
      <c r="I346">
        <f>SUMIFS(OrderLines[Revenue],OrderLines[OrderID],Orders[[#This Row],[OrderID]])</f>
        <v>595.21860000000004</v>
      </c>
      <c r="J346" t="str">
        <f>IF(AND(COUNTIFS(OrderLines[OrderID],Orders[[#This Row],[OrderID]],OrderLines[Category],"Hot Meal")&gt;0,COUNTIFS(OrderLines[OrderID],Orders[[#This Row],[OrderID]],OrderLines[Category],"Beverage")&gt;0),"Combo","Single")</f>
        <v>Combo</v>
      </c>
      <c r="K346" s="17" t="str">
        <f>IF(SUMPRODUCT((OrderLines[OrderID]=Orders[[#This Row],[OrderID]])*OrderLines[Qty]*OrderLines[UnitPrice])*Orders[[#This Row],[DiscountPct]]&gt;40,"HighDisc","OK")</f>
        <v>HighDisc</v>
      </c>
      <c r="L346" s="11">
        <f>SUMIFS(OrderLines[Revenue],OrderLines[OrderID],Orders[[#This Row],[OrderID]])-SUMIFS(OrderLines[FoodCost],OrderLines[OrderID],Orders[[#This Row],[OrderID]])</f>
        <v>327.54860000000008</v>
      </c>
      <c r="M346" s="5">
        <f>Orders[[#This Row],[GrossProfit]]/Orders[[#This Row],[OrderTotal]]</f>
        <v>0.55029967141483827</v>
      </c>
      <c r="N346" s="17" t="b">
        <f>COUNTIFS(OrderLines[OrderID],Orders[[#This Row],[OrderID]],OrderLines[Category],"Hot Meal")&gt;0</f>
        <v>1</v>
      </c>
      <c r="O346" s="17" t="b">
        <f>COUNTIFS(OrderLines[OrderID],Orders[[#This Row],[OrderID]],OrderLines[Category],"Snack")&gt;0</f>
        <v>0</v>
      </c>
      <c r="P346" s="17" t="b">
        <f>COUNTIFS(OrderLines[OrderID],Orders[[#This Row],[OrderID]],OrderLines[Category],"Dessert")&gt;0</f>
        <v>1</v>
      </c>
      <c r="Q346" s="11">
        <f>Orders[[#This Row],[OrderTotal]]-Orders[[#This Row],[GrossProfit]]</f>
        <v>267.66999999999996</v>
      </c>
    </row>
    <row r="347" spans="1:17" x14ac:dyDescent="0.25">
      <c r="A347" t="s">
        <v>383</v>
      </c>
      <c r="B347" s="1">
        <v>45852.342881944453</v>
      </c>
      <c r="C347" t="s">
        <v>27</v>
      </c>
      <c r="D347" t="s">
        <v>10</v>
      </c>
      <c r="E347" t="s">
        <v>21</v>
      </c>
      <c r="F347" t="s">
        <v>12</v>
      </c>
      <c r="G347" s="5">
        <v>0.14000000000000001</v>
      </c>
      <c r="H347" t="b">
        <f>COUNTIFS(OrderLines[OrderID],Orders[[#This Row],[OrderID]],OrderLines[Category],"Beverage")&gt;0</f>
        <v>1</v>
      </c>
      <c r="I347">
        <f>SUMIFS(OrderLines[Revenue],OrderLines[OrderID],Orders[[#This Row],[OrderID]])</f>
        <v>66.194199999999995</v>
      </c>
      <c r="J347" t="str">
        <f>IF(AND(COUNTIFS(OrderLines[OrderID],Orders[[#This Row],[OrderID]],OrderLines[Category],"Hot Meal")&gt;0,COUNTIFS(OrderLines[OrderID],Orders[[#This Row],[OrderID]],OrderLines[Category],"Beverage")&gt;0),"Combo","Single")</f>
        <v>Single</v>
      </c>
      <c r="K347" s="17" t="str">
        <f>IF(SUMPRODUCT((OrderLines[OrderID]=Orders[[#This Row],[OrderID]])*OrderLines[Qty]*OrderLines[UnitPrice])*Orders[[#This Row],[DiscountPct]]&gt;40,"HighDisc","OK")</f>
        <v>OK</v>
      </c>
      <c r="L347" s="11">
        <f>SUMIFS(OrderLines[Revenue],OrderLines[OrderID],Orders[[#This Row],[OrderID]])-SUMIFS(OrderLines[FoodCost],OrderLines[OrderID],Orders[[#This Row],[OrderID]])</f>
        <v>30.414199999999994</v>
      </c>
      <c r="M347" s="5">
        <f>Orders[[#This Row],[GrossProfit]]/Orders[[#This Row],[OrderTotal]]</f>
        <v>0.45946925863595295</v>
      </c>
      <c r="N347" s="17" t="b">
        <f>COUNTIFS(OrderLines[OrderID],Orders[[#This Row],[OrderID]],OrderLines[Category],"Hot Meal")&gt;0</f>
        <v>0</v>
      </c>
      <c r="O347" s="17" t="b">
        <f>COUNTIFS(OrderLines[OrderID],Orders[[#This Row],[OrderID]],OrderLines[Category],"Snack")&gt;0</f>
        <v>0</v>
      </c>
      <c r="P347" s="17" t="b">
        <f>COUNTIFS(OrderLines[OrderID],Orders[[#This Row],[OrderID]],OrderLines[Category],"Dessert")&gt;0</f>
        <v>0</v>
      </c>
      <c r="Q347" s="11">
        <f>Orders[[#This Row],[OrderTotal]]-Orders[[#This Row],[GrossProfit]]</f>
        <v>35.78</v>
      </c>
    </row>
    <row r="348" spans="1:17" x14ac:dyDescent="0.25">
      <c r="A348" t="s">
        <v>384</v>
      </c>
      <c r="B348" s="1">
        <v>45867.740439814806</v>
      </c>
      <c r="C348" t="s">
        <v>27</v>
      </c>
      <c r="D348" t="s">
        <v>28</v>
      </c>
      <c r="E348" t="s">
        <v>17</v>
      </c>
      <c r="F348" t="s">
        <v>18</v>
      </c>
      <c r="G348" s="5">
        <v>0.1</v>
      </c>
      <c r="H348" t="b">
        <f>COUNTIFS(OrderLines[OrderID],Orders[[#This Row],[OrderID]],OrderLines[Category],"Beverage")&gt;0</f>
        <v>0</v>
      </c>
      <c r="I348">
        <f>SUMIFS(OrderLines[Revenue],OrderLines[OrderID],Orders[[#This Row],[OrderID]])</f>
        <v>494.73900000000003</v>
      </c>
      <c r="J348" t="str">
        <f>IF(AND(COUNTIFS(OrderLines[OrderID],Orders[[#This Row],[OrderID]],OrderLines[Category],"Hot Meal")&gt;0,COUNTIFS(OrderLines[OrderID],Orders[[#This Row],[OrderID]],OrderLines[Category],"Beverage")&gt;0),"Combo","Single")</f>
        <v>Single</v>
      </c>
      <c r="K348" s="17" t="str">
        <f>IF(SUMPRODUCT((OrderLines[OrderID]=Orders[[#This Row],[OrderID]])*OrderLines[Qty]*OrderLines[UnitPrice])*Orders[[#This Row],[DiscountPct]]&gt;40,"HighDisc","OK")</f>
        <v>HighDisc</v>
      </c>
      <c r="L348" s="11">
        <f>SUMIFS(OrderLines[Revenue],OrderLines[OrderID],Orders[[#This Row],[OrderID]])-SUMIFS(OrderLines[FoodCost],OrderLines[OrderID],Orders[[#This Row],[OrderID]])</f>
        <v>211.65900000000005</v>
      </c>
      <c r="M348" s="5">
        <f>Orders[[#This Row],[GrossProfit]]/Orders[[#This Row],[OrderTotal]]</f>
        <v>0.42781951695742609</v>
      </c>
      <c r="N348" s="17" t="b">
        <f>COUNTIFS(OrderLines[OrderID],Orders[[#This Row],[OrderID]],OrderLines[Category],"Hot Meal")&gt;0</f>
        <v>1</v>
      </c>
      <c r="O348" s="17" t="b">
        <f>COUNTIFS(OrderLines[OrderID],Orders[[#This Row],[OrderID]],OrderLines[Category],"Snack")&gt;0</f>
        <v>0</v>
      </c>
      <c r="P348" s="17" t="b">
        <f>COUNTIFS(OrderLines[OrderID],Orders[[#This Row],[OrderID]],OrderLines[Category],"Dessert")&gt;0</f>
        <v>0</v>
      </c>
      <c r="Q348" s="11">
        <f>Orders[[#This Row],[OrderTotal]]-Orders[[#This Row],[GrossProfit]]</f>
        <v>283.08</v>
      </c>
    </row>
    <row r="349" spans="1:17" x14ac:dyDescent="0.25">
      <c r="A349" t="s">
        <v>385</v>
      </c>
      <c r="B349" s="1">
        <v>45869.89130787037</v>
      </c>
      <c r="C349" t="s">
        <v>15</v>
      </c>
      <c r="D349" t="s">
        <v>10</v>
      </c>
      <c r="E349" t="s">
        <v>21</v>
      </c>
      <c r="F349" t="s">
        <v>18</v>
      </c>
      <c r="G349" s="5">
        <v>0.04</v>
      </c>
      <c r="H349" t="b">
        <f>COUNTIFS(OrderLines[OrderID],Orders[[#This Row],[OrderID]],OrderLines[Category],"Beverage")&gt;0</f>
        <v>0</v>
      </c>
      <c r="I349">
        <f>SUMIFS(OrderLines[Revenue],OrderLines[OrderID],Orders[[#This Row],[OrderID]])</f>
        <v>1245.1872000000001</v>
      </c>
      <c r="J349" t="str">
        <f>IF(AND(COUNTIFS(OrderLines[OrderID],Orders[[#This Row],[OrderID]],OrderLines[Category],"Hot Meal")&gt;0,COUNTIFS(OrderLines[OrderID],Orders[[#This Row],[OrderID]],OrderLines[Category],"Beverage")&gt;0),"Combo","Single")</f>
        <v>Single</v>
      </c>
      <c r="K349" s="17" t="str">
        <f>IF(SUMPRODUCT((OrderLines[OrderID]=Orders[[#This Row],[OrderID]])*OrderLines[Qty]*OrderLines[UnitPrice])*Orders[[#This Row],[DiscountPct]]&gt;40,"HighDisc","OK")</f>
        <v>HighDisc</v>
      </c>
      <c r="L349" s="11">
        <f>SUMIFS(OrderLines[Revenue],OrderLines[OrderID],Orders[[#This Row],[OrderID]])-SUMIFS(OrderLines[FoodCost],OrderLines[OrderID],Orders[[#This Row],[OrderID]])</f>
        <v>639.23720000000014</v>
      </c>
      <c r="M349" s="5">
        <f>Orders[[#This Row],[GrossProfit]]/Orders[[#This Row],[OrderTotal]]</f>
        <v>0.5133663436309015</v>
      </c>
      <c r="N349" s="17" t="b">
        <f>COUNTIFS(OrderLines[OrderID],Orders[[#This Row],[OrderID]],OrderLines[Category],"Hot Meal")&gt;0</f>
        <v>1</v>
      </c>
      <c r="O349" s="17" t="b">
        <f>COUNTIFS(OrderLines[OrderID],Orders[[#This Row],[OrderID]],OrderLines[Category],"Snack")&gt;0</f>
        <v>1</v>
      </c>
      <c r="P349" s="17" t="b">
        <f>COUNTIFS(OrderLines[OrderID],Orders[[#This Row],[OrderID]],OrderLines[Category],"Dessert")&gt;0</f>
        <v>1</v>
      </c>
      <c r="Q349" s="11">
        <f>Orders[[#This Row],[OrderTotal]]-Orders[[#This Row],[GrossProfit]]</f>
        <v>605.94999999999993</v>
      </c>
    </row>
    <row r="350" spans="1:17" x14ac:dyDescent="0.25">
      <c r="A350" t="s">
        <v>386</v>
      </c>
      <c r="B350" s="1">
        <v>45885.212557870371</v>
      </c>
      <c r="C350" t="s">
        <v>15</v>
      </c>
      <c r="D350" t="s">
        <v>28</v>
      </c>
      <c r="E350" t="s">
        <v>11</v>
      </c>
      <c r="F350" t="s">
        <v>12</v>
      </c>
      <c r="G350" s="5">
        <v>0.02</v>
      </c>
      <c r="H350" t="b">
        <f>COUNTIFS(OrderLines[OrderID],Orders[[#This Row],[OrderID]],OrderLines[Category],"Beverage")&gt;0</f>
        <v>0</v>
      </c>
      <c r="I350">
        <f>SUMIFS(OrderLines[Revenue],OrderLines[OrderID],Orders[[#This Row],[OrderID]])</f>
        <v>915.51600000000008</v>
      </c>
      <c r="J350" t="str">
        <f>IF(AND(COUNTIFS(OrderLines[OrderID],Orders[[#This Row],[OrderID]],OrderLines[Category],"Hot Meal")&gt;0,COUNTIFS(OrderLines[OrderID],Orders[[#This Row],[OrderID]],OrderLines[Category],"Beverage")&gt;0),"Combo","Single")</f>
        <v>Single</v>
      </c>
      <c r="K350" s="17" t="str">
        <f>IF(SUMPRODUCT((OrderLines[OrderID]=Orders[[#This Row],[OrderID]])*OrderLines[Qty]*OrderLines[UnitPrice])*Orders[[#This Row],[DiscountPct]]&gt;40,"HighDisc","OK")</f>
        <v>OK</v>
      </c>
      <c r="L350" s="11">
        <f>SUMIFS(OrderLines[Revenue],OrderLines[OrderID],Orders[[#This Row],[OrderID]])-SUMIFS(OrderLines[FoodCost],OrderLines[OrderID],Orders[[#This Row],[OrderID]])</f>
        <v>491.63600000000008</v>
      </c>
      <c r="M350" s="5">
        <f>Orders[[#This Row],[GrossProfit]]/Orders[[#This Row],[OrderTotal]]</f>
        <v>0.53700426863102346</v>
      </c>
      <c r="N350" s="17" t="b">
        <f>COUNTIFS(OrderLines[OrderID],Orders[[#This Row],[OrderID]],OrderLines[Category],"Hot Meal")&gt;0</f>
        <v>1</v>
      </c>
      <c r="O350" s="17" t="b">
        <f>COUNTIFS(OrderLines[OrderID],Orders[[#This Row],[OrderID]],OrderLines[Category],"Snack")&gt;0</f>
        <v>0</v>
      </c>
      <c r="P350" s="17" t="b">
        <f>COUNTIFS(OrderLines[OrderID],Orders[[#This Row],[OrderID]],OrderLines[Category],"Dessert")&gt;0</f>
        <v>1</v>
      </c>
      <c r="Q350" s="11">
        <f>Orders[[#This Row],[OrderTotal]]-Orders[[#This Row],[GrossProfit]]</f>
        <v>423.88</v>
      </c>
    </row>
    <row r="351" spans="1:17" x14ac:dyDescent="0.25">
      <c r="A351" t="s">
        <v>387</v>
      </c>
      <c r="B351" s="1">
        <v>45867.028611111113</v>
      </c>
      <c r="C351" t="s">
        <v>15</v>
      </c>
      <c r="D351" t="s">
        <v>28</v>
      </c>
      <c r="E351" t="s">
        <v>11</v>
      </c>
      <c r="F351" t="s">
        <v>12</v>
      </c>
      <c r="G351" s="5">
        <v>0.08</v>
      </c>
      <c r="H351" t="b">
        <f>COUNTIFS(OrderLines[OrderID],Orders[[#This Row],[OrderID]],OrderLines[Category],"Beverage")&gt;0</f>
        <v>1</v>
      </c>
      <c r="I351">
        <f>SUMIFS(OrderLines[Revenue],OrderLines[OrderID],Orders[[#This Row],[OrderID]])</f>
        <v>356.21480000000003</v>
      </c>
      <c r="J351" t="str">
        <f>IF(AND(COUNTIFS(OrderLines[OrderID],Orders[[#This Row],[OrderID]],OrderLines[Category],"Hot Meal")&gt;0,COUNTIFS(OrderLines[OrderID],Orders[[#This Row],[OrderID]],OrderLines[Category],"Beverage")&gt;0),"Combo","Single")</f>
        <v>Combo</v>
      </c>
      <c r="K351" s="17" t="str">
        <f>IF(SUMPRODUCT((OrderLines[OrderID]=Orders[[#This Row],[OrderID]])*OrderLines[Qty]*OrderLines[UnitPrice])*Orders[[#This Row],[DiscountPct]]&gt;40,"HighDisc","OK")</f>
        <v>OK</v>
      </c>
      <c r="L351" s="11">
        <f>SUMIFS(OrderLines[Revenue],OrderLines[OrderID],Orders[[#This Row],[OrderID]])-SUMIFS(OrderLines[FoodCost],OrderLines[OrderID],Orders[[#This Row],[OrderID]])</f>
        <v>156.8048</v>
      </c>
      <c r="M351" s="5">
        <f>Orders[[#This Row],[GrossProfit]]/Orders[[#This Row],[OrderTotal]]</f>
        <v>0.44019731914563909</v>
      </c>
      <c r="N351" s="17" t="b">
        <f>COUNTIFS(OrderLines[OrderID],Orders[[#This Row],[OrderID]],OrderLines[Category],"Hot Meal")&gt;0</f>
        <v>1</v>
      </c>
      <c r="O351" s="17" t="b">
        <f>COUNTIFS(OrderLines[OrderID],Orders[[#This Row],[OrderID]],OrderLines[Category],"Snack")&gt;0</f>
        <v>0</v>
      </c>
      <c r="P351" s="17" t="b">
        <f>COUNTIFS(OrderLines[OrderID],Orders[[#This Row],[OrderID]],OrderLines[Category],"Dessert")&gt;0</f>
        <v>0</v>
      </c>
      <c r="Q351" s="11">
        <f>Orders[[#This Row],[OrderTotal]]-Orders[[#This Row],[GrossProfit]]</f>
        <v>199.41000000000003</v>
      </c>
    </row>
    <row r="352" spans="1:17" x14ac:dyDescent="0.25">
      <c r="A352" t="s">
        <v>388</v>
      </c>
      <c r="B352" s="1">
        <v>45865.776701388888</v>
      </c>
      <c r="C352" t="s">
        <v>27</v>
      </c>
      <c r="D352" t="s">
        <v>16</v>
      </c>
      <c r="E352" t="s">
        <v>21</v>
      </c>
      <c r="F352" t="s">
        <v>18</v>
      </c>
      <c r="G352" s="5">
        <v>0.01</v>
      </c>
      <c r="H352" t="b">
        <f>COUNTIFS(OrderLines[OrderID],Orders[[#This Row],[OrderID]],OrderLines[Category],"Beverage")&gt;0</f>
        <v>1</v>
      </c>
      <c r="I352">
        <f>SUMIFS(OrderLines[Revenue],OrderLines[OrderID],Orders[[#This Row],[OrderID]])</f>
        <v>60.0732</v>
      </c>
      <c r="J352" t="str">
        <f>IF(AND(COUNTIFS(OrderLines[OrderID],Orders[[#This Row],[OrderID]],OrderLines[Category],"Hot Meal")&gt;0,COUNTIFS(OrderLines[OrderID],Orders[[#This Row],[OrderID]],OrderLines[Category],"Beverage")&gt;0),"Combo","Single")</f>
        <v>Single</v>
      </c>
      <c r="K352" s="17" t="str">
        <f>IF(SUMPRODUCT((OrderLines[OrderID]=Orders[[#This Row],[OrderID]])*OrderLines[Qty]*OrderLines[UnitPrice])*Orders[[#This Row],[DiscountPct]]&gt;40,"HighDisc","OK")</f>
        <v>OK</v>
      </c>
      <c r="L352" s="11">
        <f>SUMIFS(OrderLines[Revenue],OrderLines[OrderID],Orders[[#This Row],[OrderID]])-SUMIFS(OrderLines[FoodCost],OrderLines[OrderID],Orders[[#This Row],[OrderID]])</f>
        <v>31.713200000000001</v>
      </c>
      <c r="M352" s="5">
        <f>Orders[[#This Row],[GrossProfit]]/Orders[[#This Row],[OrderTotal]]</f>
        <v>0.527909284006845</v>
      </c>
      <c r="N352" s="17" t="b">
        <f>COUNTIFS(OrderLines[OrderID],Orders[[#This Row],[OrderID]],OrderLines[Category],"Hot Meal")&gt;0</f>
        <v>0</v>
      </c>
      <c r="O352" s="17" t="b">
        <f>COUNTIFS(OrderLines[OrderID],Orders[[#This Row],[OrderID]],OrderLines[Category],"Snack")&gt;0</f>
        <v>0</v>
      </c>
      <c r="P352" s="17" t="b">
        <f>COUNTIFS(OrderLines[OrderID],Orders[[#This Row],[OrderID]],OrderLines[Category],"Dessert")&gt;0</f>
        <v>0</v>
      </c>
      <c r="Q352" s="11">
        <f>Orders[[#This Row],[OrderTotal]]-Orders[[#This Row],[GrossProfit]]</f>
        <v>28.36</v>
      </c>
    </row>
    <row r="353" spans="1:17" x14ac:dyDescent="0.25">
      <c r="A353" t="s">
        <v>389</v>
      </c>
      <c r="B353" s="1">
        <v>45881.944189814807</v>
      </c>
      <c r="C353" t="s">
        <v>15</v>
      </c>
      <c r="D353" t="s">
        <v>16</v>
      </c>
      <c r="E353" t="s">
        <v>17</v>
      </c>
      <c r="F353" t="s">
        <v>18</v>
      </c>
      <c r="G353" s="5">
        <v>0.13</v>
      </c>
      <c r="H353" t="b">
        <f>COUNTIFS(OrderLines[OrderID],Orders[[#This Row],[OrderID]],OrderLines[Category],"Beverage")&gt;0</f>
        <v>1</v>
      </c>
      <c r="I353">
        <f>SUMIFS(OrderLines[Revenue],OrderLines[OrderID],Orders[[#This Row],[OrderID]])</f>
        <v>204.4239</v>
      </c>
      <c r="J353" t="str">
        <f>IF(AND(COUNTIFS(OrderLines[OrderID],Orders[[#This Row],[OrderID]],OrderLines[Category],"Hot Meal")&gt;0,COUNTIFS(OrderLines[OrderID],Orders[[#This Row],[OrderID]],OrderLines[Category],"Beverage")&gt;0),"Combo","Single")</f>
        <v>Single</v>
      </c>
      <c r="K353" s="17" t="str">
        <f>IF(SUMPRODUCT((OrderLines[OrderID]=Orders[[#This Row],[OrderID]])*OrderLines[Qty]*OrderLines[UnitPrice])*Orders[[#This Row],[DiscountPct]]&gt;40,"HighDisc","OK")</f>
        <v>OK</v>
      </c>
      <c r="L353" s="11">
        <f>SUMIFS(OrderLines[Revenue],OrderLines[OrderID],Orders[[#This Row],[OrderID]])-SUMIFS(OrderLines[FoodCost],OrderLines[OrderID],Orders[[#This Row],[OrderID]])</f>
        <v>99.243899999999996</v>
      </c>
      <c r="M353" s="5">
        <f>Orders[[#This Row],[GrossProfit]]/Orders[[#This Row],[OrderTotal]]</f>
        <v>0.48548090511921549</v>
      </c>
      <c r="N353" s="17" t="b">
        <f>COUNTIFS(OrderLines[OrderID],Orders[[#This Row],[OrderID]],OrderLines[Category],"Hot Meal")&gt;0</f>
        <v>0</v>
      </c>
      <c r="O353" s="17" t="b">
        <f>COUNTIFS(OrderLines[OrderID],Orders[[#This Row],[OrderID]],OrderLines[Category],"Snack")&gt;0</f>
        <v>1</v>
      </c>
      <c r="P353" s="17" t="b">
        <f>COUNTIFS(OrderLines[OrderID],Orders[[#This Row],[OrderID]],OrderLines[Category],"Dessert")&gt;0</f>
        <v>1</v>
      </c>
      <c r="Q353" s="11">
        <f>Orders[[#This Row],[OrderTotal]]-Orders[[#This Row],[GrossProfit]]</f>
        <v>105.18</v>
      </c>
    </row>
    <row r="354" spans="1:17" x14ac:dyDescent="0.25">
      <c r="A354" t="s">
        <v>390</v>
      </c>
      <c r="B354" s="1">
        <v>45887.554722222223</v>
      </c>
      <c r="C354" t="s">
        <v>15</v>
      </c>
      <c r="D354" t="s">
        <v>10</v>
      </c>
      <c r="E354" t="s">
        <v>21</v>
      </c>
      <c r="F354" t="s">
        <v>22</v>
      </c>
      <c r="G354" s="5">
        <v>0.11</v>
      </c>
      <c r="H354" t="b">
        <f>COUNTIFS(OrderLines[OrderID],Orders[[#This Row],[OrderID]],OrderLines[Category],"Beverage")&gt;0</f>
        <v>0</v>
      </c>
      <c r="I354">
        <f>SUMIFS(OrderLines[Revenue],OrderLines[OrderID],Orders[[#This Row],[OrderID]])</f>
        <v>204.38849999999999</v>
      </c>
      <c r="J354" t="str">
        <f>IF(AND(COUNTIFS(OrderLines[OrderID],Orders[[#This Row],[OrderID]],OrderLines[Category],"Hot Meal")&gt;0,COUNTIFS(OrderLines[OrderID],Orders[[#This Row],[OrderID]],OrderLines[Category],"Beverage")&gt;0),"Combo","Single")</f>
        <v>Single</v>
      </c>
      <c r="K354" s="17" t="str">
        <f>IF(SUMPRODUCT((OrderLines[OrderID]=Orders[[#This Row],[OrderID]])*OrderLines[Qty]*OrderLines[UnitPrice])*Orders[[#This Row],[DiscountPct]]&gt;40,"HighDisc","OK")</f>
        <v>OK</v>
      </c>
      <c r="L354" s="11">
        <f>SUMIFS(OrderLines[Revenue],OrderLines[OrderID],Orders[[#This Row],[OrderID]])-SUMIFS(OrderLines[FoodCost],OrderLines[OrderID],Orders[[#This Row],[OrderID]])</f>
        <v>89.698499999999996</v>
      </c>
      <c r="M354" s="5">
        <f>Orders[[#This Row],[GrossProfit]]/Orders[[#This Row],[OrderTotal]]</f>
        <v>0.43886275401991792</v>
      </c>
      <c r="N354" s="17" t="b">
        <f>COUNTIFS(OrderLines[OrderID],Orders[[#This Row],[OrderID]],OrderLines[Category],"Hot Meal")&gt;0</f>
        <v>0</v>
      </c>
      <c r="O354" s="17" t="b">
        <f>COUNTIFS(OrderLines[OrderID],Orders[[#This Row],[OrderID]],OrderLines[Category],"Snack")&gt;0</f>
        <v>0</v>
      </c>
      <c r="P354" s="17" t="b">
        <f>COUNTIFS(OrderLines[OrderID],Orders[[#This Row],[OrderID]],OrderLines[Category],"Dessert")&gt;0</f>
        <v>1</v>
      </c>
      <c r="Q354" s="11">
        <f>Orders[[#This Row],[OrderTotal]]-Orders[[#This Row],[GrossProfit]]</f>
        <v>114.69</v>
      </c>
    </row>
    <row r="355" spans="1:17" x14ac:dyDescent="0.25">
      <c r="A355" t="s">
        <v>391</v>
      </c>
      <c r="B355" s="1">
        <v>45880.464826388888</v>
      </c>
      <c r="C355" t="s">
        <v>27</v>
      </c>
      <c r="D355" t="s">
        <v>16</v>
      </c>
      <c r="E355" t="s">
        <v>11</v>
      </c>
      <c r="F355" t="s">
        <v>22</v>
      </c>
      <c r="G355" s="5">
        <v>0.04</v>
      </c>
      <c r="H355" t="b">
        <f>COUNTIFS(OrderLines[OrderID],Orders[[#This Row],[OrderID]],OrderLines[Category],"Beverage")&gt;0</f>
        <v>0</v>
      </c>
      <c r="I355">
        <f>SUMIFS(OrderLines[Revenue],OrderLines[OrderID],Orders[[#This Row],[OrderID]])</f>
        <v>183.5136</v>
      </c>
      <c r="J355" t="str">
        <f>IF(AND(COUNTIFS(OrderLines[OrderID],Orders[[#This Row],[OrderID]],OrderLines[Category],"Hot Meal")&gt;0,COUNTIFS(OrderLines[OrderID],Orders[[#This Row],[OrderID]],OrderLines[Category],"Beverage")&gt;0),"Combo","Single")</f>
        <v>Single</v>
      </c>
      <c r="K355" s="17" t="str">
        <f>IF(SUMPRODUCT((OrderLines[OrderID]=Orders[[#This Row],[OrderID]])*OrderLines[Qty]*OrderLines[UnitPrice])*Orders[[#This Row],[DiscountPct]]&gt;40,"HighDisc","OK")</f>
        <v>OK</v>
      </c>
      <c r="L355" s="11">
        <f>SUMIFS(OrderLines[Revenue],OrderLines[OrderID],Orders[[#This Row],[OrderID]])-SUMIFS(OrderLines[FoodCost],OrderLines[OrderID],Orders[[#This Row],[OrderID]])</f>
        <v>87.503600000000006</v>
      </c>
      <c r="M355" s="5">
        <f>Orders[[#This Row],[GrossProfit]]/Orders[[#This Row],[OrderTotal]]</f>
        <v>0.47682351607728257</v>
      </c>
      <c r="N355" s="17" t="b">
        <f>COUNTIFS(OrderLines[OrderID],Orders[[#This Row],[OrderID]],OrderLines[Category],"Hot Meal")&gt;0</f>
        <v>0</v>
      </c>
      <c r="O355" s="17" t="b">
        <f>COUNTIFS(OrderLines[OrderID],Orders[[#This Row],[OrderID]],OrderLines[Category],"Snack")&gt;0</f>
        <v>1</v>
      </c>
      <c r="P355" s="17" t="b">
        <f>COUNTIFS(OrderLines[OrderID],Orders[[#This Row],[OrderID]],OrderLines[Category],"Dessert")&gt;0</f>
        <v>1</v>
      </c>
      <c r="Q355" s="11">
        <f>Orders[[#This Row],[OrderTotal]]-Orders[[#This Row],[GrossProfit]]</f>
        <v>96.009999999999991</v>
      </c>
    </row>
    <row r="356" spans="1:17" x14ac:dyDescent="0.25">
      <c r="A356" t="s">
        <v>392</v>
      </c>
      <c r="B356" s="1">
        <v>45892.210300925923</v>
      </c>
      <c r="C356" t="s">
        <v>15</v>
      </c>
      <c r="D356" t="s">
        <v>16</v>
      </c>
      <c r="E356" t="s">
        <v>17</v>
      </c>
      <c r="F356" t="s">
        <v>12</v>
      </c>
      <c r="G356" s="5">
        <v>0</v>
      </c>
      <c r="H356" t="b">
        <f>COUNTIFS(OrderLines[OrderID],Orders[[#This Row],[OrderID]],OrderLines[Category],"Beverage")&gt;0</f>
        <v>1</v>
      </c>
      <c r="I356">
        <f>SUMIFS(OrderLines[Revenue],OrderLines[OrderID],Orders[[#This Row],[OrderID]])</f>
        <v>87.41</v>
      </c>
      <c r="J356" t="str">
        <f>IF(AND(COUNTIFS(OrderLines[OrderID],Orders[[#This Row],[OrderID]],OrderLines[Category],"Hot Meal")&gt;0,COUNTIFS(OrderLines[OrderID],Orders[[#This Row],[OrderID]],OrderLines[Category],"Beverage")&gt;0),"Combo","Single")</f>
        <v>Single</v>
      </c>
      <c r="K356" s="17" t="str">
        <f>IF(SUMPRODUCT((OrderLines[OrderID]=Orders[[#This Row],[OrderID]])*OrderLines[Qty]*OrderLines[UnitPrice])*Orders[[#This Row],[DiscountPct]]&gt;40,"HighDisc","OK")</f>
        <v>OK</v>
      </c>
      <c r="L356" s="11">
        <f>SUMIFS(OrderLines[Revenue],OrderLines[OrderID],Orders[[#This Row],[OrderID]])-SUMIFS(OrderLines[FoodCost],OrderLines[OrderID],Orders[[#This Row],[OrderID]])</f>
        <v>44.089999999999996</v>
      </c>
      <c r="M356" s="5">
        <f>Orders[[#This Row],[GrossProfit]]/Orders[[#This Row],[OrderTotal]]</f>
        <v>0.50440453037409905</v>
      </c>
      <c r="N356" s="17" t="b">
        <f>COUNTIFS(OrderLines[OrderID],Orders[[#This Row],[OrderID]],OrderLines[Category],"Hot Meal")&gt;0</f>
        <v>0</v>
      </c>
      <c r="O356" s="17" t="b">
        <f>COUNTIFS(OrderLines[OrderID],Orders[[#This Row],[OrderID]],OrderLines[Category],"Snack")&gt;0</f>
        <v>0</v>
      </c>
      <c r="P356" s="17" t="b">
        <f>COUNTIFS(OrderLines[OrderID],Orders[[#This Row],[OrderID]],OrderLines[Category],"Dessert")&gt;0</f>
        <v>1</v>
      </c>
      <c r="Q356" s="11">
        <f>Orders[[#This Row],[OrderTotal]]-Orders[[#This Row],[GrossProfit]]</f>
        <v>43.32</v>
      </c>
    </row>
    <row r="357" spans="1:17" x14ac:dyDescent="0.25">
      <c r="A357" t="s">
        <v>393</v>
      </c>
      <c r="B357" s="1">
        <v>45871.087858796287</v>
      </c>
      <c r="C357" t="s">
        <v>9</v>
      </c>
      <c r="D357" t="s">
        <v>16</v>
      </c>
      <c r="E357" t="s">
        <v>21</v>
      </c>
      <c r="F357" t="s">
        <v>12</v>
      </c>
      <c r="G357" s="5">
        <v>0.11</v>
      </c>
      <c r="H357" t="b">
        <f>COUNTIFS(OrderLines[OrderID],Orders[[#This Row],[OrderID]],OrderLines[Category],"Beverage")&gt;0</f>
        <v>1</v>
      </c>
      <c r="I357">
        <f>SUMIFS(OrderLines[Revenue],OrderLines[OrderID],Orders[[#This Row],[OrderID]])</f>
        <v>700.52790000000005</v>
      </c>
      <c r="J357" t="str">
        <f>IF(AND(COUNTIFS(OrderLines[OrderID],Orders[[#This Row],[OrderID]],OrderLines[Category],"Hot Meal")&gt;0,COUNTIFS(OrderLines[OrderID],Orders[[#This Row],[OrderID]],OrderLines[Category],"Beverage")&gt;0),"Combo","Single")</f>
        <v>Combo</v>
      </c>
      <c r="K357" s="17" t="str">
        <f>IF(SUMPRODUCT((OrderLines[OrderID]=Orders[[#This Row],[OrderID]])*OrderLines[Qty]*OrderLines[UnitPrice])*Orders[[#This Row],[DiscountPct]]&gt;40,"HighDisc","OK")</f>
        <v>HighDisc</v>
      </c>
      <c r="L357" s="11">
        <f>SUMIFS(OrderLines[Revenue],OrderLines[OrderID],Orders[[#This Row],[OrderID]])-SUMIFS(OrderLines[FoodCost],OrderLines[OrderID],Orders[[#This Row],[OrderID]])</f>
        <v>360.43790000000001</v>
      </c>
      <c r="M357" s="5">
        <f>Orders[[#This Row],[GrossProfit]]/Orders[[#This Row],[OrderTotal]]</f>
        <v>0.51452326167166218</v>
      </c>
      <c r="N357" s="17" t="b">
        <f>COUNTIFS(OrderLines[OrderID],Orders[[#This Row],[OrderID]],OrderLines[Category],"Hot Meal")&gt;0</f>
        <v>1</v>
      </c>
      <c r="O357" s="17" t="b">
        <f>COUNTIFS(OrderLines[OrderID],Orders[[#This Row],[OrderID]],OrderLines[Category],"Snack")&gt;0</f>
        <v>1</v>
      </c>
      <c r="P357" s="17" t="b">
        <f>COUNTIFS(OrderLines[OrderID],Orders[[#This Row],[OrderID]],OrderLines[Category],"Dessert")&gt;0</f>
        <v>0</v>
      </c>
      <c r="Q357" s="11">
        <f>Orders[[#This Row],[OrderTotal]]-Orders[[#This Row],[GrossProfit]]</f>
        <v>340.09000000000003</v>
      </c>
    </row>
    <row r="358" spans="1:17" x14ac:dyDescent="0.25">
      <c r="A358" t="s">
        <v>394</v>
      </c>
      <c r="B358" s="1">
        <v>45897.758750000001</v>
      </c>
      <c r="C358" t="s">
        <v>9</v>
      </c>
      <c r="D358" t="s">
        <v>16</v>
      </c>
      <c r="E358" t="s">
        <v>17</v>
      </c>
      <c r="F358" t="s">
        <v>18</v>
      </c>
      <c r="G358" s="5">
        <v>0.06</v>
      </c>
      <c r="H358" t="b">
        <f>COUNTIFS(OrderLines[OrderID],Orders[[#This Row],[OrderID]],OrderLines[Category],"Beverage")&gt;0</f>
        <v>1</v>
      </c>
      <c r="I358">
        <f>SUMIFS(OrderLines[Revenue],OrderLines[OrderID],Orders[[#This Row],[OrderID]])</f>
        <v>93.417199999999994</v>
      </c>
      <c r="J358" t="str">
        <f>IF(AND(COUNTIFS(OrderLines[OrderID],Orders[[#This Row],[OrderID]],OrderLines[Category],"Hot Meal")&gt;0,COUNTIFS(OrderLines[OrderID],Orders[[#This Row],[OrderID]],OrderLines[Category],"Beverage")&gt;0),"Combo","Single")</f>
        <v>Single</v>
      </c>
      <c r="K358" s="17" t="str">
        <f>IF(SUMPRODUCT((OrderLines[OrderID]=Orders[[#This Row],[OrderID]])*OrderLines[Qty]*OrderLines[UnitPrice])*Orders[[#This Row],[DiscountPct]]&gt;40,"HighDisc","OK")</f>
        <v>OK</v>
      </c>
      <c r="L358" s="11">
        <f>SUMIFS(OrderLines[Revenue],OrderLines[OrderID],Orders[[#This Row],[OrderID]])-SUMIFS(OrderLines[FoodCost],OrderLines[OrderID],Orders[[#This Row],[OrderID]])</f>
        <v>46.897199999999991</v>
      </c>
      <c r="M358" s="5">
        <f>Orders[[#This Row],[GrossProfit]]/Orders[[#This Row],[OrderTotal]]</f>
        <v>0.50201890015971351</v>
      </c>
      <c r="N358" s="17" t="b">
        <f>COUNTIFS(OrderLines[OrderID],Orders[[#This Row],[OrderID]],OrderLines[Category],"Hot Meal")&gt;0</f>
        <v>0</v>
      </c>
      <c r="O358" s="17" t="b">
        <f>COUNTIFS(OrderLines[OrderID],Orders[[#This Row],[OrderID]],OrderLines[Category],"Snack")&gt;0</f>
        <v>0</v>
      </c>
      <c r="P358" s="17" t="b">
        <f>COUNTIFS(OrderLines[OrderID],Orders[[#This Row],[OrderID]],OrderLines[Category],"Dessert")&gt;0</f>
        <v>1</v>
      </c>
      <c r="Q358" s="11">
        <f>Orders[[#This Row],[OrderTotal]]-Orders[[#This Row],[GrossProfit]]</f>
        <v>46.52</v>
      </c>
    </row>
    <row r="359" spans="1:17" x14ac:dyDescent="0.25">
      <c r="A359" t="s">
        <v>395</v>
      </c>
      <c r="B359" s="1">
        <v>45873.38181712963</v>
      </c>
      <c r="C359" t="s">
        <v>15</v>
      </c>
      <c r="D359" t="s">
        <v>28</v>
      </c>
      <c r="E359" t="s">
        <v>11</v>
      </c>
      <c r="F359" t="s">
        <v>12</v>
      </c>
      <c r="G359" s="5">
        <v>0.11</v>
      </c>
      <c r="H359" t="b">
        <f>COUNTIFS(OrderLines[OrderID],Orders[[#This Row],[OrderID]],OrderLines[Category],"Beverage")&gt;0</f>
        <v>1</v>
      </c>
      <c r="I359">
        <f>SUMIFS(OrderLines[Revenue],OrderLines[OrderID],Orders[[#This Row],[OrderID]])</f>
        <v>89.783200000000008</v>
      </c>
      <c r="J359" t="str">
        <f>IF(AND(COUNTIFS(OrderLines[OrderID],Orders[[#This Row],[OrderID]],OrderLines[Category],"Hot Meal")&gt;0,COUNTIFS(OrderLines[OrderID],Orders[[#This Row],[OrderID]],OrderLines[Category],"Beverage")&gt;0),"Combo","Single")</f>
        <v>Single</v>
      </c>
      <c r="K359" s="17" t="str">
        <f>IF(SUMPRODUCT((OrderLines[OrderID]=Orders[[#This Row],[OrderID]])*OrderLines[Qty]*OrderLines[UnitPrice])*Orders[[#This Row],[DiscountPct]]&gt;40,"HighDisc","OK")</f>
        <v>OK</v>
      </c>
      <c r="L359" s="11">
        <f>SUMIFS(OrderLines[Revenue],OrderLines[OrderID],Orders[[#This Row],[OrderID]])-SUMIFS(OrderLines[FoodCost],OrderLines[OrderID],Orders[[#This Row],[OrderID]])</f>
        <v>39.793200000000006</v>
      </c>
      <c r="M359" s="5">
        <f>Orders[[#This Row],[GrossProfit]]/Orders[[#This Row],[OrderTotal]]</f>
        <v>0.44321432071924372</v>
      </c>
      <c r="N359" s="17" t="b">
        <f>COUNTIFS(OrderLines[OrderID],Orders[[#This Row],[OrderID]],OrderLines[Category],"Hot Meal")&gt;0</f>
        <v>0</v>
      </c>
      <c r="O359" s="17" t="b">
        <f>COUNTIFS(OrderLines[OrderID],Orders[[#This Row],[OrderID]],OrderLines[Category],"Snack")&gt;0</f>
        <v>1</v>
      </c>
      <c r="P359" s="17" t="b">
        <f>COUNTIFS(OrderLines[OrderID],Orders[[#This Row],[OrderID]],OrderLines[Category],"Dessert")&gt;0</f>
        <v>0</v>
      </c>
      <c r="Q359" s="11">
        <f>Orders[[#This Row],[OrderTotal]]-Orders[[#This Row],[GrossProfit]]</f>
        <v>49.99</v>
      </c>
    </row>
    <row r="360" spans="1:17" x14ac:dyDescent="0.25">
      <c r="A360" t="s">
        <v>396</v>
      </c>
      <c r="B360" s="1">
        <v>45881.478530092587</v>
      </c>
      <c r="C360" t="s">
        <v>15</v>
      </c>
      <c r="D360" t="s">
        <v>10</v>
      </c>
      <c r="E360" t="s">
        <v>17</v>
      </c>
      <c r="F360" t="s">
        <v>22</v>
      </c>
      <c r="G360" s="5">
        <v>0</v>
      </c>
      <c r="H360" t="b">
        <f>COUNTIFS(OrderLines[OrderID],Orders[[#This Row],[OrderID]],OrderLines[Category],"Beverage")&gt;0</f>
        <v>0</v>
      </c>
      <c r="I360">
        <f>SUMIFS(OrderLines[Revenue],OrderLines[OrderID],Orders[[#This Row],[OrderID]])</f>
        <v>455.22</v>
      </c>
      <c r="J360" t="str">
        <f>IF(AND(COUNTIFS(OrderLines[OrderID],Orders[[#This Row],[OrderID]],OrderLines[Category],"Hot Meal")&gt;0,COUNTIFS(OrderLines[OrderID],Orders[[#This Row],[OrderID]],OrderLines[Category],"Beverage")&gt;0),"Combo","Single")</f>
        <v>Single</v>
      </c>
      <c r="K360" s="17" t="str">
        <f>IF(SUMPRODUCT((OrderLines[OrderID]=Orders[[#This Row],[OrderID]])*OrderLines[Qty]*OrderLines[UnitPrice])*Orders[[#This Row],[DiscountPct]]&gt;40,"HighDisc","OK")</f>
        <v>OK</v>
      </c>
      <c r="L360" s="11">
        <f>SUMIFS(OrderLines[Revenue],OrderLines[OrderID],Orders[[#This Row],[OrderID]])-SUMIFS(OrderLines[FoodCost],OrderLines[OrderID],Orders[[#This Row],[OrderID]])</f>
        <v>262.78000000000003</v>
      </c>
      <c r="M360" s="5">
        <f>Orders[[#This Row],[GrossProfit]]/Orders[[#This Row],[OrderTotal]]</f>
        <v>0.57725934712886084</v>
      </c>
      <c r="N360" s="17" t="b">
        <f>COUNTIFS(OrderLines[OrderID],Orders[[#This Row],[OrderID]],OrderLines[Category],"Hot Meal")&gt;0</f>
        <v>1</v>
      </c>
      <c r="O360" s="17" t="b">
        <f>COUNTIFS(OrderLines[OrderID],Orders[[#This Row],[OrderID]],OrderLines[Category],"Snack")&gt;0</f>
        <v>0</v>
      </c>
      <c r="P360" s="17" t="b">
        <f>COUNTIFS(OrderLines[OrderID],Orders[[#This Row],[OrderID]],OrderLines[Category],"Dessert")&gt;0</f>
        <v>0</v>
      </c>
      <c r="Q360" s="11">
        <f>Orders[[#This Row],[OrderTotal]]-Orders[[#This Row],[GrossProfit]]</f>
        <v>192.44</v>
      </c>
    </row>
    <row r="361" spans="1:17" x14ac:dyDescent="0.25">
      <c r="A361" t="s">
        <v>397</v>
      </c>
      <c r="B361" s="1">
        <v>45878.689097222217</v>
      </c>
      <c r="C361" t="s">
        <v>15</v>
      </c>
      <c r="D361" t="s">
        <v>10</v>
      </c>
      <c r="E361" t="s">
        <v>11</v>
      </c>
      <c r="F361" t="s">
        <v>18</v>
      </c>
      <c r="G361" s="5">
        <v>0.04</v>
      </c>
      <c r="H361" t="b">
        <f>COUNTIFS(OrderLines[OrderID],Orders[[#This Row],[OrderID]],OrderLines[Category],"Beverage")&gt;0</f>
        <v>1</v>
      </c>
      <c r="I361">
        <f>SUMIFS(OrderLines[Revenue],OrderLines[OrderID],Orders[[#This Row],[OrderID]])</f>
        <v>962.15039999999999</v>
      </c>
      <c r="J361" t="str">
        <f>IF(AND(COUNTIFS(OrderLines[OrderID],Orders[[#This Row],[OrderID]],OrderLines[Category],"Hot Meal")&gt;0,COUNTIFS(OrderLines[OrderID],Orders[[#This Row],[OrderID]],OrderLines[Category],"Beverage")&gt;0),"Combo","Single")</f>
        <v>Combo</v>
      </c>
      <c r="K361" s="17" t="str">
        <f>IF(SUMPRODUCT((OrderLines[OrderID]=Orders[[#This Row],[OrderID]])*OrderLines[Qty]*OrderLines[UnitPrice])*Orders[[#This Row],[DiscountPct]]&gt;40,"HighDisc","OK")</f>
        <v>HighDisc</v>
      </c>
      <c r="L361" s="11">
        <f>SUMIFS(OrderLines[Revenue],OrderLines[OrderID],Orders[[#This Row],[OrderID]])-SUMIFS(OrderLines[FoodCost],OrderLines[OrderID],Orders[[#This Row],[OrderID]])</f>
        <v>496.00040000000001</v>
      </c>
      <c r="M361" s="5">
        <f>Orders[[#This Row],[GrossProfit]]/Orders[[#This Row],[OrderTotal]]</f>
        <v>0.51551233570136235</v>
      </c>
      <c r="N361" s="17" t="b">
        <f>COUNTIFS(OrderLines[OrderID],Orders[[#This Row],[OrderID]],OrderLines[Category],"Hot Meal")&gt;0</f>
        <v>1</v>
      </c>
      <c r="O361" s="17" t="b">
        <f>COUNTIFS(OrderLines[OrderID],Orders[[#This Row],[OrderID]],OrderLines[Category],"Snack")&gt;0</f>
        <v>0</v>
      </c>
      <c r="P361" s="17" t="b">
        <f>COUNTIFS(OrderLines[OrderID],Orders[[#This Row],[OrderID]],OrderLines[Category],"Dessert")&gt;0</f>
        <v>0</v>
      </c>
      <c r="Q361" s="11">
        <f>Orders[[#This Row],[OrderTotal]]-Orders[[#This Row],[GrossProfit]]</f>
        <v>466.15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C483B-F151-4913-BEE4-0CA1F5500088}">
  <dimension ref="A1:L925"/>
  <sheetViews>
    <sheetView workbookViewId="0">
      <selection activeCell="I23" sqref="I23"/>
    </sheetView>
  </sheetViews>
  <sheetFormatPr defaultRowHeight="15" x14ac:dyDescent="0.25"/>
  <cols>
    <col min="1" max="1" width="18.85546875" customWidth="1"/>
    <col min="4" max="4" width="16.42578125" style="9" customWidth="1"/>
    <col min="5" max="5" width="20.140625" style="9" customWidth="1"/>
    <col min="6" max="6" width="22.42578125" customWidth="1"/>
    <col min="7" max="7" width="22.140625" style="7" customWidth="1"/>
    <col min="8" max="8" width="28.42578125" customWidth="1"/>
    <col min="9" max="9" width="32.140625" customWidth="1"/>
    <col min="10" max="10" width="23.28515625" customWidth="1"/>
    <col min="11" max="11" width="29.42578125" style="11" customWidth="1"/>
    <col min="12" max="12" width="19.85546875" customWidth="1"/>
  </cols>
  <sheetData>
    <row r="1" spans="1:12" x14ac:dyDescent="0.25">
      <c r="A1" s="3" t="s">
        <v>0</v>
      </c>
      <c r="B1" s="3" t="s">
        <v>398</v>
      </c>
      <c r="C1" s="3" t="s">
        <v>399</v>
      </c>
      <c r="D1" s="8" t="s">
        <v>400</v>
      </c>
      <c r="E1" s="8" t="s">
        <v>423</v>
      </c>
      <c r="F1" s="3" t="s">
        <v>421</v>
      </c>
      <c r="G1" s="6" t="s">
        <v>522</v>
      </c>
      <c r="H1" s="3" t="s">
        <v>2</v>
      </c>
      <c r="I1" s="3" t="s">
        <v>7</v>
      </c>
      <c r="J1" s="3" t="s">
        <v>5</v>
      </c>
      <c r="K1" s="10" t="s">
        <v>539</v>
      </c>
      <c r="L1" s="10" t="s">
        <v>543</v>
      </c>
    </row>
    <row r="2" spans="1:12" x14ac:dyDescent="0.25">
      <c r="A2" t="s">
        <v>8</v>
      </c>
      <c r="B2" t="s">
        <v>401</v>
      </c>
      <c r="C2">
        <v>3</v>
      </c>
      <c r="D2" s="9">
        <f>IFERROR(VLOOKUP($B2,Menu[],MATCH(D$1,Menu[#Headers],0),FALSE),"CHECK")</f>
        <v>52.45</v>
      </c>
      <c r="E2" s="9">
        <f>IFERROR(VLOOKUP($B2,Menu[],MATCH(E$1,Menu[#Headers],0),FALSE),"CHECK")</f>
        <v>25.8</v>
      </c>
      <c r="F2" t="str">
        <f>IFERROR(VLOOKUP($B2,Menu[],MATCH(F$1,Menu[#Headers],0),FALSE),"CHECK")</f>
        <v>Snack</v>
      </c>
      <c r="G2" s="7">
        <f>IFERROR(INT(VLOOKUP($A2,Orders[],MATCH("OrderDateTime",Orders[#Headers],0),FALSE)),"CHECK")</f>
        <v>45852</v>
      </c>
      <c r="H2" s="7" t="str">
        <f>IFERROR(VLOOKUP($A2,Orders[],MATCH(H$1,Orders[#Headers],0),FALSE),"CHECK")</f>
        <v>Head Office Café</v>
      </c>
      <c r="I2">
        <f>IFERROR(VLOOKUP(OrderLines[[#This Row],[OrderID]],Orders[],MATCH(OrderLines[[#Headers],[DiscountPct]],Orders[#Headers],0),FALSE),"CHECK")</f>
        <v>0.06</v>
      </c>
      <c r="J2" t="str">
        <f>IFERROR(VLOOKUP(OrderLines[[#This Row],[OrderID]],Orders[],MATCH(OrderLines[[#Headers],[Shift]],Orders[#Headers],0),FALSE),"CHECK")</f>
        <v>Breakfast</v>
      </c>
      <c r="K2" s="11">
        <f>OrderLines[[#This Row],[Qty]] * OrderLines[[#This Row],[UnitPrice]] * (1-OrderLines[[#This Row],[DiscountPct]])</f>
        <v>147.90900000000002</v>
      </c>
      <c r="L2">
        <f>OrderLines[[#This Row],[Qty]]*OrderLines[[#This Row],[UnitCost]]</f>
        <v>77.400000000000006</v>
      </c>
    </row>
    <row r="3" spans="1:12" x14ac:dyDescent="0.25">
      <c r="A3" t="s">
        <v>14</v>
      </c>
      <c r="B3" t="s">
        <v>402</v>
      </c>
      <c r="C3">
        <v>1</v>
      </c>
      <c r="D3" s="9">
        <f>IFERROR(VLOOKUP($B3,Menu[],MATCH(D$1,Menu[#Headers],0),FALSE),"CHECK")</f>
        <v>30.34</v>
      </c>
      <c r="E3" s="9">
        <f>IFERROR(VLOOKUP($B3,Menu[],MATCH(E$1,Menu[#Headers],0),FALSE),"CHECK")</f>
        <v>14.18</v>
      </c>
      <c r="F3" t="str">
        <f>IFERROR(VLOOKUP($B3,Menu[],MATCH(F$1,Menu[#Headers],0),FALSE),"CHECK")</f>
        <v>Beverage</v>
      </c>
      <c r="G3" s="7">
        <f>IFERROR(INT(VLOOKUP($A3,Orders[],MATCH("OrderDateTime",Orders[#Headers],0),FALSE)),"CHECK")</f>
        <v>45862</v>
      </c>
      <c r="H3" s="7" t="str">
        <f>IFERROR(VLOOKUP($A3,Orders[],MATCH(H$1,Orders[#Headers],0),FALSE),"CHECK")</f>
        <v>Plant 2 Canteen</v>
      </c>
      <c r="I3">
        <f>IFERROR(VLOOKUP(OrderLines[[#This Row],[OrderID]],Orders[],MATCH(OrderLines[[#Headers],[DiscountPct]],Orders[#Headers],0),FALSE),"CHECK")</f>
        <v>0.05</v>
      </c>
      <c r="J3" t="str">
        <f>IFERROR(VLOOKUP(OrderLines[[#This Row],[OrderID]],Orders[],MATCH(OrderLines[[#Headers],[Shift]],Orders[#Headers],0),FALSE),"CHECK")</f>
        <v>Dinner</v>
      </c>
      <c r="K3" s="11">
        <f>OrderLines[[#This Row],[Qty]] * OrderLines[[#This Row],[UnitPrice]] * (1-OrderLines[[#This Row],[DiscountPct]])</f>
        <v>28.822999999999997</v>
      </c>
      <c r="L3">
        <f>OrderLines[[#This Row],[Qty]]*OrderLines[[#This Row],[UnitCost]]</f>
        <v>14.18</v>
      </c>
    </row>
    <row r="4" spans="1:12" x14ac:dyDescent="0.25">
      <c r="A4" t="s">
        <v>14</v>
      </c>
      <c r="B4" t="s">
        <v>403</v>
      </c>
      <c r="C4">
        <v>1</v>
      </c>
      <c r="D4" s="9">
        <f>IFERROR(VLOOKUP($B4,Menu[],MATCH(D$1,Menu[#Headers],0),FALSE),"CHECK")</f>
        <v>76.55</v>
      </c>
      <c r="E4" s="9">
        <f>IFERROR(VLOOKUP($B4,Menu[],MATCH(E$1,Menu[#Headers],0),FALSE),"CHECK")</f>
        <v>38.229999999999997</v>
      </c>
      <c r="F4" t="str">
        <f>IFERROR(VLOOKUP($B4,Menu[],MATCH(F$1,Menu[#Headers],0),FALSE),"CHECK")</f>
        <v>Dessert</v>
      </c>
      <c r="G4" s="7">
        <f>IFERROR(INT(VLOOKUP($A4,Orders[],MATCH("OrderDateTime",Orders[#Headers],0),FALSE)),"CHECK")</f>
        <v>45862</v>
      </c>
      <c r="H4" s="7" t="str">
        <f>IFERROR(VLOOKUP($A4,Orders[],MATCH(H$1,Orders[#Headers],0),FALSE),"CHECK")</f>
        <v>Plant 2 Canteen</v>
      </c>
      <c r="I4">
        <f>IFERROR(VLOOKUP(OrderLines[[#This Row],[OrderID]],Orders[],MATCH(OrderLines[[#Headers],[DiscountPct]],Orders[#Headers],0),FALSE),"CHECK")</f>
        <v>0.05</v>
      </c>
      <c r="J4" t="str">
        <f>IFERROR(VLOOKUP(OrderLines[[#This Row],[OrderID]],Orders[],MATCH(OrderLines[[#Headers],[Shift]],Orders[#Headers],0),FALSE),"CHECK")</f>
        <v>Dinner</v>
      </c>
      <c r="K4" s="11">
        <f>OrderLines[[#This Row],[Qty]] * OrderLines[[#This Row],[UnitPrice]] * (1-OrderLines[[#This Row],[DiscountPct]])</f>
        <v>72.722499999999997</v>
      </c>
      <c r="L4">
        <f>OrderLines[[#This Row],[Qty]]*OrderLines[[#This Row],[UnitCost]]</f>
        <v>38.229999999999997</v>
      </c>
    </row>
    <row r="5" spans="1:12" x14ac:dyDescent="0.25">
      <c r="A5" t="s">
        <v>20</v>
      </c>
      <c r="B5" t="s">
        <v>404</v>
      </c>
      <c r="C5">
        <v>2</v>
      </c>
      <c r="D5" s="9">
        <f>IFERROR(VLOOKUP($B5,Menu[],MATCH(D$1,Menu[#Headers],0),FALSE),"CHECK")</f>
        <v>32.979999999999997</v>
      </c>
      <c r="E5" s="9">
        <f>IFERROR(VLOOKUP($B5,Menu[],MATCH(E$1,Menu[#Headers],0),FALSE),"CHECK")</f>
        <v>11.84</v>
      </c>
      <c r="F5" t="str">
        <f>IFERROR(VLOOKUP($B5,Menu[],MATCH(F$1,Menu[#Headers],0),FALSE),"CHECK")</f>
        <v>Beverage</v>
      </c>
      <c r="G5" s="7">
        <f>IFERROR(INT(VLOOKUP($A5,Orders[],MATCH("OrderDateTime",Orders[#Headers],0),FALSE)),"CHECK")</f>
        <v>45848</v>
      </c>
      <c r="H5" s="7" t="str">
        <f>IFERROR(VLOOKUP($A5,Orders[],MATCH(H$1,Orders[#Headers],0),FALSE),"CHECK")</f>
        <v>Head Office Café</v>
      </c>
      <c r="I5">
        <f>IFERROR(VLOOKUP(OrderLines[[#This Row],[OrderID]],Orders[],MATCH(OrderLines[[#Headers],[DiscountPct]],Orders[#Headers],0),FALSE),"CHECK")</f>
        <v>0</v>
      </c>
      <c r="J5" t="str">
        <f>IFERROR(VLOOKUP(OrderLines[[#This Row],[OrderID]],Orders[],MATCH(OrderLines[[#Headers],[Shift]],Orders[#Headers],0),FALSE),"CHECK")</f>
        <v>Lunch</v>
      </c>
      <c r="K5" s="11">
        <f>OrderLines[[#This Row],[Qty]] * OrderLines[[#This Row],[UnitPrice]] * (1-OrderLines[[#This Row],[DiscountPct]])</f>
        <v>65.959999999999994</v>
      </c>
      <c r="L5">
        <f>OrderLines[[#This Row],[Qty]]*OrderLines[[#This Row],[UnitCost]]</f>
        <v>23.68</v>
      </c>
    </row>
    <row r="6" spans="1:12" x14ac:dyDescent="0.25">
      <c r="A6" t="s">
        <v>20</v>
      </c>
      <c r="B6" t="s">
        <v>401</v>
      </c>
      <c r="C6">
        <v>1</v>
      </c>
      <c r="D6" s="9">
        <f>IFERROR(VLOOKUP($B6,Menu[],MATCH(D$1,Menu[#Headers],0),FALSE),"CHECK")</f>
        <v>52.45</v>
      </c>
      <c r="E6" s="9">
        <f>IFERROR(VLOOKUP($B6,Menu[],MATCH(E$1,Menu[#Headers],0),FALSE),"CHECK")</f>
        <v>25.8</v>
      </c>
      <c r="F6" t="str">
        <f>IFERROR(VLOOKUP($B6,Menu[],MATCH(F$1,Menu[#Headers],0),FALSE),"CHECK")</f>
        <v>Snack</v>
      </c>
      <c r="G6" s="7">
        <f>IFERROR(INT(VLOOKUP($A6,Orders[],MATCH("OrderDateTime",Orders[#Headers],0),FALSE)),"CHECK")</f>
        <v>45848</v>
      </c>
      <c r="H6" s="7" t="str">
        <f>IFERROR(VLOOKUP($A6,Orders[],MATCH(H$1,Orders[#Headers],0),FALSE),"CHECK")</f>
        <v>Head Office Café</v>
      </c>
      <c r="I6">
        <f>IFERROR(VLOOKUP(OrderLines[[#This Row],[OrderID]],Orders[],MATCH(OrderLines[[#Headers],[DiscountPct]],Orders[#Headers],0),FALSE),"CHECK")</f>
        <v>0</v>
      </c>
      <c r="J6" t="str">
        <f>IFERROR(VLOOKUP(OrderLines[[#This Row],[OrderID]],Orders[],MATCH(OrderLines[[#Headers],[Shift]],Orders[#Headers],0),FALSE),"CHECK")</f>
        <v>Lunch</v>
      </c>
      <c r="K6" s="11">
        <f>OrderLines[[#This Row],[Qty]] * OrderLines[[#This Row],[UnitPrice]] * (1-OrderLines[[#This Row],[DiscountPct]])</f>
        <v>52.45</v>
      </c>
      <c r="L6">
        <f>OrderLines[[#This Row],[Qty]]*OrderLines[[#This Row],[UnitCost]]</f>
        <v>25.8</v>
      </c>
    </row>
    <row r="7" spans="1:12" x14ac:dyDescent="0.25">
      <c r="A7" t="s">
        <v>20</v>
      </c>
      <c r="B7" t="s">
        <v>405</v>
      </c>
      <c r="C7">
        <v>3</v>
      </c>
      <c r="D7" s="9">
        <f>IFERROR(VLOOKUP($B7,Menu[],MATCH(D$1,Menu[#Headers],0),FALSE),"CHECK")</f>
        <v>170.83</v>
      </c>
      <c r="E7" s="9">
        <f>IFERROR(VLOOKUP($B7,Menu[],MATCH(E$1,Menu[#Headers],0),FALSE),"CHECK")</f>
        <v>74.069999999999993</v>
      </c>
      <c r="F7" t="str">
        <f>IFERROR(VLOOKUP($B7,Menu[],MATCH(F$1,Menu[#Headers],0),FALSE),"CHECK")</f>
        <v>Hot Meal</v>
      </c>
      <c r="G7" s="7">
        <f>IFERROR(INT(VLOOKUP($A7,Orders[],MATCH("OrderDateTime",Orders[#Headers],0),FALSE)),"CHECK")</f>
        <v>45848</v>
      </c>
      <c r="H7" s="7" t="str">
        <f>IFERROR(VLOOKUP($A7,Orders[],MATCH(H$1,Orders[#Headers],0),FALSE),"CHECK")</f>
        <v>Head Office Café</v>
      </c>
      <c r="I7">
        <f>IFERROR(VLOOKUP(OrderLines[[#This Row],[OrderID]],Orders[],MATCH(OrderLines[[#Headers],[DiscountPct]],Orders[#Headers],0),FALSE),"CHECK")</f>
        <v>0</v>
      </c>
      <c r="J7" t="str">
        <f>IFERROR(VLOOKUP(OrderLines[[#This Row],[OrderID]],Orders[],MATCH(OrderLines[[#Headers],[Shift]],Orders[#Headers],0),FALSE),"CHECK")</f>
        <v>Lunch</v>
      </c>
      <c r="K7" s="11">
        <f>OrderLines[[#This Row],[Qty]] * OrderLines[[#This Row],[UnitPrice]] * (1-OrderLines[[#This Row],[DiscountPct]])</f>
        <v>512.49</v>
      </c>
      <c r="L7">
        <f>OrderLines[[#This Row],[Qty]]*OrderLines[[#This Row],[UnitCost]]</f>
        <v>222.20999999999998</v>
      </c>
    </row>
    <row r="8" spans="1:12" x14ac:dyDescent="0.25">
      <c r="A8" t="s">
        <v>20</v>
      </c>
      <c r="B8" t="s">
        <v>406</v>
      </c>
      <c r="C8">
        <v>1</v>
      </c>
      <c r="D8" s="9">
        <f>IFERROR(VLOOKUP($B8,Menu[],MATCH(D$1,Menu[#Headers],0),FALSE),"CHECK")</f>
        <v>38.06</v>
      </c>
      <c r="E8" s="9">
        <f>IFERROR(VLOOKUP($B8,Menu[],MATCH(E$1,Menu[#Headers],0),FALSE),"CHECK")</f>
        <v>19.55</v>
      </c>
      <c r="F8" t="str">
        <f>IFERROR(VLOOKUP($B8,Menu[],MATCH(F$1,Menu[#Headers],0),FALSE),"CHECK")</f>
        <v>Snack</v>
      </c>
      <c r="G8" s="7">
        <f>IFERROR(INT(VLOOKUP($A8,Orders[],MATCH("OrderDateTime",Orders[#Headers],0),FALSE)),"CHECK")</f>
        <v>45848</v>
      </c>
      <c r="H8" s="7" t="str">
        <f>IFERROR(VLOOKUP($A8,Orders[],MATCH(H$1,Orders[#Headers],0),FALSE),"CHECK")</f>
        <v>Head Office Café</v>
      </c>
      <c r="I8">
        <f>IFERROR(VLOOKUP(OrderLines[[#This Row],[OrderID]],Orders[],MATCH(OrderLines[[#Headers],[DiscountPct]],Orders[#Headers],0),FALSE),"CHECK")</f>
        <v>0</v>
      </c>
      <c r="J8" t="str">
        <f>IFERROR(VLOOKUP(OrderLines[[#This Row],[OrderID]],Orders[],MATCH(OrderLines[[#Headers],[Shift]],Orders[#Headers],0),FALSE),"CHECK")</f>
        <v>Lunch</v>
      </c>
      <c r="K8" s="11">
        <f>OrderLines[[#This Row],[Qty]] * OrderLines[[#This Row],[UnitPrice]] * (1-OrderLines[[#This Row],[DiscountPct]])</f>
        <v>38.06</v>
      </c>
      <c r="L8">
        <f>OrderLines[[#This Row],[Qty]]*OrderLines[[#This Row],[UnitCost]]</f>
        <v>19.55</v>
      </c>
    </row>
    <row r="9" spans="1:12" x14ac:dyDescent="0.25">
      <c r="A9" t="s">
        <v>24</v>
      </c>
      <c r="B9" t="s">
        <v>407</v>
      </c>
      <c r="C9">
        <v>2</v>
      </c>
      <c r="D9" s="9">
        <f>IFERROR(VLOOKUP($B9,Menu[],MATCH(D$1,Menu[#Headers],0),FALSE),"CHECK")</f>
        <v>246.09</v>
      </c>
      <c r="E9" s="9">
        <f>IFERROR(VLOOKUP($B9,Menu[],MATCH(E$1,Menu[#Headers],0),FALSE),"CHECK")</f>
        <v>112.08</v>
      </c>
      <c r="F9" t="str">
        <f>IFERROR(VLOOKUP($B9,Menu[],MATCH(F$1,Menu[#Headers],0),FALSE),"CHECK")</f>
        <v>Hot Meal</v>
      </c>
      <c r="G9" s="7">
        <f>IFERROR(INT(VLOOKUP($A9,Orders[],MATCH("OrderDateTime",Orders[#Headers],0),FALSE)),"CHECK")</f>
        <v>45879</v>
      </c>
      <c r="H9" s="7" t="str">
        <f>IFERROR(VLOOKUP($A9,Orders[],MATCH(H$1,Orders[#Headers],0),FALSE),"CHECK")</f>
        <v>Plant 2 Canteen</v>
      </c>
      <c r="I9">
        <f>IFERROR(VLOOKUP(OrderLines[[#This Row],[OrderID]],Orders[],MATCH(OrderLines[[#Headers],[DiscountPct]],Orders[#Headers],0),FALSE),"CHECK")</f>
        <v>0.03</v>
      </c>
      <c r="J9" t="str">
        <f>IFERROR(VLOOKUP(OrderLines[[#This Row],[OrderID]],Orders[],MATCH(OrderLines[[#Headers],[Shift]],Orders[#Headers],0),FALSE),"CHECK")</f>
        <v>Breakfast</v>
      </c>
      <c r="K9" s="11">
        <f>OrderLines[[#This Row],[Qty]] * OrderLines[[#This Row],[UnitPrice]] * (1-OrderLines[[#This Row],[DiscountPct]])</f>
        <v>477.41460000000001</v>
      </c>
      <c r="L9">
        <f>OrderLines[[#This Row],[Qty]]*OrderLines[[#This Row],[UnitCost]]</f>
        <v>224.16</v>
      </c>
    </row>
    <row r="10" spans="1:12" x14ac:dyDescent="0.25">
      <c r="A10" t="s">
        <v>25</v>
      </c>
      <c r="B10" t="s">
        <v>408</v>
      </c>
      <c r="C10">
        <v>1</v>
      </c>
      <c r="D10" s="9">
        <f>IFERROR(VLOOKUP($B10,Menu[],MATCH(D$1,Menu[#Headers],0),FALSE),"CHECK")</f>
        <v>70.540000000000006</v>
      </c>
      <c r="E10" s="9">
        <f>IFERROR(VLOOKUP($B10,Menu[],MATCH(E$1,Menu[#Headers],0),FALSE),"CHECK")</f>
        <v>35.81</v>
      </c>
      <c r="F10" t="str">
        <f>IFERROR(VLOOKUP($B10,Menu[],MATCH(F$1,Menu[#Headers],0),FALSE),"CHECK")</f>
        <v>Snack</v>
      </c>
      <c r="G10" s="7">
        <f>IFERROR(INT(VLOOKUP($A10,Orders[],MATCH("OrderDateTime",Orders[#Headers],0),FALSE)),"CHECK")</f>
        <v>45845</v>
      </c>
      <c r="H10" s="7" t="str">
        <f>IFERROR(VLOOKUP($A10,Orders[],MATCH(H$1,Orders[#Headers],0),FALSE),"CHECK")</f>
        <v>Plant 2 Canteen</v>
      </c>
      <c r="I10">
        <f>IFERROR(VLOOKUP(OrderLines[[#This Row],[OrderID]],Orders[],MATCH(OrderLines[[#Headers],[DiscountPct]],Orders[#Headers],0),FALSE),"CHECK")</f>
        <v>0.04</v>
      </c>
      <c r="J10" t="str">
        <f>IFERROR(VLOOKUP(OrderLines[[#This Row],[OrderID]],Orders[],MATCH(OrderLines[[#Headers],[Shift]],Orders[#Headers],0),FALSE),"CHECK")</f>
        <v>Breakfast</v>
      </c>
      <c r="K10" s="11">
        <f>OrderLines[[#This Row],[Qty]] * OrderLines[[#This Row],[UnitPrice]] * (1-OrderLines[[#This Row],[DiscountPct]])</f>
        <v>67.718400000000003</v>
      </c>
      <c r="L10">
        <f>OrderLines[[#This Row],[Qty]]*OrderLines[[#This Row],[UnitCost]]</f>
        <v>35.81</v>
      </c>
    </row>
    <row r="11" spans="1:12" x14ac:dyDescent="0.25">
      <c r="A11" t="s">
        <v>25</v>
      </c>
      <c r="B11" t="s">
        <v>409</v>
      </c>
      <c r="C11">
        <v>1</v>
      </c>
      <c r="D11" s="9">
        <f>IFERROR(VLOOKUP($B11,Menu[],MATCH(D$1,Menu[#Headers],0),FALSE),"CHECK")</f>
        <v>28.43</v>
      </c>
      <c r="E11" s="9">
        <f>IFERROR(VLOOKUP($B11,Menu[],MATCH(E$1,Menu[#Headers],0),FALSE),"CHECK")</f>
        <v>13.89</v>
      </c>
      <c r="F11" t="str">
        <f>IFERROR(VLOOKUP($B11,Menu[],MATCH(F$1,Menu[#Headers],0),FALSE),"CHECK")</f>
        <v>Beverage</v>
      </c>
      <c r="G11" s="7">
        <f>IFERROR(INT(VLOOKUP($A11,Orders[],MATCH("OrderDateTime",Orders[#Headers],0),FALSE)),"CHECK")</f>
        <v>45845</v>
      </c>
      <c r="H11" s="7" t="str">
        <f>IFERROR(VLOOKUP($A11,Orders[],MATCH(H$1,Orders[#Headers],0),FALSE),"CHECK")</f>
        <v>Plant 2 Canteen</v>
      </c>
      <c r="I11">
        <f>IFERROR(VLOOKUP(OrderLines[[#This Row],[OrderID]],Orders[],MATCH(OrderLines[[#Headers],[DiscountPct]],Orders[#Headers],0),FALSE),"CHECK")</f>
        <v>0.04</v>
      </c>
      <c r="J11" t="str">
        <f>IFERROR(VLOOKUP(OrderLines[[#This Row],[OrderID]],Orders[],MATCH(OrderLines[[#Headers],[Shift]],Orders[#Headers],0),FALSE),"CHECK")</f>
        <v>Breakfast</v>
      </c>
      <c r="K11" s="11">
        <f>OrderLines[[#This Row],[Qty]] * OrderLines[[#This Row],[UnitPrice]] * (1-OrderLines[[#This Row],[DiscountPct]])</f>
        <v>27.2928</v>
      </c>
      <c r="L11">
        <f>OrderLines[[#This Row],[Qty]]*OrderLines[[#This Row],[UnitCost]]</f>
        <v>13.89</v>
      </c>
    </row>
    <row r="12" spans="1:12" x14ac:dyDescent="0.25">
      <c r="A12" t="s">
        <v>26</v>
      </c>
      <c r="B12" t="s">
        <v>410</v>
      </c>
      <c r="C12">
        <v>3</v>
      </c>
      <c r="D12" s="9">
        <f>IFERROR(VLOOKUP($B12,Menu[],MATCH(D$1,Menu[#Headers],0),FALSE),"CHECK")</f>
        <v>20.11</v>
      </c>
      <c r="E12" s="9">
        <f>IFERROR(VLOOKUP($B12,Menu[],MATCH(E$1,Menu[#Headers],0),FALSE),"CHECK")</f>
        <v>8</v>
      </c>
      <c r="F12" t="str">
        <f>IFERROR(VLOOKUP($B12,Menu[],MATCH(F$1,Menu[#Headers],0),FALSE),"CHECK")</f>
        <v>Beverage</v>
      </c>
      <c r="G12" s="7">
        <f>IFERROR(INT(VLOOKUP($A12,Orders[],MATCH("OrderDateTime",Orders[#Headers],0),FALSE)),"CHECK")</f>
        <v>45863</v>
      </c>
      <c r="H12" s="7" t="str">
        <f>IFERROR(VLOOKUP($A12,Orders[],MATCH(H$1,Orders[#Headers],0),FALSE),"CHECK")</f>
        <v>Plant 1 Canteen</v>
      </c>
      <c r="I12">
        <f>IFERROR(VLOOKUP(OrderLines[[#This Row],[OrderID]],Orders[],MATCH(OrderLines[[#Headers],[DiscountPct]],Orders[#Headers],0),FALSE),"CHECK")</f>
        <v>0.1</v>
      </c>
      <c r="J12" t="str">
        <f>IFERROR(VLOOKUP(OrderLines[[#This Row],[OrderID]],Orders[],MATCH(OrderLines[[#Headers],[Shift]],Orders[#Headers],0),FALSE),"CHECK")</f>
        <v>Breakfast</v>
      </c>
      <c r="K12" s="11">
        <f>OrderLines[[#This Row],[Qty]] * OrderLines[[#This Row],[UnitPrice]] * (1-OrderLines[[#This Row],[DiscountPct]])</f>
        <v>54.296999999999997</v>
      </c>
      <c r="L12">
        <f>OrderLines[[#This Row],[Qty]]*OrderLines[[#This Row],[UnitCost]]</f>
        <v>24</v>
      </c>
    </row>
    <row r="13" spans="1:12" x14ac:dyDescent="0.25">
      <c r="A13" t="s">
        <v>30</v>
      </c>
      <c r="B13" t="s">
        <v>404</v>
      </c>
      <c r="C13">
        <v>1</v>
      </c>
      <c r="D13" s="9">
        <f>IFERROR(VLOOKUP($B13,Menu[],MATCH(D$1,Menu[#Headers],0),FALSE),"CHECK")</f>
        <v>32.979999999999997</v>
      </c>
      <c r="E13" s="9">
        <f>IFERROR(VLOOKUP($B13,Menu[],MATCH(E$1,Menu[#Headers],0),FALSE),"CHECK")</f>
        <v>11.84</v>
      </c>
      <c r="F13" t="str">
        <f>IFERROR(VLOOKUP($B13,Menu[],MATCH(F$1,Menu[#Headers],0),FALSE),"CHECK")</f>
        <v>Beverage</v>
      </c>
      <c r="G13" s="7">
        <f>IFERROR(INT(VLOOKUP($A13,Orders[],MATCH("OrderDateTime",Orders[#Headers],0),FALSE)),"CHECK")</f>
        <v>45852</v>
      </c>
      <c r="H13" s="7" t="str">
        <f>IFERROR(VLOOKUP($A13,Orders[],MATCH(H$1,Orders[#Headers],0),FALSE),"CHECK")</f>
        <v>Plant 2 Canteen</v>
      </c>
      <c r="I13">
        <f>IFERROR(VLOOKUP(OrderLines[[#This Row],[OrderID]],Orders[],MATCH(OrderLines[[#Headers],[DiscountPct]],Orders[#Headers],0),FALSE),"CHECK")</f>
        <v>7.0000000000000007E-2</v>
      </c>
      <c r="J13" t="str">
        <f>IFERROR(VLOOKUP(OrderLines[[#This Row],[OrderID]],Orders[],MATCH(OrderLines[[#Headers],[Shift]],Orders[#Headers],0),FALSE),"CHECK")</f>
        <v>Dinner</v>
      </c>
      <c r="K13" s="11">
        <f>OrderLines[[#This Row],[Qty]] * OrderLines[[#This Row],[UnitPrice]] * (1-OrderLines[[#This Row],[DiscountPct]])</f>
        <v>30.671399999999995</v>
      </c>
      <c r="L13">
        <f>OrderLines[[#This Row],[Qty]]*OrderLines[[#This Row],[UnitCost]]</f>
        <v>11.84</v>
      </c>
    </row>
    <row r="14" spans="1:12" x14ac:dyDescent="0.25">
      <c r="A14" t="s">
        <v>30</v>
      </c>
      <c r="B14" t="s">
        <v>405</v>
      </c>
      <c r="C14">
        <v>2</v>
      </c>
      <c r="D14" s="9">
        <f>IFERROR(VLOOKUP($B14,Menu[],MATCH(D$1,Menu[#Headers],0),FALSE),"CHECK")</f>
        <v>170.83</v>
      </c>
      <c r="E14" s="9">
        <f>IFERROR(VLOOKUP($B14,Menu[],MATCH(E$1,Menu[#Headers],0),FALSE),"CHECK")</f>
        <v>74.069999999999993</v>
      </c>
      <c r="F14" t="str">
        <f>IFERROR(VLOOKUP($B14,Menu[],MATCH(F$1,Menu[#Headers],0),FALSE),"CHECK")</f>
        <v>Hot Meal</v>
      </c>
      <c r="G14" s="7">
        <f>IFERROR(INT(VLOOKUP($A14,Orders[],MATCH("OrderDateTime",Orders[#Headers],0),FALSE)),"CHECK")</f>
        <v>45852</v>
      </c>
      <c r="H14" s="7" t="str">
        <f>IFERROR(VLOOKUP($A14,Orders[],MATCH(H$1,Orders[#Headers],0),FALSE),"CHECK")</f>
        <v>Plant 2 Canteen</v>
      </c>
      <c r="I14">
        <f>IFERROR(VLOOKUP(OrderLines[[#This Row],[OrderID]],Orders[],MATCH(OrderLines[[#Headers],[DiscountPct]],Orders[#Headers],0),FALSE),"CHECK")</f>
        <v>7.0000000000000007E-2</v>
      </c>
      <c r="J14" t="str">
        <f>IFERROR(VLOOKUP(OrderLines[[#This Row],[OrderID]],Orders[],MATCH(OrderLines[[#Headers],[Shift]],Orders[#Headers],0),FALSE),"CHECK")</f>
        <v>Dinner</v>
      </c>
      <c r="K14" s="11">
        <f>OrderLines[[#This Row],[Qty]] * OrderLines[[#This Row],[UnitPrice]] * (1-OrderLines[[#This Row],[DiscountPct]])</f>
        <v>317.74380000000002</v>
      </c>
      <c r="L14">
        <f>OrderLines[[#This Row],[Qty]]*OrderLines[[#This Row],[UnitCost]]</f>
        <v>148.13999999999999</v>
      </c>
    </row>
    <row r="15" spans="1:12" x14ac:dyDescent="0.25">
      <c r="A15" t="s">
        <v>31</v>
      </c>
      <c r="B15" t="s">
        <v>411</v>
      </c>
      <c r="C15">
        <v>1</v>
      </c>
      <c r="D15" s="9">
        <f>IFERROR(VLOOKUP($B15,Menu[],MATCH(D$1,Menu[#Headers],0),FALSE),"CHECK")</f>
        <v>22.2</v>
      </c>
      <c r="E15" s="9">
        <f>IFERROR(VLOOKUP($B15,Menu[],MATCH(E$1,Menu[#Headers],0),FALSE),"CHECK")</f>
        <v>9.3800000000000008</v>
      </c>
      <c r="F15" t="str">
        <f>IFERROR(VLOOKUP($B15,Menu[],MATCH(F$1,Menu[#Headers],0),FALSE),"CHECK")</f>
        <v>Beverage</v>
      </c>
      <c r="G15" s="7">
        <f>IFERROR(INT(VLOOKUP($A15,Orders[],MATCH("OrderDateTime",Orders[#Headers],0),FALSE)),"CHECK")</f>
        <v>45863</v>
      </c>
      <c r="H15" s="7" t="str">
        <f>IFERROR(VLOOKUP($A15,Orders[],MATCH(H$1,Orders[#Headers],0),FALSE),"CHECK")</f>
        <v>Plant 1 Canteen</v>
      </c>
      <c r="I15">
        <f>IFERROR(VLOOKUP(OrderLines[[#This Row],[OrderID]],Orders[],MATCH(OrderLines[[#Headers],[DiscountPct]],Orders[#Headers],0),FALSE),"CHECK")</f>
        <v>0</v>
      </c>
      <c r="J15" t="str">
        <f>IFERROR(VLOOKUP(OrderLines[[#This Row],[OrderID]],Orders[],MATCH(OrderLines[[#Headers],[Shift]],Orders[#Headers],0),FALSE),"CHECK")</f>
        <v>Lunch</v>
      </c>
      <c r="K15" s="11">
        <f>OrderLines[[#This Row],[Qty]] * OrderLines[[#This Row],[UnitPrice]] * (1-OrderLines[[#This Row],[DiscountPct]])</f>
        <v>22.2</v>
      </c>
      <c r="L15">
        <f>OrderLines[[#This Row],[Qty]]*OrderLines[[#This Row],[UnitCost]]</f>
        <v>9.3800000000000008</v>
      </c>
    </row>
    <row r="16" spans="1:12" x14ac:dyDescent="0.25">
      <c r="A16" t="s">
        <v>31</v>
      </c>
      <c r="B16" t="s">
        <v>412</v>
      </c>
      <c r="C16">
        <v>3</v>
      </c>
      <c r="D16" s="9">
        <f>IFERROR(VLOOKUP($B16,Menu[],MATCH(D$1,Menu[#Headers],0),FALSE),"CHECK")</f>
        <v>57.07</v>
      </c>
      <c r="E16" s="9">
        <f>IFERROR(VLOOKUP($B16,Menu[],MATCH(E$1,Menu[#Headers],0),FALSE),"CHECK")</f>
        <v>29.14</v>
      </c>
      <c r="F16" t="str">
        <f>IFERROR(VLOOKUP($B16,Menu[],MATCH(F$1,Menu[#Headers],0),FALSE),"CHECK")</f>
        <v>Dessert</v>
      </c>
      <c r="G16" s="7">
        <f>IFERROR(INT(VLOOKUP($A16,Orders[],MATCH("OrderDateTime",Orders[#Headers],0),FALSE)),"CHECK")</f>
        <v>45863</v>
      </c>
      <c r="H16" s="7" t="str">
        <f>IFERROR(VLOOKUP($A16,Orders[],MATCH(H$1,Orders[#Headers],0),FALSE),"CHECK")</f>
        <v>Plant 1 Canteen</v>
      </c>
      <c r="I16">
        <f>IFERROR(VLOOKUP(OrderLines[[#This Row],[OrderID]],Orders[],MATCH(OrderLines[[#Headers],[DiscountPct]],Orders[#Headers],0),FALSE),"CHECK")</f>
        <v>0</v>
      </c>
      <c r="J16" t="str">
        <f>IFERROR(VLOOKUP(OrderLines[[#This Row],[OrderID]],Orders[],MATCH(OrderLines[[#Headers],[Shift]],Orders[#Headers],0),FALSE),"CHECK")</f>
        <v>Lunch</v>
      </c>
      <c r="K16" s="11">
        <f>OrderLines[[#This Row],[Qty]] * OrderLines[[#This Row],[UnitPrice]] * (1-OrderLines[[#This Row],[DiscountPct]])</f>
        <v>171.21</v>
      </c>
      <c r="L16">
        <f>OrderLines[[#This Row],[Qty]]*OrderLines[[#This Row],[UnitCost]]</f>
        <v>87.42</v>
      </c>
    </row>
    <row r="17" spans="1:12" x14ac:dyDescent="0.25">
      <c r="A17" t="s">
        <v>31</v>
      </c>
      <c r="B17" t="s">
        <v>402</v>
      </c>
      <c r="C17">
        <v>1</v>
      </c>
      <c r="D17" s="9">
        <f>IFERROR(VLOOKUP($B17,Menu[],MATCH(D$1,Menu[#Headers],0),FALSE),"CHECK")</f>
        <v>30.34</v>
      </c>
      <c r="E17" s="9">
        <f>IFERROR(VLOOKUP($B17,Menu[],MATCH(E$1,Menu[#Headers],0),FALSE),"CHECK")</f>
        <v>14.18</v>
      </c>
      <c r="F17" t="str">
        <f>IFERROR(VLOOKUP($B17,Menu[],MATCH(F$1,Menu[#Headers],0),FALSE),"CHECK")</f>
        <v>Beverage</v>
      </c>
      <c r="G17" s="7">
        <f>IFERROR(INT(VLOOKUP($A17,Orders[],MATCH("OrderDateTime",Orders[#Headers],0),FALSE)),"CHECK")</f>
        <v>45863</v>
      </c>
      <c r="H17" s="7" t="str">
        <f>IFERROR(VLOOKUP($A17,Orders[],MATCH(H$1,Orders[#Headers],0),FALSE),"CHECK")</f>
        <v>Plant 1 Canteen</v>
      </c>
      <c r="I17">
        <f>IFERROR(VLOOKUP(OrderLines[[#This Row],[OrderID]],Orders[],MATCH(OrderLines[[#Headers],[DiscountPct]],Orders[#Headers],0),FALSE),"CHECK")</f>
        <v>0</v>
      </c>
      <c r="J17" t="str">
        <f>IFERROR(VLOOKUP(OrderLines[[#This Row],[OrderID]],Orders[],MATCH(OrderLines[[#Headers],[Shift]],Orders[#Headers],0),FALSE),"CHECK")</f>
        <v>Lunch</v>
      </c>
      <c r="K17" s="11">
        <f>OrderLines[[#This Row],[Qty]] * OrderLines[[#This Row],[UnitPrice]] * (1-OrderLines[[#This Row],[DiscountPct]])</f>
        <v>30.34</v>
      </c>
      <c r="L17">
        <f>OrderLines[[#This Row],[Qty]]*OrderLines[[#This Row],[UnitCost]]</f>
        <v>14.18</v>
      </c>
    </row>
    <row r="18" spans="1:12" x14ac:dyDescent="0.25">
      <c r="A18" t="s">
        <v>32</v>
      </c>
      <c r="B18" t="s">
        <v>405</v>
      </c>
      <c r="C18">
        <v>2</v>
      </c>
      <c r="D18" s="9">
        <f>IFERROR(VLOOKUP($B18,Menu[],MATCH(D$1,Menu[#Headers],0),FALSE),"CHECK")</f>
        <v>170.83</v>
      </c>
      <c r="E18" s="9">
        <f>IFERROR(VLOOKUP($B18,Menu[],MATCH(E$1,Menu[#Headers],0),FALSE),"CHECK")</f>
        <v>74.069999999999993</v>
      </c>
      <c r="F18" t="str">
        <f>IFERROR(VLOOKUP($B18,Menu[],MATCH(F$1,Menu[#Headers],0),FALSE),"CHECK")</f>
        <v>Hot Meal</v>
      </c>
      <c r="G18" s="7">
        <f>IFERROR(INT(VLOOKUP($A18,Orders[],MATCH("OrderDateTime",Orders[#Headers],0),FALSE)),"CHECK")</f>
        <v>45844</v>
      </c>
      <c r="H18" s="7" t="str">
        <f>IFERROR(VLOOKUP($A18,Orders[],MATCH(H$1,Orders[#Headers],0),FALSE),"CHECK")</f>
        <v>Head Office Café</v>
      </c>
      <c r="I18">
        <f>IFERROR(VLOOKUP(OrderLines[[#This Row],[OrderID]],Orders[],MATCH(OrderLines[[#Headers],[DiscountPct]],Orders[#Headers],0),FALSE),"CHECK")</f>
        <v>7.0000000000000007E-2</v>
      </c>
      <c r="J18" t="str">
        <f>IFERROR(VLOOKUP(OrderLines[[#This Row],[OrderID]],Orders[],MATCH(OrderLines[[#Headers],[Shift]],Orders[#Headers],0),FALSE),"CHECK")</f>
        <v>Breakfast</v>
      </c>
      <c r="K18" s="11">
        <f>OrderLines[[#This Row],[Qty]] * OrderLines[[#This Row],[UnitPrice]] * (1-OrderLines[[#This Row],[DiscountPct]])</f>
        <v>317.74380000000002</v>
      </c>
      <c r="L18">
        <f>OrderLines[[#This Row],[Qty]]*OrderLines[[#This Row],[UnitCost]]</f>
        <v>148.13999999999999</v>
      </c>
    </row>
    <row r="19" spans="1:12" x14ac:dyDescent="0.25">
      <c r="A19" t="s">
        <v>32</v>
      </c>
      <c r="B19" t="s">
        <v>412</v>
      </c>
      <c r="C19">
        <v>2</v>
      </c>
      <c r="D19" s="9">
        <f>IFERROR(VLOOKUP($B19,Menu[],MATCH(D$1,Menu[#Headers],0),FALSE),"CHECK")</f>
        <v>57.07</v>
      </c>
      <c r="E19" s="9">
        <f>IFERROR(VLOOKUP($B19,Menu[],MATCH(E$1,Menu[#Headers],0),FALSE),"CHECK")</f>
        <v>29.14</v>
      </c>
      <c r="F19" t="str">
        <f>IFERROR(VLOOKUP($B19,Menu[],MATCH(F$1,Menu[#Headers],0),FALSE),"CHECK")</f>
        <v>Dessert</v>
      </c>
      <c r="G19" s="7">
        <f>IFERROR(INT(VLOOKUP($A19,Orders[],MATCH("OrderDateTime",Orders[#Headers],0),FALSE)),"CHECK")</f>
        <v>45844</v>
      </c>
      <c r="H19" s="7" t="str">
        <f>IFERROR(VLOOKUP($A19,Orders[],MATCH(H$1,Orders[#Headers],0),FALSE),"CHECK")</f>
        <v>Head Office Café</v>
      </c>
      <c r="I19">
        <f>IFERROR(VLOOKUP(OrderLines[[#This Row],[OrderID]],Orders[],MATCH(OrderLines[[#Headers],[DiscountPct]],Orders[#Headers],0),FALSE),"CHECK")</f>
        <v>7.0000000000000007E-2</v>
      </c>
      <c r="J19" t="str">
        <f>IFERROR(VLOOKUP(OrderLines[[#This Row],[OrderID]],Orders[],MATCH(OrderLines[[#Headers],[Shift]],Orders[#Headers],0),FALSE),"CHECK")</f>
        <v>Breakfast</v>
      </c>
      <c r="K19" s="11">
        <f>OrderLines[[#This Row],[Qty]] * OrderLines[[#This Row],[UnitPrice]] * (1-OrderLines[[#This Row],[DiscountPct]])</f>
        <v>106.1502</v>
      </c>
      <c r="L19">
        <f>OrderLines[[#This Row],[Qty]]*OrderLines[[#This Row],[UnitCost]]</f>
        <v>58.28</v>
      </c>
    </row>
    <row r="20" spans="1:12" x14ac:dyDescent="0.25">
      <c r="A20" t="s">
        <v>32</v>
      </c>
      <c r="B20" t="s">
        <v>406</v>
      </c>
      <c r="C20">
        <v>1</v>
      </c>
      <c r="D20" s="9">
        <f>IFERROR(VLOOKUP($B20,Menu[],MATCH(D$1,Menu[#Headers],0),FALSE),"CHECK")</f>
        <v>38.06</v>
      </c>
      <c r="E20" s="9">
        <f>IFERROR(VLOOKUP($B20,Menu[],MATCH(E$1,Menu[#Headers],0),FALSE),"CHECK")</f>
        <v>19.55</v>
      </c>
      <c r="F20" t="str">
        <f>IFERROR(VLOOKUP($B20,Menu[],MATCH(F$1,Menu[#Headers],0),FALSE),"CHECK")</f>
        <v>Snack</v>
      </c>
      <c r="G20" s="7">
        <f>IFERROR(INT(VLOOKUP($A20,Orders[],MATCH("OrderDateTime",Orders[#Headers],0),FALSE)),"CHECK")</f>
        <v>45844</v>
      </c>
      <c r="H20" s="7" t="str">
        <f>IFERROR(VLOOKUP($A20,Orders[],MATCH(H$1,Orders[#Headers],0),FALSE),"CHECK")</f>
        <v>Head Office Café</v>
      </c>
      <c r="I20">
        <f>IFERROR(VLOOKUP(OrderLines[[#This Row],[OrderID]],Orders[],MATCH(OrderLines[[#Headers],[DiscountPct]],Orders[#Headers],0),FALSE),"CHECK")</f>
        <v>7.0000000000000007E-2</v>
      </c>
      <c r="J20" t="str">
        <f>IFERROR(VLOOKUP(OrderLines[[#This Row],[OrderID]],Orders[],MATCH(OrderLines[[#Headers],[Shift]],Orders[#Headers],0),FALSE),"CHECK")</f>
        <v>Breakfast</v>
      </c>
      <c r="K20" s="11">
        <f>OrderLines[[#This Row],[Qty]] * OrderLines[[#This Row],[UnitPrice]] * (1-OrderLines[[#This Row],[DiscountPct]])</f>
        <v>35.395800000000001</v>
      </c>
      <c r="L20">
        <f>OrderLines[[#This Row],[Qty]]*OrderLines[[#This Row],[UnitCost]]</f>
        <v>19.55</v>
      </c>
    </row>
    <row r="21" spans="1:12" x14ac:dyDescent="0.25">
      <c r="A21" t="s">
        <v>34</v>
      </c>
      <c r="B21" t="s">
        <v>411</v>
      </c>
      <c r="C21">
        <v>2</v>
      </c>
      <c r="D21" s="9">
        <f>IFERROR(VLOOKUP($B21,Menu[],MATCH(D$1,Menu[#Headers],0),FALSE),"CHECK")</f>
        <v>22.2</v>
      </c>
      <c r="E21" s="9">
        <f>IFERROR(VLOOKUP($B21,Menu[],MATCH(E$1,Menu[#Headers],0),FALSE),"CHECK")</f>
        <v>9.3800000000000008</v>
      </c>
      <c r="F21" t="str">
        <f>IFERROR(VLOOKUP($B21,Menu[],MATCH(F$1,Menu[#Headers],0),FALSE),"CHECK")</f>
        <v>Beverage</v>
      </c>
      <c r="G21" s="7">
        <f>IFERROR(INT(VLOOKUP($A21,Orders[],MATCH("OrderDateTime",Orders[#Headers],0),FALSE)),"CHECK")</f>
        <v>45862</v>
      </c>
      <c r="H21" s="7" t="str">
        <f>IFERROR(VLOOKUP($A21,Orders[],MATCH(H$1,Orders[#Headers],0),FALSE),"CHECK")</f>
        <v>Plant 1 Canteen</v>
      </c>
      <c r="I21">
        <f>IFERROR(VLOOKUP(OrderLines[[#This Row],[OrderID]],Orders[],MATCH(OrderLines[[#Headers],[DiscountPct]],Orders[#Headers],0),FALSE),"CHECK")</f>
        <v>0.04</v>
      </c>
      <c r="J21" t="str">
        <f>IFERROR(VLOOKUP(OrderLines[[#This Row],[OrderID]],Orders[],MATCH(OrderLines[[#Headers],[Shift]],Orders[#Headers],0),FALSE),"CHECK")</f>
        <v>Breakfast</v>
      </c>
      <c r="K21" s="11">
        <f>OrderLines[[#This Row],[Qty]] * OrderLines[[#This Row],[UnitPrice]] * (1-OrderLines[[#This Row],[DiscountPct]])</f>
        <v>42.623999999999995</v>
      </c>
      <c r="L21">
        <f>OrderLines[[#This Row],[Qty]]*OrderLines[[#This Row],[UnitCost]]</f>
        <v>18.760000000000002</v>
      </c>
    </row>
    <row r="22" spans="1:12" x14ac:dyDescent="0.25">
      <c r="A22" t="s">
        <v>34</v>
      </c>
      <c r="B22" t="s">
        <v>407</v>
      </c>
      <c r="C22">
        <v>1</v>
      </c>
      <c r="D22" s="9">
        <f>IFERROR(VLOOKUP($B22,Menu[],MATCH(D$1,Menu[#Headers],0),FALSE),"CHECK")</f>
        <v>246.09</v>
      </c>
      <c r="E22" s="9">
        <f>IFERROR(VLOOKUP($B22,Menu[],MATCH(E$1,Menu[#Headers],0),FALSE),"CHECK")</f>
        <v>112.08</v>
      </c>
      <c r="F22" t="str">
        <f>IFERROR(VLOOKUP($B22,Menu[],MATCH(F$1,Menu[#Headers],0),FALSE),"CHECK")</f>
        <v>Hot Meal</v>
      </c>
      <c r="G22" s="7">
        <f>IFERROR(INT(VLOOKUP($A22,Orders[],MATCH("OrderDateTime",Orders[#Headers],0),FALSE)),"CHECK")</f>
        <v>45862</v>
      </c>
      <c r="H22" s="7" t="str">
        <f>IFERROR(VLOOKUP($A22,Orders[],MATCH(H$1,Orders[#Headers],0),FALSE),"CHECK")</f>
        <v>Plant 1 Canteen</v>
      </c>
      <c r="I22">
        <f>IFERROR(VLOOKUP(OrderLines[[#This Row],[OrderID]],Orders[],MATCH(OrderLines[[#Headers],[DiscountPct]],Orders[#Headers],0),FALSE),"CHECK")</f>
        <v>0.04</v>
      </c>
      <c r="J22" t="str">
        <f>IFERROR(VLOOKUP(OrderLines[[#This Row],[OrderID]],Orders[],MATCH(OrderLines[[#Headers],[Shift]],Orders[#Headers],0),FALSE),"CHECK")</f>
        <v>Breakfast</v>
      </c>
      <c r="K22" s="11">
        <f>OrderLines[[#This Row],[Qty]] * OrderLines[[#This Row],[UnitPrice]] * (1-OrderLines[[#This Row],[DiscountPct]])</f>
        <v>236.24639999999999</v>
      </c>
      <c r="L22">
        <f>OrderLines[[#This Row],[Qty]]*OrderLines[[#This Row],[UnitCost]]</f>
        <v>112.08</v>
      </c>
    </row>
    <row r="23" spans="1:12" x14ac:dyDescent="0.25">
      <c r="A23" t="s">
        <v>34</v>
      </c>
      <c r="B23" t="s">
        <v>408</v>
      </c>
      <c r="C23">
        <v>1</v>
      </c>
      <c r="D23" s="9">
        <f>IFERROR(VLOOKUP($B23,Menu[],MATCH(D$1,Menu[#Headers],0),FALSE),"CHECK")</f>
        <v>70.540000000000006</v>
      </c>
      <c r="E23" s="9">
        <f>IFERROR(VLOOKUP($B23,Menu[],MATCH(E$1,Menu[#Headers],0),FALSE),"CHECK")</f>
        <v>35.81</v>
      </c>
      <c r="F23" t="str">
        <f>IFERROR(VLOOKUP($B23,Menu[],MATCH(F$1,Menu[#Headers],0),FALSE),"CHECK")</f>
        <v>Snack</v>
      </c>
      <c r="G23" s="7">
        <f>IFERROR(INT(VLOOKUP($A23,Orders[],MATCH("OrderDateTime",Orders[#Headers],0),FALSE)),"CHECK")</f>
        <v>45862</v>
      </c>
      <c r="H23" s="7" t="str">
        <f>IFERROR(VLOOKUP($A23,Orders[],MATCH(H$1,Orders[#Headers],0),FALSE),"CHECK")</f>
        <v>Plant 1 Canteen</v>
      </c>
      <c r="I23">
        <f>IFERROR(VLOOKUP(OrderLines[[#This Row],[OrderID]],Orders[],MATCH(OrderLines[[#Headers],[DiscountPct]],Orders[#Headers],0),FALSE),"CHECK")</f>
        <v>0.04</v>
      </c>
      <c r="J23" t="str">
        <f>IFERROR(VLOOKUP(OrderLines[[#This Row],[OrderID]],Orders[],MATCH(OrderLines[[#Headers],[Shift]],Orders[#Headers],0),FALSE),"CHECK")</f>
        <v>Breakfast</v>
      </c>
      <c r="K23" s="11">
        <f>OrderLines[[#This Row],[Qty]] * OrderLines[[#This Row],[UnitPrice]] * (1-OrderLines[[#This Row],[DiscountPct]])</f>
        <v>67.718400000000003</v>
      </c>
      <c r="L23">
        <f>OrderLines[[#This Row],[Qty]]*OrderLines[[#This Row],[UnitCost]]</f>
        <v>35.81</v>
      </c>
    </row>
    <row r="24" spans="1:12" x14ac:dyDescent="0.25">
      <c r="A24" t="s">
        <v>34</v>
      </c>
      <c r="B24" t="s">
        <v>403</v>
      </c>
      <c r="C24">
        <v>1</v>
      </c>
      <c r="D24" s="9">
        <f>IFERROR(VLOOKUP($B24,Menu[],MATCH(D$1,Menu[#Headers],0),FALSE),"CHECK")</f>
        <v>76.55</v>
      </c>
      <c r="E24" s="9">
        <f>IFERROR(VLOOKUP($B24,Menu[],MATCH(E$1,Menu[#Headers],0),FALSE),"CHECK")</f>
        <v>38.229999999999997</v>
      </c>
      <c r="F24" t="str">
        <f>IFERROR(VLOOKUP($B24,Menu[],MATCH(F$1,Menu[#Headers],0),FALSE),"CHECK")</f>
        <v>Dessert</v>
      </c>
      <c r="G24" s="7">
        <f>IFERROR(INT(VLOOKUP($A24,Orders[],MATCH("OrderDateTime",Orders[#Headers],0),FALSE)),"CHECK")</f>
        <v>45862</v>
      </c>
      <c r="H24" s="7" t="str">
        <f>IFERROR(VLOOKUP($A24,Orders[],MATCH(H$1,Orders[#Headers],0),FALSE),"CHECK")</f>
        <v>Plant 1 Canteen</v>
      </c>
      <c r="I24">
        <f>IFERROR(VLOOKUP(OrderLines[[#This Row],[OrderID]],Orders[],MATCH(OrderLines[[#Headers],[DiscountPct]],Orders[#Headers],0),FALSE),"CHECK")</f>
        <v>0.04</v>
      </c>
      <c r="J24" t="str">
        <f>IFERROR(VLOOKUP(OrderLines[[#This Row],[OrderID]],Orders[],MATCH(OrderLines[[#Headers],[Shift]],Orders[#Headers],0),FALSE),"CHECK")</f>
        <v>Breakfast</v>
      </c>
      <c r="K24" s="11">
        <f>OrderLines[[#This Row],[Qty]] * OrderLines[[#This Row],[UnitPrice]] * (1-OrderLines[[#This Row],[DiscountPct]])</f>
        <v>73.488</v>
      </c>
      <c r="L24">
        <f>OrderLines[[#This Row],[Qty]]*OrderLines[[#This Row],[UnitCost]]</f>
        <v>38.229999999999997</v>
      </c>
    </row>
    <row r="25" spans="1:12" x14ac:dyDescent="0.25">
      <c r="A25" t="s">
        <v>35</v>
      </c>
      <c r="B25" t="s">
        <v>409</v>
      </c>
      <c r="C25">
        <v>1</v>
      </c>
      <c r="D25" s="9">
        <f>IFERROR(VLOOKUP($B25,Menu[],MATCH(D$1,Menu[#Headers],0),FALSE),"CHECK")</f>
        <v>28.43</v>
      </c>
      <c r="E25" s="9">
        <f>IFERROR(VLOOKUP($B25,Menu[],MATCH(E$1,Menu[#Headers],0),FALSE),"CHECK")</f>
        <v>13.89</v>
      </c>
      <c r="F25" t="str">
        <f>IFERROR(VLOOKUP($B25,Menu[],MATCH(F$1,Menu[#Headers],0),FALSE),"CHECK")</f>
        <v>Beverage</v>
      </c>
      <c r="G25" s="7">
        <f>IFERROR(INT(VLOOKUP($A25,Orders[],MATCH("OrderDateTime",Orders[#Headers],0),FALSE)),"CHECK")</f>
        <v>45860</v>
      </c>
      <c r="H25" s="7" t="str">
        <f>IFERROR(VLOOKUP($A25,Orders[],MATCH(H$1,Orders[#Headers],0),FALSE),"CHECK")</f>
        <v>Plant 2 Canteen</v>
      </c>
      <c r="I25">
        <f>IFERROR(VLOOKUP(OrderLines[[#This Row],[OrderID]],Orders[],MATCH(OrderLines[[#Headers],[DiscountPct]],Orders[#Headers],0),FALSE),"CHECK")</f>
        <v>0.03</v>
      </c>
      <c r="J25" t="str">
        <f>IFERROR(VLOOKUP(OrderLines[[#This Row],[OrderID]],Orders[],MATCH(OrderLines[[#Headers],[Shift]],Orders[#Headers],0),FALSE),"CHECK")</f>
        <v>Breakfast</v>
      </c>
      <c r="K25" s="11">
        <f>OrderLines[[#This Row],[Qty]] * OrderLines[[#This Row],[UnitPrice]] * (1-OrderLines[[#This Row],[DiscountPct]])</f>
        <v>27.577099999999998</v>
      </c>
      <c r="L25">
        <f>OrderLines[[#This Row],[Qty]]*OrderLines[[#This Row],[UnitCost]]</f>
        <v>13.89</v>
      </c>
    </row>
    <row r="26" spans="1:12" x14ac:dyDescent="0.25">
      <c r="A26" t="s">
        <v>37</v>
      </c>
      <c r="B26" t="s">
        <v>413</v>
      </c>
      <c r="C26">
        <v>1</v>
      </c>
      <c r="D26" s="9">
        <f>IFERROR(VLOOKUP($B26,Menu[],MATCH(D$1,Menu[#Headers],0),FALSE),"CHECK")</f>
        <v>54.2</v>
      </c>
      <c r="E26" s="9">
        <f>IFERROR(VLOOKUP($B26,Menu[],MATCH(E$1,Menu[#Headers],0),FALSE),"CHECK")</f>
        <v>21.95</v>
      </c>
      <c r="F26" t="str">
        <f>IFERROR(VLOOKUP($B26,Menu[],MATCH(F$1,Menu[#Headers],0),FALSE),"CHECK")</f>
        <v>Dessert</v>
      </c>
      <c r="G26" s="7">
        <f>IFERROR(INT(VLOOKUP($A26,Orders[],MATCH("OrderDateTime",Orders[#Headers],0),FALSE)),"CHECK")</f>
        <v>45839</v>
      </c>
      <c r="H26" s="7" t="str">
        <f>IFERROR(VLOOKUP($A26,Orders[],MATCH(H$1,Orders[#Headers],0),FALSE),"CHECK")</f>
        <v>Plant 2 Canteen</v>
      </c>
      <c r="I26">
        <f>IFERROR(VLOOKUP(OrderLines[[#This Row],[OrderID]],Orders[],MATCH(OrderLines[[#Headers],[DiscountPct]],Orders[#Headers],0),FALSE),"CHECK")</f>
        <v>0.08</v>
      </c>
      <c r="J26" t="str">
        <f>IFERROR(VLOOKUP(OrderLines[[#This Row],[OrderID]],Orders[],MATCH(OrderLines[[#Headers],[Shift]],Orders[#Headers],0),FALSE),"CHECK")</f>
        <v>Lunch</v>
      </c>
      <c r="K26" s="11">
        <f>OrderLines[[#This Row],[Qty]] * OrderLines[[#This Row],[UnitPrice]] * (1-OrderLines[[#This Row],[DiscountPct]])</f>
        <v>49.864000000000004</v>
      </c>
      <c r="L26">
        <f>OrderLines[[#This Row],[Qty]]*OrderLines[[#This Row],[UnitCost]]</f>
        <v>21.95</v>
      </c>
    </row>
    <row r="27" spans="1:12" x14ac:dyDescent="0.25">
      <c r="A27" t="s">
        <v>37</v>
      </c>
      <c r="B27" t="s">
        <v>401</v>
      </c>
      <c r="C27">
        <v>1</v>
      </c>
      <c r="D27" s="9">
        <f>IFERROR(VLOOKUP($B27,Menu[],MATCH(D$1,Menu[#Headers],0),FALSE),"CHECK")</f>
        <v>52.45</v>
      </c>
      <c r="E27" s="9">
        <f>IFERROR(VLOOKUP($B27,Menu[],MATCH(E$1,Menu[#Headers],0),FALSE),"CHECK")</f>
        <v>25.8</v>
      </c>
      <c r="F27" t="str">
        <f>IFERROR(VLOOKUP($B27,Menu[],MATCH(F$1,Menu[#Headers],0),FALSE),"CHECK")</f>
        <v>Snack</v>
      </c>
      <c r="G27" s="7">
        <f>IFERROR(INT(VLOOKUP($A27,Orders[],MATCH("OrderDateTime",Orders[#Headers],0),FALSE)),"CHECK")</f>
        <v>45839</v>
      </c>
      <c r="H27" s="7" t="str">
        <f>IFERROR(VLOOKUP($A27,Orders[],MATCH(H$1,Orders[#Headers],0),FALSE),"CHECK")</f>
        <v>Plant 2 Canteen</v>
      </c>
      <c r="I27">
        <f>IFERROR(VLOOKUP(OrderLines[[#This Row],[OrderID]],Orders[],MATCH(OrderLines[[#Headers],[DiscountPct]],Orders[#Headers],0),FALSE),"CHECK")</f>
        <v>0.08</v>
      </c>
      <c r="J27" t="str">
        <f>IFERROR(VLOOKUP(OrderLines[[#This Row],[OrderID]],Orders[],MATCH(OrderLines[[#Headers],[Shift]],Orders[#Headers],0),FALSE),"CHECK")</f>
        <v>Lunch</v>
      </c>
      <c r="K27" s="11">
        <f>OrderLines[[#This Row],[Qty]] * OrderLines[[#This Row],[UnitPrice]] * (1-OrderLines[[#This Row],[DiscountPct]])</f>
        <v>48.254000000000005</v>
      </c>
      <c r="L27">
        <f>OrderLines[[#This Row],[Qty]]*OrderLines[[#This Row],[UnitCost]]</f>
        <v>25.8</v>
      </c>
    </row>
    <row r="28" spans="1:12" x14ac:dyDescent="0.25">
      <c r="A28" t="s">
        <v>39</v>
      </c>
      <c r="B28" t="s">
        <v>403</v>
      </c>
      <c r="C28">
        <v>3</v>
      </c>
      <c r="D28" s="9">
        <f>IFERROR(VLOOKUP($B28,Menu[],MATCH(D$1,Menu[#Headers],0),FALSE),"CHECK")</f>
        <v>76.55</v>
      </c>
      <c r="E28" s="9">
        <f>IFERROR(VLOOKUP($B28,Menu[],MATCH(E$1,Menu[#Headers],0),FALSE),"CHECK")</f>
        <v>38.229999999999997</v>
      </c>
      <c r="F28" t="str">
        <f>IFERROR(VLOOKUP($B28,Menu[],MATCH(F$1,Menu[#Headers],0),FALSE),"CHECK")</f>
        <v>Dessert</v>
      </c>
      <c r="G28" s="7">
        <f>IFERROR(INT(VLOOKUP($A28,Orders[],MATCH("OrderDateTime",Orders[#Headers],0),FALSE)),"CHECK")</f>
        <v>45880</v>
      </c>
      <c r="H28" s="7" t="str">
        <f>IFERROR(VLOOKUP($A28,Orders[],MATCH(H$1,Orders[#Headers],0),FALSE),"CHECK")</f>
        <v>Head Office Café</v>
      </c>
      <c r="I28">
        <f>IFERROR(VLOOKUP(OrderLines[[#This Row],[OrderID]],Orders[],MATCH(OrderLines[[#Headers],[DiscountPct]],Orders[#Headers],0),FALSE),"CHECK")</f>
        <v>0.1</v>
      </c>
      <c r="J28" t="str">
        <f>IFERROR(VLOOKUP(OrderLines[[#This Row],[OrderID]],Orders[],MATCH(OrderLines[[#Headers],[Shift]],Orders[#Headers],0),FALSE),"CHECK")</f>
        <v>Breakfast</v>
      </c>
      <c r="K28" s="11">
        <f>OrderLines[[#This Row],[Qty]] * OrderLines[[#This Row],[UnitPrice]] * (1-OrderLines[[#This Row],[DiscountPct]])</f>
        <v>206.68499999999997</v>
      </c>
      <c r="L28">
        <f>OrderLines[[#This Row],[Qty]]*OrderLines[[#This Row],[UnitCost]]</f>
        <v>114.69</v>
      </c>
    </row>
    <row r="29" spans="1:12" x14ac:dyDescent="0.25">
      <c r="A29" t="s">
        <v>39</v>
      </c>
      <c r="B29" t="s">
        <v>402</v>
      </c>
      <c r="C29">
        <v>2</v>
      </c>
      <c r="D29" s="9">
        <f>IFERROR(VLOOKUP($B29,Menu[],MATCH(D$1,Menu[#Headers],0),FALSE),"CHECK")</f>
        <v>30.34</v>
      </c>
      <c r="E29" s="9">
        <f>IFERROR(VLOOKUP($B29,Menu[],MATCH(E$1,Menu[#Headers],0),FALSE),"CHECK")</f>
        <v>14.18</v>
      </c>
      <c r="F29" t="str">
        <f>IFERROR(VLOOKUP($B29,Menu[],MATCH(F$1,Menu[#Headers],0),FALSE),"CHECK")</f>
        <v>Beverage</v>
      </c>
      <c r="G29" s="7">
        <f>IFERROR(INT(VLOOKUP($A29,Orders[],MATCH("OrderDateTime",Orders[#Headers],0),FALSE)),"CHECK")</f>
        <v>45880</v>
      </c>
      <c r="H29" s="7" t="str">
        <f>IFERROR(VLOOKUP($A29,Orders[],MATCH(H$1,Orders[#Headers],0),FALSE),"CHECK")</f>
        <v>Head Office Café</v>
      </c>
      <c r="I29">
        <f>IFERROR(VLOOKUP(OrderLines[[#This Row],[OrderID]],Orders[],MATCH(OrderLines[[#Headers],[DiscountPct]],Orders[#Headers],0),FALSE),"CHECK")</f>
        <v>0.1</v>
      </c>
      <c r="J29" t="str">
        <f>IFERROR(VLOOKUP(OrderLines[[#This Row],[OrderID]],Orders[],MATCH(OrderLines[[#Headers],[Shift]],Orders[#Headers],0),FALSE),"CHECK")</f>
        <v>Breakfast</v>
      </c>
      <c r="K29" s="11">
        <f>OrderLines[[#This Row],[Qty]] * OrderLines[[#This Row],[UnitPrice]] * (1-OrderLines[[#This Row],[DiscountPct]])</f>
        <v>54.612000000000002</v>
      </c>
      <c r="L29">
        <f>OrderLines[[#This Row],[Qty]]*OrderLines[[#This Row],[UnitCost]]</f>
        <v>28.36</v>
      </c>
    </row>
    <row r="30" spans="1:12" x14ac:dyDescent="0.25">
      <c r="A30" t="s">
        <v>39</v>
      </c>
      <c r="B30" t="s">
        <v>414</v>
      </c>
      <c r="C30">
        <v>3</v>
      </c>
      <c r="D30" s="9">
        <f>IFERROR(VLOOKUP($B30,Menu[],MATCH(D$1,Menu[#Headers],0),FALSE),"CHECK")</f>
        <v>116.8</v>
      </c>
      <c r="E30" s="9">
        <f>IFERROR(VLOOKUP($B30,Menu[],MATCH(E$1,Menu[#Headers],0),FALSE),"CHECK")</f>
        <v>48.97</v>
      </c>
      <c r="F30" t="str">
        <f>IFERROR(VLOOKUP($B30,Menu[],MATCH(F$1,Menu[#Headers],0),FALSE),"CHECK")</f>
        <v>Dessert</v>
      </c>
      <c r="G30" s="7">
        <f>IFERROR(INT(VLOOKUP($A30,Orders[],MATCH("OrderDateTime",Orders[#Headers],0),FALSE)),"CHECK")</f>
        <v>45880</v>
      </c>
      <c r="H30" s="7" t="str">
        <f>IFERROR(VLOOKUP($A30,Orders[],MATCH(H$1,Orders[#Headers],0),FALSE),"CHECK")</f>
        <v>Head Office Café</v>
      </c>
      <c r="I30">
        <f>IFERROR(VLOOKUP(OrderLines[[#This Row],[OrderID]],Orders[],MATCH(OrderLines[[#Headers],[DiscountPct]],Orders[#Headers],0),FALSE),"CHECK")</f>
        <v>0.1</v>
      </c>
      <c r="J30" t="str">
        <f>IFERROR(VLOOKUP(OrderLines[[#This Row],[OrderID]],Orders[],MATCH(OrderLines[[#Headers],[Shift]],Orders[#Headers],0),FALSE),"CHECK")</f>
        <v>Breakfast</v>
      </c>
      <c r="K30" s="11">
        <f>OrderLines[[#This Row],[Qty]] * OrderLines[[#This Row],[UnitPrice]] * (1-OrderLines[[#This Row],[DiscountPct]])</f>
        <v>315.36</v>
      </c>
      <c r="L30">
        <f>OrderLines[[#This Row],[Qty]]*OrderLines[[#This Row],[UnitCost]]</f>
        <v>146.91</v>
      </c>
    </row>
    <row r="31" spans="1:12" x14ac:dyDescent="0.25">
      <c r="A31" t="s">
        <v>39</v>
      </c>
      <c r="B31" t="s">
        <v>415</v>
      </c>
      <c r="C31">
        <v>1</v>
      </c>
      <c r="D31" s="9">
        <f>IFERROR(VLOOKUP($B31,Menu[],MATCH(D$1,Menu[#Headers],0),FALSE),"CHECK")</f>
        <v>256.91000000000003</v>
      </c>
      <c r="E31" s="9">
        <f>IFERROR(VLOOKUP($B31,Menu[],MATCH(E$1,Menu[#Headers],0),FALSE),"CHECK")</f>
        <v>121.24</v>
      </c>
      <c r="F31" t="str">
        <f>IFERROR(VLOOKUP($B31,Menu[],MATCH(F$1,Menu[#Headers],0),FALSE),"CHECK")</f>
        <v>Hot Meal</v>
      </c>
      <c r="G31" s="7">
        <f>IFERROR(INT(VLOOKUP($A31,Orders[],MATCH("OrderDateTime",Orders[#Headers],0),FALSE)),"CHECK")</f>
        <v>45880</v>
      </c>
      <c r="H31" s="7" t="str">
        <f>IFERROR(VLOOKUP($A31,Orders[],MATCH(H$1,Orders[#Headers],0),FALSE),"CHECK")</f>
        <v>Head Office Café</v>
      </c>
      <c r="I31">
        <f>IFERROR(VLOOKUP(OrderLines[[#This Row],[OrderID]],Orders[],MATCH(OrderLines[[#Headers],[DiscountPct]],Orders[#Headers],0),FALSE),"CHECK")</f>
        <v>0.1</v>
      </c>
      <c r="J31" t="str">
        <f>IFERROR(VLOOKUP(OrderLines[[#This Row],[OrderID]],Orders[],MATCH(OrderLines[[#Headers],[Shift]],Orders[#Headers],0),FALSE),"CHECK")</f>
        <v>Breakfast</v>
      </c>
      <c r="K31" s="11">
        <f>OrderLines[[#This Row],[Qty]] * OrderLines[[#This Row],[UnitPrice]] * (1-OrderLines[[#This Row],[DiscountPct]])</f>
        <v>231.21900000000002</v>
      </c>
      <c r="L31">
        <f>OrderLines[[#This Row],[Qty]]*OrderLines[[#This Row],[UnitCost]]</f>
        <v>121.24</v>
      </c>
    </row>
    <row r="32" spans="1:12" x14ac:dyDescent="0.25">
      <c r="A32" t="s">
        <v>40</v>
      </c>
      <c r="B32" t="s">
        <v>409</v>
      </c>
      <c r="C32">
        <v>1</v>
      </c>
      <c r="D32" s="9">
        <f>IFERROR(VLOOKUP($B32,Menu[],MATCH(D$1,Menu[#Headers],0),FALSE),"CHECK")</f>
        <v>28.43</v>
      </c>
      <c r="E32" s="9">
        <f>IFERROR(VLOOKUP($B32,Menu[],MATCH(E$1,Menu[#Headers],0),FALSE),"CHECK")</f>
        <v>13.89</v>
      </c>
      <c r="F32" t="str">
        <f>IFERROR(VLOOKUP($B32,Menu[],MATCH(F$1,Menu[#Headers],0),FALSE),"CHECK")</f>
        <v>Beverage</v>
      </c>
      <c r="G32" s="7">
        <f>IFERROR(INT(VLOOKUP($A32,Orders[],MATCH("OrderDateTime",Orders[#Headers],0),FALSE)),"CHECK")</f>
        <v>45854</v>
      </c>
      <c r="H32" s="7" t="str">
        <f>IFERROR(VLOOKUP($A32,Orders[],MATCH(H$1,Orders[#Headers],0),FALSE),"CHECK")</f>
        <v>Plant 1 Canteen</v>
      </c>
      <c r="I32">
        <f>IFERROR(VLOOKUP(OrderLines[[#This Row],[OrderID]],Orders[],MATCH(OrderLines[[#Headers],[DiscountPct]],Orders[#Headers],0),FALSE),"CHECK")</f>
        <v>0.1</v>
      </c>
      <c r="J32" t="str">
        <f>IFERROR(VLOOKUP(OrderLines[[#This Row],[OrderID]],Orders[],MATCH(OrderLines[[#Headers],[Shift]],Orders[#Headers],0),FALSE),"CHECK")</f>
        <v>Breakfast</v>
      </c>
      <c r="K32" s="11">
        <f>OrderLines[[#This Row],[Qty]] * OrderLines[[#This Row],[UnitPrice]] * (1-OrderLines[[#This Row],[DiscountPct]])</f>
        <v>25.587</v>
      </c>
      <c r="L32">
        <f>OrderLines[[#This Row],[Qty]]*OrderLines[[#This Row],[UnitCost]]</f>
        <v>13.89</v>
      </c>
    </row>
    <row r="33" spans="1:12" x14ac:dyDescent="0.25">
      <c r="A33" t="s">
        <v>40</v>
      </c>
      <c r="B33" t="s">
        <v>403</v>
      </c>
      <c r="C33">
        <v>2</v>
      </c>
      <c r="D33" s="9">
        <f>IFERROR(VLOOKUP($B33,Menu[],MATCH(D$1,Menu[#Headers],0),FALSE),"CHECK")</f>
        <v>76.55</v>
      </c>
      <c r="E33" s="9">
        <f>IFERROR(VLOOKUP($B33,Menu[],MATCH(E$1,Menu[#Headers],0),FALSE),"CHECK")</f>
        <v>38.229999999999997</v>
      </c>
      <c r="F33" t="str">
        <f>IFERROR(VLOOKUP($B33,Menu[],MATCH(F$1,Menu[#Headers],0),FALSE),"CHECK")</f>
        <v>Dessert</v>
      </c>
      <c r="G33" s="7">
        <f>IFERROR(INT(VLOOKUP($A33,Orders[],MATCH("OrderDateTime",Orders[#Headers],0),FALSE)),"CHECK")</f>
        <v>45854</v>
      </c>
      <c r="H33" s="7" t="str">
        <f>IFERROR(VLOOKUP($A33,Orders[],MATCH(H$1,Orders[#Headers],0),FALSE),"CHECK")</f>
        <v>Plant 1 Canteen</v>
      </c>
      <c r="I33">
        <f>IFERROR(VLOOKUP(OrderLines[[#This Row],[OrderID]],Orders[],MATCH(OrderLines[[#Headers],[DiscountPct]],Orders[#Headers],0),FALSE),"CHECK")</f>
        <v>0.1</v>
      </c>
      <c r="J33" t="str">
        <f>IFERROR(VLOOKUP(OrderLines[[#This Row],[OrderID]],Orders[],MATCH(OrderLines[[#Headers],[Shift]],Orders[#Headers],0),FALSE),"CHECK")</f>
        <v>Breakfast</v>
      </c>
      <c r="K33" s="11">
        <f>OrderLines[[#This Row],[Qty]] * OrderLines[[#This Row],[UnitPrice]] * (1-OrderLines[[#This Row],[DiscountPct]])</f>
        <v>137.79</v>
      </c>
      <c r="L33">
        <f>OrderLines[[#This Row],[Qty]]*OrderLines[[#This Row],[UnitCost]]</f>
        <v>76.459999999999994</v>
      </c>
    </row>
    <row r="34" spans="1:12" x14ac:dyDescent="0.25">
      <c r="A34" t="s">
        <v>40</v>
      </c>
      <c r="B34" t="s">
        <v>410</v>
      </c>
      <c r="C34">
        <v>1</v>
      </c>
      <c r="D34" s="9">
        <f>IFERROR(VLOOKUP($B34,Menu[],MATCH(D$1,Menu[#Headers],0),FALSE),"CHECK")</f>
        <v>20.11</v>
      </c>
      <c r="E34" s="9">
        <f>IFERROR(VLOOKUP($B34,Menu[],MATCH(E$1,Menu[#Headers],0),FALSE),"CHECK")</f>
        <v>8</v>
      </c>
      <c r="F34" t="str">
        <f>IFERROR(VLOOKUP($B34,Menu[],MATCH(F$1,Menu[#Headers],0),FALSE),"CHECK")</f>
        <v>Beverage</v>
      </c>
      <c r="G34" s="7">
        <f>IFERROR(INT(VLOOKUP($A34,Orders[],MATCH("OrderDateTime",Orders[#Headers],0),FALSE)),"CHECK")</f>
        <v>45854</v>
      </c>
      <c r="H34" s="7" t="str">
        <f>IFERROR(VLOOKUP($A34,Orders[],MATCH(H$1,Orders[#Headers],0),FALSE),"CHECK")</f>
        <v>Plant 1 Canteen</v>
      </c>
      <c r="I34">
        <f>IFERROR(VLOOKUP(OrderLines[[#This Row],[OrderID]],Orders[],MATCH(OrderLines[[#Headers],[DiscountPct]],Orders[#Headers],0),FALSE),"CHECK")</f>
        <v>0.1</v>
      </c>
      <c r="J34" t="str">
        <f>IFERROR(VLOOKUP(OrderLines[[#This Row],[OrderID]],Orders[],MATCH(OrderLines[[#Headers],[Shift]],Orders[#Headers],0),FALSE),"CHECK")</f>
        <v>Breakfast</v>
      </c>
      <c r="K34" s="11">
        <f>OrderLines[[#This Row],[Qty]] * OrderLines[[#This Row],[UnitPrice]] * (1-OrderLines[[#This Row],[DiscountPct]])</f>
        <v>18.099</v>
      </c>
      <c r="L34">
        <f>OrderLines[[#This Row],[Qty]]*OrderLines[[#This Row],[UnitCost]]</f>
        <v>8</v>
      </c>
    </row>
    <row r="35" spans="1:12" x14ac:dyDescent="0.25">
      <c r="A35" t="s">
        <v>42</v>
      </c>
      <c r="B35" t="s">
        <v>405</v>
      </c>
      <c r="C35">
        <v>1</v>
      </c>
      <c r="D35" s="9">
        <f>IFERROR(VLOOKUP($B35,Menu[],MATCH(D$1,Menu[#Headers],0),FALSE),"CHECK")</f>
        <v>170.83</v>
      </c>
      <c r="E35" s="9">
        <f>IFERROR(VLOOKUP($B35,Menu[],MATCH(E$1,Menu[#Headers],0),FALSE),"CHECK")</f>
        <v>74.069999999999993</v>
      </c>
      <c r="F35" t="str">
        <f>IFERROR(VLOOKUP($B35,Menu[],MATCH(F$1,Menu[#Headers],0),FALSE),"CHECK")</f>
        <v>Hot Meal</v>
      </c>
      <c r="G35" s="7">
        <f>IFERROR(INT(VLOOKUP($A35,Orders[],MATCH("OrderDateTime",Orders[#Headers],0),FALSE)),"CHECK")</f>
        <v>45895</v>
      </c>
      <c r="H35" s="7" t="str">
        <f>IFERROR(VLOOKUP($A35,Orders[],MATCH(H$1,Orders[#Headers],0),FALSE),"CHECK")</f>
        <v>Head Office Café</v>
      </c>
      <c r="I35">
        <f>IFERROR(VLOOKUP(OrderLines[[#This Row],[OrderID]],Orders[],MATCH(OrderLines[[#Headers],[DiscountPct]],Orders[#Headers],0),FALSE),"CHECK")</f>
        <v>0.03</v>
      </c>
      <c r="J35" t="str">
        <f>IFERROR(VLOOKUP(OrderLines[[#This Row],[OrderID]],Orders[],MATCH(OrderLines[[#Headers],[Shift]],Orders[#Headers],0),FALSE),"CHECK")</f>
        <v>Lunch</v>
      </c>
      <c r="K35" s="11">
        <f>OrderLines[[#This Row],[Qty]] * OrderLines[[#This Row],[UnitPrice]] * (1-OrderLines[[#This Row],[DiscountPct]])</f>
        <v>165.70510000000002</v>
      </c>
      <c r="L35">
        <f>OrderLines[[#This Row],[Qty]]*OrderLines[[#This Row],[UnitCost]]</f>
        <v>74.069999999999993</v>
      </c>
    </row>
    <row r="36" spans="1:12" x14ac:dyDescent="0.25">
      <c r="A36" t="s">
        <v>42</v>
      </c>
      <c r="B36" t="s">
        <v>404</v>
      </c>
      <c r="C36">
        <v>3</v>
      </c>
      <c r="D36" s="9">
        <f>IFERROR(VLOOKUP($B36,Menu[],MATCH(D$1,Menu[#Headers],0),FALSE),"CHECK")</f>
        <v>32.979999999999997</v>
      </c>
      <c r="E36" s="9">
        <f>IFERROR(VLOOKUP($B36,Menu[],MATCH(E$1,Menu[#Headers],0),FALSE),"CHECK")</f>
        <v>11.84</v>
      </c>
      <c r="F36" t="str">
        <f>IFERROR(VLOOKUP($B36,Menu[],MATCH(F$1,Menu[#Headers],0),FALSE),"CHECK")</f>
        <v>Beverage</v>
      </c>
      <c r="G36" s="7">
        <f>IFERROR(INT(VLOOKUP($A36,Orders[],MATCH("OrderDateTime",Orders[#Headers],0),FALSE)),"CHECK")</f>
        <v>45895</v>
      </c>
      <c r="H36" s="7" t="str">
        <f>IFERROR(VLOOKUP($A36,Orders[],MATCH(H$1,Orders[#Headers],0),FALSE),"CHECK")</f>
        <v>Head Office Café</v>
      </c>
      <c r="I36">
        <f>IFERROR(VLOOKUP(OrderLines[[#This Row],[OrderID]],Orders[],MATCH(OrderLines[[#Headers],[DiscountPct]],Orders[#Headers],0),FALSE),"CHECK")</f>
        <v>0.03</v>
      </c>
      <c r="J36" t="str">
        <f>IFERROR(VLOOKUP(OrderLines[[#This Row],[OrderID]],Orders[],MATCH(OrderLines[[#Headers],[Shift]],Orders[#Headers],0),FALSE),"CHECK")</f>
        <v>Lunch</v>
      </c>
      <c r="K36" s="11">
        <f>OrderLines[[#This Row],[Qty]] * OrderLines[[#This Row],[UnitPrice]] * (1-OrderLines[[#This Row],[DiscountPct]])</f>
        <v>95.971800000000002</v>
      </c>
      <c r="L36">
        <f>OrderLines[[#This Row],[Qty]]*OrderLines[[#This Row],[UnitCost]]</f>
        <v>35.519999999999996</v>
      </c>
    </row>
    <row r="37" spans="1:12" x14ac:dyDescent="0.25">
      <c r="A37" t="s">
        <v>42</v>
      </c>
      <c r="B37" t="s">
        <v>403</v>
      </c>
      <c r="C37">
        <v>2</v>
      </c>
      <c r="D37" s="9">
        <f>IFERROR(VLOOKUP($B37,Menu[],MATCH(D$1,Menu[#Headers],0),FALSE),"CHECK")</f>
        <v>76.55</v>
      </c>
      <c r="E37" s="9">
        <f>IFERROR(VLOOKUP($B37,Menu[],MATCH(E$1,Menu[#Headers],0),FALSE),"CHECK")</f>
        <v>38.229999999999997</v>
      </c>
      <c r="F37" t="str">
        <f>IFERROR(VLOOKUP($B37,Menu[],MATCH(F$1,Menu[#Headers],0),FALSE),"CHECK")</f>
        <v>Dessert</v>
      </c>
      <c r="G37" s="7">
        <f>IFERROR(INT(VLOOKUP($A37,Orders[],MATCH("OrderDateTime",Orders[#Headers],0),FALSE)),"CHECK")</f>
        <v>45895</v>
      </c>
      <c r="H37" s="7" t="str">
        <f>IFERROR(VLOOKUP($A37,Orders[],MATCH(H$1,Orders[#Headers],0),FALSE),"CHECK")</f>
        <v>Head Office Café</v>
      </c>
      <c r="I37">
        <f>IFERROR(VLOOKUP(OrderLines[[#This Row],[OrderID]],Orders[],MATCH(OrderLines[[#Headers],[DiscountPct]],Orders[#Headers],0),FALSE),"CHECK")</f>
        <v>0.03</v>
      </c>
      <c r="J37" t="str">
        <f>IFERROR(VLOOKUP(OrderLines[[#This Row],[OrderID]],Orders[],MATCH(OrderLines[[#Headers],[Shift]],Orders[#Headers],0),FALSE),"CHECK")</f>
        <v>Lunch</v>
      </c>
      <c r="K37" s="11">
        <f>OrderLines[[#This Row],[Qty]] * OrderLines[[#This Row],[UnitPrice]] * (1-OrderLines[[#This Row],[DiscountPct]])</f>
        <v>148.50699999999998</v>
      </c>
      <c r="L37">
        <f>OrderLines[[#This Row],[Qty]]*OrderLines[[#This Row],[UnitCost]]</f>
        <v>76.459999999999994</v>
      </c>
    </row>
    <row r="38" spans="1:12" x14ac:dyDescent="0.25">
      <c r="A38" t="s">
        <v>44</v>
      </c>
      <c r="B38" t="s">
        <v>412</v>
      </c>
      <c r="C38">
        <v>1</v>
      </c>
      <c r="D38" s="9">
        <f>IFERROR(VLOOKUP($B38,Menu[],MATCH(D$1,Menu[#Headers],0),FALSE),"CHECK")</f>
        <v>57.07</v>
      </c>
      <c r="E38" s="9">
        <f>IFERROR(VLOOKUP($B38,Menu[],MATCH(E$1,Menu[#Headers],0),FALSE),"CHECK")</f>
        <v>29.14</v>
      </c>
      <c r="F38" t="str">
        <f>IFERROR(VLOOKUP($B38,Menu[],MATCH(F$1,Menu[#Headers],0),FALSE),"CHECK")</f>
        <v>Dessert</v>
      </c>
      <c r="G38" s="7">
        <f>IFERROR(INT(VLOOKUP($A38,Orders[],MATCH("OrderDateTime",Orders[#Headers],0),FALSE)),"CHECK")</f>
        <v>45844</v>
      </c>
      <c r="H38" s="7" t="str">
        <f>IFERROR(VLOOKUP($A38,Orders[],MATCH(H$1,Orders[#Headers],0),FALSE),"CHECK")</f>
        <v>Plant 1 Canteen</v>
      </c>
      <c r="I38">
        <f>IFERROR(VLOOKUP(OrderLines[[#This Row],[OrderID]],Orders[],MATCH(OrderLines[[#Headers],[DiscountPct]],Orders[#Headers],0),FALSE),"CHECK")</f>
        <v>0.05</v>
      </c>
      <c r="J38" t="str">
        <f>IFERROR(VLOOKUP(OrderLines[[#This Row],[OrderID]],Orders[],MATCH(OrderLines[[#Headers],[Shift]],Orders[#Headers],0),FALSE),"CHECK")</f>
        <v>Dinner</v>
      </c>
      <c r="K38" s="11">
        <f>OrderLines[[#This Row],[Qty]] * OrderLines[[#This Row],[UnitPrice]] * (1-OrderLines[[#This Row],[DiscountPct]])</f>
        <v>54.216499999999996</v>
      </c>
      <c r="L38">
        <f>OrderLines[[#This Row],[Qty]]*OrderLines[[#This Row],[UnitCost]]</f>
        <v>29.14</v>
      </c>
    </row>
    <row r="39" spans="1:12" x14ac:dyDescent="0.25">
      <c r="A39" t="s">
        <v>44</v>
      </c>
      <c r="B39" t="s">
        <v>408</v>
      </c>
      <c r="C39">
        <v>1</v>
      </c>
      <c r="D39" s="9">
        <f>IFERROR(VLOOKUP($B39,Menu[],MATCH(D$1,Menu[#Headers],0),FALSE),"CHECK")</f>
        <v>70.540000000000006</v>
      </c>
      <c r="E39" s="9">
        <f>IFERROR(VLOOKUP($B39,Menu[],MATCH(E$1,Menu[#Headers],0),FALSE),"CHECK")</f>
        <v>35.81</v>
      </c>
      <c r="F39" t="str">
        <f>IFERROR(VLOOKUP($B39,Menu[],MATCH(F$1,Menu[#Headers],0),FALSE),"CHECK")</f>
        <v>Snack</v>
      </c>
      <c r="G39" s="7">
        <f>IFERROR(INT(VLOOKUP($A39,Orders[],MATCH("OrderDateTime",Orders[#Headers],0),FALSE)),"CHECK")</f>
        <v>45844</v>
      </c>
      <c r="H39" s="7" t="str">
        <f>IFERROR(VLOOKUP($A39,Orders[],MATCH(H$1,Orders[#Headers],0),FALSE),"CHECK")</f>
        <v>Plant 1 Canteen</v>
      </c>
      <c r="I39">
        <f>IFERROR(VLOOKUP(OrderLines[[#This Row],[OrderID]],Orders[],MATCH(OrderLines[[#Headers],[DiscountPct]],Orders[#Headers],0),FALSE),"CHECK")</f>
        <v>0.05</v>
      </c>
      <c r="J39" t="str">
        <f>IFERROR(VLOOKUP(OrderLines[[#This Row],[OrderID]],Orders[],MATCH(OrderLines[[#Headers],[Shift]],Orders[#Headers],0),FALSE),"CHECK")</f>
        <v>Dinner</v>
      </c>
      <c r="K39" s="11">
        <f>OrderLines[[#This Row],[Qty]] * OrderLines[[#This Row],[UnitPrice]] * (1-OrderLines[[#This Row],[DiscountPct]])</f>
        <v>67.013000000000005</v>
      </c>
      <c r="L39">
        <f>OrderLines[[#This Row],[Qty]]*OrderLines[[#This Row],[UnitCost]]</f>
        <v>35.81</v>
      </c>
    </row>
    <row r="40" spans="1:12" x14ac:dyDescent="0.25">
      <c r="A40" t="s">
        <v>44</v>
      </c>
      <c r="B40" t="s">
        <v>401</v>
      </c>
      <c r="C40">
        <v>3</v>
      </c>
      <c r="D40" s="9">
        <f>IFERROR(VLOOKUP($B40,Menu[],MATCH(D$1,Menu[#Headers],0),FALSE),"CHECK")</f>
        <v>52.45</v>
      </c>
      <c r="E40" s="9">
        <f>IFERROR(VLOOKUP($B40,Menu[],MATCH(E$1,Menu[#Headers],0),FALSE),"CHECK")</f>
        <v>25.8</v>
      </c>
      <c r="F40" t="str">
        <f>IFERROR(VLOOKUP($B40,Menu[],MATCH(F$1,Menu[#Headers],0),FALSE),"CHECK")</f>
        <v>Snack</v>
      </c>
      <c r="G40" s="7">
        <f>IFERROR(INT(VLOOKUP($A40,Orders[],MATCH("OrderDateTime",Orders[#Headers],0),FALSE)),"CHECK")</f>
        <v>45844</v>
      </c>
      <c r="H40" s="7" t="str">
        <f>IFERROR(VLOOKUP($A40,Orders[],MATCH(H$1,Orders[#Headers],0),FALSE),"CHECK")</f>
        <v>Plant 1 Canteen</v>
      </c>
      <c r="I40">
        <f>IFERROR(VLOOKUP(OrderLines[[#This Row],[OrderID]],Orders[],MATCH(OrderLines[[#Headers],[DiscountPct]],Orders[#Headers],0),FALSE),"CHECK")</f>
        <v>0.05</v>
      </c>
      <c r="J40" t="str">
        <f>IFERROR(VLOOKUP(OrderLines[[#This Row],[OrderID]],Orders[],MATCH(OrderLines[[#Headers],[Shift]],Orders[#Headers],0),FALSE),"CHECK")</f>
        <v>Dinner</v>
      </c>
      <c r="K40" s="11">
        <f>OrderLines[[#This Row],[Qty]] * OrderLines[[#This Row],[UnitPrice]] * (1-OrderLines[[#This Row],[DiscountPct]])</f>
        <v>149.48250000000002</v>
      </c>
      <c r="L40">
        <f>OrderLines[[#This Row],[Qty]]*OrderLines[[#This Row],[UnitCost]]</f>
        <v>77.400000000000006</v>
      </c>
    </row>
    <row r="41" spans="1:12" x14ac:dyDescent="0.25">
      <c r="A41" t="s">
        <v>44</v>
      </c>
      <c r="B41" t="s">
        <v>416</v>
      </c>
      <c r="C41">
        <v>1</v>
      </c>
      <c r="D41" s="9">
        <f>IFERROR(VLOOKUP($B41,Menu[],MATCH(D$1,Menu[#Headers],0),FALSE),"CHECK")</f>
        <v>227.61</v>
      </c>
      <c r="E41" s="9">
        <f>IFERROR(VLOOKUP($B41,Menu[],MATCH(E$1,Menu[#Headers],0),FALSE),"CHECK")</f>
        <v>96.22</v>
      </c>
      <c r="F41" t="str">
        <f>IFERROR(VLOOKUP($B41,Menu[],MATCH(F$1,Menu[#Headers],0),FALSE),"CHECK")</f>
        <v>Hot Meal</v>
      </c>
      <c r="G41" s="7">
        <f>IFERROR(INT(VLOOKUP($A41,Orders[],MATCH("OrderDateTime",Orders[#Headers],0),FALSE)),"CHECK")</f>
        <v>45844</v>
      </c>
      <c r="H41" s="7" t="str">
        <f>IFERROR(VLOOKUP($A41,Orders[],MATCH(H$1,Orders[#Headers],0),FALSE),"CHECK")</f>
        <v>Plant 1 Canteen</v>
      </c>
      <c r="I41">
        <f>IFERROR(VLOOKUP(OrderLines[[#This Row],[OrderID]],Orders[],MATCH(OrderLines[[#Headers],[DiscountPct]],Orders[#Headers],0),FALSE),"CHECK")</f>
        <v>0.05</v>
      </c>
      <c r="J41" t="str">
        <f>IFERROR(VLOOKUP(OrderLines[[#This Row],[OrderID]],Orders[],MATCH(OrderLines[[#Headers],[Shift]],Orders[#Headers],0),FALSE),"CHECK")</f>
        <v>Dinner</v>
      </c>
      <c r="K41" s="11">
        <f>OrderLines[[#This Row],[Qty]] * OrderLines[[#This Row],[UnitPrice]] * (1-OrderLines[[#This Row],[DiscountPct]])</f>
        <v>216.2295</v>
      </c>
      <c r="L41">
        <f>OrderLines[[#This Row],[Qty]]*OrderLines[[#This Row],[UnitCost]]</f>
        <v>96.22</v>
      </c>
    </row>
    <row r="42" spans="1:12" x14ac:dyDescent="0.25">
      <c r="A42" t="s">
        <v>46</v>
      </c>
      <c r="B42" t="s">
        <v>404</v>
      </c>
      <c r="C42">
        <v>1</v>
      </c>
      <c r="D42" s="9">
        <f>IFERROR(VLOOKUP($B42,Menu[],MATCH(D$1,Menu[#Headers],0),FALSE),"CHECK")</f>
        <v>32.979999999999997</v>
      </c>
      <c r="E42" s="9">
        <f>IFERROR(VLOOKUP($B42,Menu[],MATCH(E$1,Menu[#Headers],0),FALSE),"CHECK")</f>
        <v>11.84</v>
      </c>
      <c r="F42" t="str">
        <f>IFERROR(VLOOKUP($B42,Menu[],MATCH(F$1,Menu[#Headers],0),FALSE),"CHECK")</f>
        <v>Beverage</v>
      </c>
      <c r="G42" s="7">
        <f>IFERROR(INT(VLOOKUP($A42,Orders[],MATCH("OrderDateTime",Orders[#Headers],0),FALSE)),"CHECK")</f>
        <v>45890</v>
      </c>
      <c r="H42" s="7" t="str">
        <f>IFERROR(VLOOKUP($A42,Orders[],MATCH(H$1,Orders[#Headers],0),FALSE),"CHECK")</f>
        <v>Plant 1 Canteen</v>
      </c>
      <c r="I42">
        <f>IFERROR(VLOOKUP(OrderLines[[#This Row],[OrderID]],Orders[],MATCH(OrderLines[[#Headers],[DiscountPct]],Orders[#Headers],0),FALSE),"CHECK")</f>
        <v>7.0000000000000007E-2</v>
      </c>
      <c r="J42" t="str">
        <f>IFERROR(VLOOKUP(OrderLines[[#This Row],[OrderID]],Orders[],MATCH(OrderLines[[#Headers],[Shift]],Orders[#Headers],0),FALSE),"CHECK")</f>
        <v>Dinner</v>
      </c>
      <c r="K42" s="11">
        <f>OrderLines[[#This Row],[Qty]] * OrderLines[[#This Row],[UnitPrice]] * (1-OrderLines[[#This Row],[DiscountPct]])</f>
        <v>30.671399999999995</v>
      </c>
      <c r="L42">
        <f>OrderLines[[#This Row],[Qty]]*OrderLines[[#This Row],[UnitCost]]</f>
        <v>11.84</v>
      </c>
    </row>
    <row r="43" spans="1:12" x14ac:dyDescent="0.25">
      <c r="A43" t="s">
        <v>47</v>
      </c>
      <c r="B43" t="s">
        <v>414</v>
      </c>
      <c r="C43">
        <v>1</v>
      </c>
      <c r="D43" s="9">
        <f>IFERROR(VLOOKUP($B43,Menu[],MATCH(D$1,Menu[#Headers],0),FALSE),"CHECK")</f>
        <v>116.8</v>
      </c>
      <c r="E43" s="9">
        <f>IFERROR(VLOOKUP($B43,Menu[],MATCH(E$1,Menu[#Headers],0),FALSE),"CHECK")</f>
        <v>48.97</v>
      </c>
      <c r="F43" t="str">
        <f>IFERROR(VLOOKUP($B43,Menu[],MATCH(F$1,Menu[#Headers],0),FALSE),"CHECK")</f>
        <v>Dessert</v>
      </c>
      <c r="G43" s="7">
        <f>IFERROR(INT(VLOOKUP($A43,Orders[],MATCH("OrderDateTime",Orders[#Headers],0),FALSE)),"CHECK")</f>
        <v>45857</v>
      </c>
      <c r="H43" s="7" t="str">
        <f>IFERROR(VLOOKUP($A43,Orders[],MATCH(H$1,Orders[#Headers],0),FALSE),"CHECK")</f>
        <v>Plant 1 Canteen</v>
      </c>
      <c r="I43">
        <f>IFERROR(VLOOKUP(OrderLines[[#This Row],[OrderID]],Orders[],MATCH(OrderLines[[#Headers],[DiscountPct]],Orders[#Headers],0),FALSE),"CHECK")</f>
        <v>0.1</v>
      </c>
      <c r="J43" t="str">
        <f>IFERROR(VLOOKUP(OrderLines[[#This Row],[OrderID]],Orders[],MATCH(OrderLines[[#Headers],[Shift]],Orders[#Headers],0),FALSE),"CHECK")</f>
        <v>Breakfast</v>
      </c>
      <c r="K43" s="11">
        <f>OrderLines[[#This Row],[Qty]] * OrderLines[[#This Row],[UnitPrice]] * (1-OrderLines[[#This Row],[DiscountPct]])</f>
        <v>105.12</v>
      </c>
      <c r="L43">
        <f>OrderLines[[#This Row],[Qty]]*OrderLines[[#This Row],[UnitCost]]</f>
        <v>48.97</v>
      </c>
    </row>
    <row r="44" spans="1:12" x14ac:dyDescent="0.25">
      <c r="A44" t="s">
        <v>47</v>
      </c>
      <c r="B44" t="s">
        <v>404</v>
      </c>
      <c r="C44">
        <v>2</v>
      </c>
      <c r="D44" s="9">
        <f>IFERROR(VLOOKUP($B44,Menu[],MATCH(D$1,Menu[#Headers],0),FALSE),"CHECK")</f>
        <v>32.979999999999997</v>
      </c>
      <c r="E44" s="9">
        <f>IFERROR(VLOOKUP($B44,Menu[],MATCH(E$1,Menu[#Headers],0),FALSE),"CHECK")</f>
        <v>11.84</v>
      </c>
      <c r="F44" t="str">
        <f>IFERROR(VLOOKUP($B44,Menu[],MATCH(F$1,Menu[#Headers],0),FALSE),"CHECK")</f>
        <v>Beverage</v>
      </c>
      <c r="G44" s="7">
        <f>IFERROR(INT(VLOOKUP($A44,Orders[],MATCH("OrderDateTime",Orders[#Headers],0),FALSE)),"CHECK")</f>
        <v>45857</v>
      </c>
      <c r="H44" s="7" t="str">
        <f>IFERROR(VLOOKUP($A44,Orders[],MATCH(H$1,Orders[#Headers],0),FALSE),"CHECK")</f>
        <v>Plant 1 Canteen</v>
      </c>
      <c r="I44">
        <f>IFERROR(VLOOKUP(OrderLines[[#This Row],[OrderID]],Orders[],MATCH(OrderLines[[#Headers],[DiscountPct]],Orders[#Headers],0),FALSE),"CHECK")</f>
        <v>0.1</v>
      </c>
      <c r="J44" t="str">
        <f>IFERROR(VLOOKUP(OrderLines[[#This Row],[OrderID]],Orders[],MATCH(OrderLines[[#Headers],[Shift]],Orders[#Headers],0),FALSE),"CHECK")</f>
        <v>Breakfast</v>
      </c>
      <c r="K44" s="11">
        <f>OrderLines[[#This Row],[Qty]] * OrderLines[[#This Row],[UnitPrice]] * (1-OrderLines[[#This Row],[DiscountPct]])</f>
        <v>59.363999999999997</v>
      </c>
      <c r="L44">
        <f>OrderLines[[#This Row],[Qty]]*OrderLines[[#This Row],[UnitCost]]</f>
        <v>23.68</v>
      </c>
    </row>
    <row r="45" spans="1:12" x14ac:dyDescent="0.25">
      <c r="A45" t="s">
        <v>49</v>
      </c>
      <c r="B45" t="s">
        <v>417</v>
      </c>
      <c r="C45">
        <v>1</v>
      </c>
      <c r="D45" s="9">
        <f>IFERROR(VLOOKUP($B45,Menu[],MATCH(D$1,Menu[#Headers],0),FALSE),"CHECK")</f>
        <v>146.4</v>
      </c>
      <c r="E45" s="9">
        <f>IFERROR(VLOOKUP($B45,Menu[],MATCH(E$1,Menu[#Headers],0),FALSE),"CHECK")</f>
        <v>80.92</v>
      </c>
      <c r="F45" t="str">
        <f>IFERROR(VLOOKUP($B45,Menu[],MATCH(F$1,Menu[#Headers],0),FALSE),"CHECK")</f>
        <v>Hot Meal</v>
      </c>
      <c r="G45" s="7">
        <f>IFERROR(INT(VLOOKUP($A45,Orders[],MATCH("OrderDateTime",Orders[#Headers],0),FALSE)),"CHECK")</f>
        <v>45878</v>
      </c>
      <c r="H45" s="7" t="str">
        <f>IFERROR(VLOOKUP($A45,Orders[],MATCH(H$1,Orders[#Headers],0),FALSE),"CHECK")</f>
        <v>Plant 1 Canteen</v>
      </c>
      <c r="I45">
        <f>IFERROR(VLOOKUP(OrderLines[[#This Row],[OrderID]],Orders[],MATCH(OrderLines[[#Headers],[DiscountPct]],Orders[#Headers],0),FALSE),"CHECK")</f>
        <v>0.04</v>
      </c>
      <c r="J45" t="str">
        <f>IFERROR(VLOOKUP(OrderLines[[#This Row],[OrderID]],Orders[],MATCH(OrderLines[[#Headers],[Shift]],Orders[#Headers],0),FALSE),"CHECK")</f>
        <v>Breakfast</v>
      </c>
      <c r="K45" s="11">
        <f>OrderLines[[#This Row],[Qty]] * OrderLines[[#This Row],[UnitPrice]] * (1-OrderLines[[#This Row],[DiscountPct]])</f>
        <v>140.54400000000001</v>
      </c>
      <c r="L45">
        <f>OrderLines[[#This Row],[Qty]]*OrderLines[[#This Row],[UnitCost]]</f>
        <v>80.92</v>
      </c>
    </row>
    <row r="46" spans="1:12" x14ac:dyDescent="0.25">
      <c r="A46" t="s">
        <v>49</v>
      </c>
      <c r="B46" t="s">
        <v>408</v>
      </c>
      <c r="C46">
        <v>1</v>
      </c>
      <c r="D46" s="9">
        <f>IFERROR(VLOOKUP($B46,Menu[],MATCH(D$1,Menu[#Headers],0),FALSE),"CHECK")</f>
        <v>70.540000000000006</v>
      </c>
      <c r="E46" s="9">
        <f>IFERROR(VLOOKUP($B46,Menu[],MATCH(E$1,Menu[#Headers],0),FALSE),"CHECK")</f>
        <v>35.81</v>
      </c>
      <c r="F46" t="str">
        <f>IFERROR(VLOOKUP($B46,Menu[],MATCH(F$1,Menu[#Headers],0),FALSE),"CHECK")</f>
        <v>Snack</v>
      </c>
      <c r="G46" s="7">
        <f>IFERROR(INT(VLOOKUP($A46,Orders[],MATCH("OrderDateTime",Orders[#Headers],0),FALSE)),"CHECK")</f>
        <v>45878</v>
      </c>
      <c r="H46" s="7" t="str">
        <f>IFERROR(VLOOKUP($A46,Orders[],MATCH(H$1,Orders[#Headers],0),FALSE),"CHECK")</f>
        <v>Plant 1 Canteen</v>
      </c>
      <c r="I46">
        <f>IFERROR(VLOOKUP(OrderLines[[#This Row],[OrderID]],Orders[],MATCH(OrderLines[[#Headers],[DiscountPct]],Orders[#Headers],0),FALSE),"CHECK")</f>
        <v>0.04</v>
      </c>
      <c r="J46" t="str">
        <f>IFERROR(VLOOKUP(OrderLines[[#This Row],[OrderID]],Orders[],MATCH(OrderLines[[#Headers],[Shift]],Orders[#Headers],0),FALSE),"CHECK")</f>
        <v>Breakfast</v>
      </c>
      <c r="K46" s="11">
        <f>OrderLines[[#This Row],[Qty]] * OrderLines[[#This Row],[UnitPrice]] * (1-OrderLines[[#This Row],[DiscountPct]])</f>
        <v>67.718400000000003</v>
      </c>
      <c r="L46">
        <f>OrderLines[[#This Row],[Qty]]*OrderLines[[#This Row],[UnitCost]]</f>
        <v>35.81</v>
      </c>
    </row>
    <row r="47" spans="1:12" x14ac:dyDescent="0.25">
      <c r="A47" t="s">
        <v>49</v>
      </c>
      <c r="B47" t="s">
        <v>415</v>
      </c>
      <c r="C47">
        <v>2</v>
      </c>
      <c r="D47" s="9">
        <f>IFERROR(VLOOKUP($B47,Menu[],MATCH(D$1,Menu[#Headers],0),FALSE),"CHECK")</f>
        <v>256.91000000000003</v>
      </c>
      <c r="E47" s="9">
        <f>IFERROR(VLOOKUP($B47,Menu[],MATCH(E$1,Menu[#Headers],0),FALSE),"CHECK")</f>
        <v>121.24</v>
      </c>
      <c r="F47" t="str">
        <f>IFERROR(VLOOKUP($B47,Menu[],MATCH(F$1,Menu[#Headers],0),FALSE),"CHECK")</f>
        <v>Hot Meal</v>
      </c>
      <c r="G47" s="7">
        <f>IFERROR(INT(VLOOKUP($A47,Orders[],MATCH("OrderDateTime",Orders[#Headers],0),FALSE)),"CHECK")</f>
        <v>45878</v>
      </c>
      <c r="H47" s="7" t="str">
        <f>IFERROR(VLOOKUP($A47,Orders[],MATCH(H$1,Orders[#Headers],0),FALSE),"CHECK")</f>
        <v>Plant 1 Canteen</v>
      </c>
      <c r="I47">
        <f>IFERROR(VLOOKUP(OrderLines[[#This Row],[OrderID]],Orders[],MATCH(OrderLines[[#Headers],[DiscountPct]],Orders[#Headers],0),FALSE),"CHECK")</f>
        <v>0.04</v>
      </c>
      <c r="J47" t="str">
        <f>IFERROR(VLOOKUP(OrderLines[[#This Row],[OrderID]],Orders[],MATCH(OrderLines[[#Headers],[Shift]],Orders[#Headers],0),FALSE),"CHECK")</f>
        <v>Breakfast</v>
      </c>
      <c r="K47" s="11">
        <f>OrderLines[[#This Row],[Qty]] * OrderLines[[#This Row],[UnitPrice]] * (1-OrderLines[[#This Row],[DiscountPct]])</f>
        <v>493.2672</v>
      </c>
      <c r="L47">
        <f>OrderLines[[#This Row],[Qty]]*OrderLines[[#This Row],[UnitCost]]</f>
        <v>242.48</v>
      </c>
    </row>
    <row r="48" spans="1:12" x14ac:dyDescent="0.25">
      <c r="A48" t="s">
        <v>50</v>
      </c>
      <c r="B48" t="s">
        <v>413</v>
      </c>
      <c r="C48">
        <v>3</v>
      </c>
      <c r="D48" s="9">
        <f>IFERROR(VLOOKUP($B48,Menu[],MATCH(D$1,Menu[#Headers],0),FALSE),"CHECK")</f>
        <v>54.2</v>
      </c>
      <c r="E48" s="9">
        <f>IFERROR(VLOOKUP($B48,Menu[],MATCH(E$1,Menu[#Headers],0),FALSE),"CHECK")</f>
        <v>21.95</v>
      </c>
      <c r="F48" t="str">
        <f>IFERROR(VLOOKUP($B48,Menu[],MATCH(F$1,Menu[#Headers],0),FALSE),"CHECK")</f>
        <v>Dessert</v>
      </c>
      <c r="G48" s="7">
        <f>IFERROR(INT(VLOOKUP($A48,Orders[],MATCH("OrderDateTime",Orders[#Headers],0),FALSE)),"CHECK")</f>
        <v>45847</v>
      </c>
      <c r="H48" s="7" t="str">
        <f>IFERROR(VLOOKUP($A48,Orders[],MATCH(H$1,Orders[#Headers],0),FALSE),"CHECK")</f>
        <v>Plant 2 Canteen</v>
      </c>
      <c r="I48">
        <f>IFERROR(VLOOKUP(OrderLines[[#This Row],[OrderID]],Orders[],MATCH(OrderLines[[#Headers],[DiscountPct]],Orders[#Headers],0),FALSE),"CHECK")</f>
        <v>0.05</v>
      </c>
      <c r="J48" t="str">
        <f>IFERROR(VLOOKUP(OrderLines[[#This Row],[OrderID]],Orders[],MATCH(OrderLines[[#Headers],[Shift]],Orders[#Headers],0),FALSE),"CHECK")</f>
        <v>Breakfast</v>
      </c>
      <c r="K48" s="11">
        <f>OrderLines[[#This Row],[Qty]] * OrderLines[[#This Row],[UnitPrice]] * (1-OrderLines[[#This Row],[DiscountPct]])</f>
        <v>154.47000000000003</v>
      </c>
      <c r="L48">
        <f>OrderLines[[#This Row],[Qty]]*OrderLines[[#This Row],[UnitCost]]</f>
        <v>65.849999999999994</v>
      </c>
    </row>
    <row r="49" spans="1:12" x14ac:dyDescent="0.25">
      <c r="A49" t="s">
        <v>50</v>
      </c>
      <c r="B49" t="s">
        <v>416</v>
      </c>
      <c r="C49">
        <v>1</v>
      </c>
      <c r="D49" s="9">
        <f>IFERROR(VLOOKUP($B49,Menu[],MATCH(D$1,Menu[#Headers],0),FALSE),"CHECK")</f>
        <v>227.61</v>
      </c>
      <c r="E49" s="9">
        <f>IFERROR(VLOOKUP($B49,Menu[],MATCH(E$1,Menu[#Headers],0),FALSE),"CHECK")</f>
        <v>96.22</v>
      </c>
      <c r="F49" t="str">
        <f>IFERROR(VLOOKUP($B49,Menu[],MATCH(F$1,Menu[#Headers],0),FALSE),"CHECK")</f>
        <v>Hot Meal</v>
      </c>
      <c r="G49" s="7">
        <f>IFERROR(INT(VLOOKUP($A49,Orders[],MATCH("OrderDateTime",Orders[#Headers],0),FALSE)),"CHECK")</f>
        <v>45847</v>
      </c>
      <c r="H49" s="7" t="str">
        <f>IFERROR(VLOOKUP($A49,Orders[],MATCH(H$1,Orders[#Headers],0),FALSE),"CHECK")</f>
        <v>Plant 2 Canteen</v>
      </c>
      <c r="I49">
        <f>IFERROR(VLOOKUP(OrderLines[[#This Row],[OrderID]],Orders[],MATCH(OrderLines[[#Headers],[DiscountPct]],Orders[#Headers],0),FALSE),"CHECK")</f>
        <v>0.05</v>
      </c>
      <c r="J49" t="str">
        <f>IFERROR(VLOOKUP(OrderLines[[#This Row],[OrderID]],Orders[],MATCH(OrderLines[[#Headers],[Shift]],Orders[#Headers],0),FALSE),"CHECK")</f>
        <v>Breakfast</v>
      </c>
      <c r="K49" s="11">
        <f>OrderLines[[#This Row],[Qty]] * OrderLines[[#This Row],[UnitPrice]] * (1-OrderLines[[#This Row],[DiscountPct]])</f>
        <v>216.2295</v>
      </c>
      <c r="L49">
        <f>OrderLines[[#This Row],[Qty]]*OrderLines[[#This Row],[UnitCost]]</f>
        <v>96.22</v>
      </c>
    </row>
    <row r="50" spans="1:12" x14ac:dyDescent="0.25">
      <c r="A50" t="s">
        <v>50</v>
      </c>
      <c r="B50" t="s">
        <v>404</v>
      </c>
      <c r="C50">
        <v>1</v>
      </c>
      <c r="D50" s="9">
        <f>IFERROR(VLOOKUP($B50,Menu[],MATCH(D$1,Menu[#Headers],0),FALSE),"CHECK")</f>
        <v>32.979999999999997</v>
      </c>
      <c r="E50" s="9">
        <f>IFERROR(VLOOKUP($B50,Menu[],MATCH(E$1,Menu[#Headers],0),FALSE),"CHECK")</f>
        <v>11.84</v>
      </c>
      <c r="F50" t="str">
        <f>IFERROR(VLOOKUP($B50,Menu[],MATCH(F$1,Menu[#Headers],0),FALSE),"CHECK")</f>
        <v>Beverage</v>
      </c>
      <c r="G50" s="7">
        <f>IFERROR(INT(VLOOKUP($A50,Orders[],MATCH("OrderDateTime",Orders[#Headers],0),FALSE)),"CHECK")</f>
        <v>45847</v>
      </c>
      <c r="H50" s="7" t="str">
        <f>IFERROR(VLOOKUP($A50,Orders[],MATCH(H$1,Orders[#Headers],0),FALSE),"CHECK")</f>
        <v>Plant 2 Canteen</v>
      </c>
      <c r="I50">
        <f>IFERROR(VLOOKUP(OrderLines[[#This Row],[OrderID]],Orders[],MATCH(OrderLines[[#Headers],[DiscountPct]],Orders[#Headers],0),FALSE),"CHECK")</f>
        <v>0.05</v>
      </c>
      <c r="J50" t="str">
        <f>IFERROR(VLOOKUP(OrderLines[[#This Row],[OrderID]],Orders[],MATCH(OrderLines[[#Headers],[Shift]],Orders[#Headers],0),FALSE),"CHECK")</f>
        <v>Breakfast</v>
      </c>
      <c r="K50" s="11">
        <f>OrderLines[[#This Row],[Qty]] * OrderLines[[#This Row],[UnitPrice]] * (1-OrderLines[[#This Row],[DiscountPct]])</f>
        <v>31.330999999999996</v>
      </c>
      <c r="L50">
        <f>OrderLines[[#This Row],[Qty]]*OrderLines[[#This Row],[UnitCost]]</f>
        <v>11.84</v>
      </c>
    </row>
    <row r="51" spans="1:12" x14ac:dyDescent="0.25">
      <c r="A51" t="s">
        <v>50</v>
      </c>
      <c r="B51" t="s">
        <v>403</v>
      </c>
      <c r="C51">
        <v>1</v>
      </c>
      <c r="D51" s="9">
        <f>IFERROR(VLOOKUP($B51,Menu[],MATCH(D$1,Menu[#Headers],0),FALSE),"CHECK")</f>
        <v>76.55</v>
      </c>
      <c r="E51" s="9">
        <f>IFERROR(VLOOKUP($B51,Menu[],MATCH(E$1,Menu[#Headers],0),FALSE),"CHECK")</f>
        <v>38.229999999999997</v>
      </c>
      <c r="F51" t="str">
        <f>IFERROR(VLOOKUP($B51,Menu[],MATCH(F$1,Menu[#Headers],0),FALSE),"CHECK")</f>
        <v>Dessert</v>
      </c>
      <c r="G51" s="7">
        <f>IFERROR(INT(VLOOKUP($A51,Orders[],MATCH("OrderDateTime",Orders[#Headers],0),FALSE)),"CHECK")</f>
        <v>45847</v>
      </c>
      <c r="H51" s="7" t="str">
        <f>IFERROR(VLOOKUP($A51,Orders[],MATCH(H$1,Orders[#Headers],0),FALSE),"CHECK")</f>
        <v>Plant 2 Canteen</v>
      </c>
      <c r="I51">
        <f>IFERROR(VLOOKUP(OrderLines[[#This Row],[OrderID]],Orders[],MATCH(OrderLines[[#Headers],[DiscountPct]],Orders[#Headers],0),FALSE),"CHECK")</f>
        <v>0.05</v>
      </c>
      <c r="J51" t="str">
        <f>IFERROR(VLOOKUP(OrderLines[[#This Row],[OrderID]],Orders[],MATCH(OrderLines[[#Headers],[Shift]],Orders[#Headers],0),FALSE),"CHECK")</f>
        <v>Breakfast</v>
      </c>
      <c r="K51" s="11">
        <f>OrderLines[[#This Row],[Qty]] * OrderLines[[#This Row],[UnitPrice]] * (1-OrderLines[[#This Row],[DiscountPct]])</f>
        <v>72.722499999999997</v>
      </c>
      <c r="L51">
        <f>OrderLines[[#This Row],[Qty]]*OrderLines[[#This Row],[UnitCost]]</f>
        <v>38.229999999999997</v>
      </c>
    </row>
    <row r="52" spans="1:12" x14ac:dyDescent="0.25">
      <c r="A52" t="s">
        <v>51</v>
      </c>
      <c r="B52" t="s">
        <v>401</v>
      </c>
      <c r="C52">
        <v>3</v>
      </c>
      <c r="D52" s="9">
        <f>IFERROR(VLOOKUP($B52,Menu[],MATCH(D$1,Menu[#Headers],0),FALSE),"CHECK")</f>
        <v>52.45</v>
      </c>
      <c r="E52" s="9">
        <f>IFERROR(VLOOKUP($B52,Menu[],MATCH(E$1,Menu[#Headers],0),FALSE),"CHECK")</f>
        <v>25.8</v>
      </c>
      <c r="F52" t="str">
        <f>IFERROR(VLOOKUP($B52,Menu[],MATCH(F$1,Menu[#Headers],0),FALSE),"CHECK")</f>
        <v>Snack</v>
      </c>
      <c r="G52" s="7">
        <f>IFERROR(INT(VLOOKUP($A52,Orders[],MATCH("OrderDateTime",Orders[#Headers],0),FALSE)),"CHECK")</f>
        <v>45869</v>
      </c>
      <c r="H52" s="7" t="str">
        <f>IFERROR(VLOOKUP($A52,Orders[],MATCH(H$1,Orders[#Headers],0),FALSE),"CHECK")</f>
        <v>Plant 2 Canteen</v>
      </c>
      <c r="I52">
        <f>IFERROR(VLOOKUP(OrderLines[[#This Row],[OrderID]],Orders[],MATCH(OrderLines[[#Headers],[DiscountPct]],Orders[#Headers],0),FALSE),"CHECK")</f>
        <v>0.02</v>
      </c>
      <c r="J52" t="str">
        <f>IFERROR(VLOOKUP(OrderLines[[#This Row],[OrderID]],Orders[],MATCH(OrderLines[[#Headers],[Shift]],Orders[#Headers],0),FALSE),"CHECK")</f>
        <v>Dinner</v>
      </c>
      <c r="K52" s="11">
        <f>OrderLines[[#This Row],[Qty]] * OrderLines[[#This Row],[UnitPrice]] * (1-OrderLines[[#This Row],[DiscountPct]])</f>
        <v>154.20300000000003</v>
      </c>
      <c r="L52">
        <f>OrderLines[[#This Row],[Qty]]*OrderLines[[#This Row],[UnitCost]]</f>
        <v>77.400000000000006</v>
      </c>
    </row>
    <row r="53" spans="1:12" x14ac:dyDescent="0.25">
      <c r="A53" t="s">
        <v>51</v>
      </c>
      <c r="B53" t="s">
        <v>418</v>
      </c>
      <c r="C53">
        <v>1</v>
      </c>
      <c r="D53" s="9">
        <f>IFERROR(VLOOKUP($B53,Menu[],MATCH(D$1,Menu[#Headers],0),FALSE),"CHECK")</f>
        <v>39.950000000000003</v>
      </c>
      <c r="E53" s="9">
        <f>IFERROR(VLOOKUP($B53,Menu[],MATCH(E$1,Menu[#Headers],0),FALSE),"CHECK")</f>
        <v>15.51</v>
      </c>
      <c r="F53" t="str">
        <f>IFERROR(VLOOKUP($B53,Menu[],MATCH(F$1,Menu[#Headers],0),FALSE),"CHECK")</f>
        <v>Snack</v>
      </c>
      <c r="G53" s="7">
        <f>IFERROR(INT(VLOOKUP($A53,Orders[],MATCH("OrderDateTime",Orders[#Headers],0),FALSE)),"CHECK")</f>
        <v>45869</v>
      </c>
      <c r="H53" s="7" t="str">
        <f>IFERROR(VLOOKUP($A53,Orders[],MATCH(H$1,Orders[#Headers],0),FALSE),"CHECK")</f>
        <v>Plant 2 Canteen</v>
      </c>
      <c r="I53">
        <f>IFERROR(VLOOKUP(OrderLines[[#This Row],[OrderID]],Orders[],MATCH(OrderLines[[#Headers],[DiscountPct]],Orders[#Headers],0),FALSE),"CHECK")</f>
        <v>0.02</v>
      </c>
      <c r="J53" t="str">
        <f>IFERROR(VLOOKUP(OrderLines[[#This Row],[OrderID]],Orders[],MATCH(OrderLines[[#Headers],[Shift]],Orders[#Headers],0),FALSE),"CHECK")</f>
        <v>Dinner</v>
      </c>
      <c r="K53" s="11">
        <f>OrderLines[[#This Row],[Qty]] * OrderLines[[#This Row],[UnitPrice]] * (1-OrderLines[[#This Row],[DiscountPct]])</f>
        <v>39.151000000000003</v>
      </c>
      <c r="L53">
        <f>OrderLines[[#This Row],[Qty]]*OrderLines[[#This Row],[UnitCost]]</f>
        <v>15.51</v>
      </c>
    </row>
    <row r="54" spans="1:12" x14ac:dyDescent="0.25">
      <c r="A54" t="s">
        <v>51</v>
      </c>
      <c r="B54" t="s">
        <v>419</v>
      </c>
      <c r="C54">
        <v>2</v>
      </c>
      <c r="D54" s="9">
        <f>IFERROR(VLOOKUP($B54,Menu[],MATCH(D$1,Menu[#Headers],0),FALSE),"CHECK")</f>
        <v>50.19</v>
      </c>
      <c r="E54" s="9">
        <f>IFERROR(VLOOKUP($B54,Menu[],MATCH(E$1,Menu[#Headers],0),FALSE),"CHECK")</f>
        <v>22.61</v>
      </c>
      <c r="F54" t="str">
        <f>IFERROR(VLOOKUP($B54,Menu[],MATCH(F$1,Menu[#Headers],0),FALSE),"CHECK")</f>
        <v>Snack</v>
      </c>
      <c r="G54" s="7">
        <f>IFERROR(INT(VLOOKUP($A54,Orders[],MATCH("OrderDateTime",Orders[#Headers],0),FALSE)),"CHECK")</f>
        <v>45869</v>
      </c>
      <c r="H54" s="7" t="str">
        <f>IFERROR(VLOOKUP($A54,Orders[],MATCH(H$1,Orders[#Headers],0),FALSE),"CHECK")</f>
        <v>Plant 2 Canteen</v>
      </c>
      <c r="I54">
        <f>IFERROR(VLOOKUP(OrderLines[[#This Row],[OrderID]],Orders[],MATCH(OrderLines[[#Headers],[DiscountPct]],Orders[#Headers],0),FALSE),"CHECK")</f>
        <v>0.02</v>
      </c>
      <c r="J54" t="str">
        <f>IFERROR(VLOOKUP(OrderLines[[#This Row],[OrderID]],Orders[],MATCH(OrderLines[[#Headers],[Shift]],Orders[#Headers],0),FALSE),"CHECK")</f>
        <v>Dinner</v>
      </c>
      <c r="K54" s="11">
        <f>OrderLines[[#This Row],[Qty]] * OrderLines[[#This Row],[UnitPrice]] * (1-OrderLines[[#This Row],[DiscountPct]])</f>
        <v>98.372399999999999</v>
      </c>
      <c r="L54">
        <f>OrderLines[[#This Row],[Qty]]*OrderLines[[#This Row],[UnitCost]]</f>
        <v>45.22</v>
      </c>
    </row>
    <row r="55" spans="1:12" x14ac:dyDescent="0.25">
      <c r="A55" t="s">
        <v>52</v>
      </c>
      <c r="B55" t="s">
        <v>413</v>
      </c>
      <c r="C55">
        <v>1</v>
      </c>
      <c r="D55" s="9">
        <f>IFERROR(VLOOKUP($B55,Menu[],MATCH(D$1,Menu[#Headers],0),FALSE),"CHECK")</f>
        <v>54.2</v>
      </c>
      <c r="E55" s="9">
        <f>IFERROR(VLOOKUP($B55,Menu[],MATCH(E$1,Menu[#Headers],0),FALSE),"CHECK")</f>
        <v>21.95</v>
      </c>
      <c r="F55" t="str">
        <f>IFERROR(VLOOKUP($B55,Menu[],MATCH(F$1,Menu[#Headers],0),FALSE),"CHECK")</f>
        <v>Dessert</v>
      </c>
      <c r="G55" s="7">
        <f>IFERROR(INT(VLOOKUP($A55,Orders[],MATCH("OrderDateTime",Orders[#Headers],0),FALSE)),"CHECK")</f>
        <v>45862</v>
      </c>
      <c r="H55" s="7" t="str">
        <f>IFERROR(VLOOKUP($A55,Orders[],MATCH(H$1,Orders[#Headers],0),FALSE),"CHECK")</f>
        <v>Plant 2 Canteen</v>
      </c>
      <c r="I55">
        <f>IFERROR(VLOOKUP(OrderLines[[#This Row],[OrderID]],Orders[],MATCH(OrderLines[[#Headers],[DiscountPct]],Orders[#Headers],0),FALSE),"CHECK")</f>
        <v>0.01</v>
      </c>
      <c r="J55" t="str">
        <f>IFERROR(VLOOKUP(OrderLines[[#This Row],[OrderID]],Orders[],MATCH(OrderLines[[#Headers],[Shift]],Orders[#Headers],0),FALSE),"CHECK")</f>
        <v>Breakfast</v>
      </c>
      <c r="K55" s="11">
        <f>OrderLines[[#This Row],[Qty]] * OrderLines[[#This Row],[UnitPrice]] * (1-OrderLines[[#This Row],[DiscountPct]])</f>
        <v>53.658000000000001</v>
      </c>
      <c r="L55">
        <f>OrderLines[[#This Row],[Qty]]*OrderLines[[#This Row],[UnitCost]]</f>
        <v>21.95</v>
      </c>
    </row>
    <row r="56" spans="1:12" x14ac:dyDescent="0.25">
      <c r="A56" t="s">
        <v>52</v>
      </c>
      <c r="B56" t="s">
        <v>409</v>
      </c>
      <c r="C56">
        <v>2</v>
      </c>
      <c r="D56" s="9">
        <f>IFERROR(VLOOKUP($B56,Menu[],MATCH(D$1,Menu[#Headers],0),FALSE),"CHECK")</f>
        <v>28.43</v>
      </c>
      <c r="E56" s="9">
        <f>IFERROR(VLOOKUP($B56,Menu[],MATCH(E$1,Menu[#Headers],0),FALSE),"CHECK")</f>
        <v>13.89</v>
      </c>
      <c r="F56" t="str">
        <f>IFERROR(VLOOKUP($B56,Menu[],MATCH(F$1,Menu[#Headers],0),FALSE),"CHECK")</f>
        <v>Beverage</v>
      </c>
      <c r="G56" s="7">
        <f>IFERROR(INT(VLOOKUP($A56,Orders[],MATCH("OrderDateTime",Orders[#Headers],0),FALSE)),"CHECK")</f>
        <v>45862</v>
      </c>
      <c r="H56" s="7" t="str">
        <f>IFERROR(VLOOKUP($A56,Orders[],MATCH(H$1,Orders[#Headers],0),FALSE),"CHECK")</f>
        <v>Plant 2 Canteen</v>
      </c>
      <c r="I56">
        <f>IFERROR(VLOOKUP(OrderLines[[#This Row],[OrderID]],Orders[],MATCH(OrderLines[[#Headers],[DiscountPct]],Orders[#Headers],0),FALSE),"CHECK")</f>
        <v>0.01</v>
      </c>
      <c r="J56" t="str">
        <f>IFERROR(VLOOKUP(OrderLines[[#This Row],[OrderID]],Orders[],MATCH(OrderLines[[#Headers],[Shift]],Orders[#Headers],0),FALSE),"CHECK")</f>
        <v>Breakfast</v>
      </c>
      <c r="K56" s="11">
        <f>OrderLines[[#This Row],[Qty]] * OrderLines[[#This Row],[UnitPrice]] * (1-OrderLines[[#This Row],[DiscountPct]])</f>
        <v>56.291399999999996</v>
      </c>
      <c r="L56">
        <f>OrderLines[[#This Row],[Qty]]*OrderLines[[#This Row],[UnitCost]]</f>
        <v>27.78</v>
      </c>
    </row>
    <row r="57" spans="1:12" x14ac:dyDescent="0.25">
      <c r="A57" t="s">
        <v>52</v>
      </c>
      <c r="B57" t="s">
        <v>415</v>
      </c>
      <c r="C57">
        <v>1</v>
      </c>
      <c r="D57" s="9">
        <f>IFERROR(VLOOKUP($B57,Menu[],MATCH(D$1,Menu[#Headers],0),FALSE),"CHECK")</f>
        <v>256.91000000000003</v>
      </c>
      <c r="E57" s="9">
        <f>IFERROR(VLOOKUP($B57,Menu[],MATCH(E$1,Menu[#Headers],0),FALSE),"CHECK")</f>
        <v>121.24</v>
      </c>
      <c r="F57" t="str">
        <f>IFERROR(VLOOKUP($B57,Menu[],MATCH(F$1,Menu[#Headers],0),FALSE),"CHECK")</f>
        <v>Hot Meal</v>
      </c>
      <c r="G57" s="7">
        <f>IFERROR(INT(VLOOKUP($A57,Orders[],MATCH("OrderDateTime",Orders[#Headers],0),FALSE)),"CHECK")</f>
        <v>45862</v>
      </c>
      <c r="H57" s="7" t="str">
        <f>IFERROR(VLOOKUP($A57,Orders[],MATCH(H$1,Orders[#Headers],0),FALSE),"CHECK")</f>
        <v>Plant 2 Canteen</v>
      </c>
      <c r="I57">
        <f>IFERROR(VLOOKUP(OrderLines[[#This Row],[OrderID]],Orders[],MATCH(OrderLines[[#Headers],[DiscountPct]],Orders[#Headers],0),FALSE),"CHECK")</f>
        <v>0.01</v>
      </c>
      <c r="J57" t="str">
        <f>IFERROR(VLOOKUP(OrderLines[[#This Row],[OrderID]],Orders[],MATCH(OrderLines[[#Headers],[Shift]],Orders[#Headers],0),FALSE),"CHECK")</f>
        <v>Breakfast</v>
      </c>
      <c r="K57" s="11">
        <f>OrderLines[[#This Row],[Qty]] * OrderLines[[#This Row],[UnitPrice]] * (1-OrderLines[[#This Row],[DiscountPct]])</f>
        <v>254.34090000000003</v>
      </c>
      <c r="L57">
        <f>OrderLines[[#This Row],[Qty]]*OrderLines[[#This Row],[UnitCost]]</f>
        <v>121.24</v>
      </c>
    </row>
    <row r="58" spans="1:12" x14ac:dyDescent="0.25">
      <c r="A58" t="s">
        <v>53</v>
      </c>
      <c r="B58" t="s">
        <v>410</v>
      </c>
      <c r="C58">
        <v>1</v>
      </c>
      <c r="D58" s="9">
        <f>IFERROR(VLOOKUP($B58,Menu[],MATCH(D$1,Menu[#Headers],0),FALSE),"CHECK")</f>
        <v>20.11</v>
      </c>
      <c r="E58" s="9">
        <f>IFERROR(VLOOKUP($B58,Menu[],MATCH(E$1,Menu[#Headers],0),FALSE),"CHECK")</f>
        <v>8</v>
      </c>
      <c r="F58" t="str">
        <f>IFERROR(VLOOKUP($B58,Menu[],MATCH(F$1,Menu[#Headers],0),FALSE),"CHECK")</f>
        <v>Beverage</v>
      </c>
      <c r="G58" s="7">
        <f>IFERROR(INT(VLOOKUP($A58,Orders[],MATCH("OrderDateTime",Orders[#Headers],0),FALSE)),"CHECK")</f>
        <v>45883</v>
      </c>
      <c r="H58" s="7" t="str">
        <f>IFERROR(VLOOKUP($A58,Orders[],MATCH(H$1,Orders[#Headers],0),FALSE),"CHECK")</f>
        <v>Plant 2 Canteen</v>
      </c>
      <c r="I58">
        <f>IFERROR(VLOOKUP(OrderLines[[#This Row],[OrderID]],Orders[],MATCH(OrderLines[[#Headers],[DiscountPct]],Orders[#Headers],0),FALSE),"CHECK")</f>
        <v>0.09</v>
      </c>
      <c r="J58" t="str">
        <f>IFERROR(VLOOKUP(OrderLines[[#This Row],[OrderID]],Orders[],MATCH(OrderLines[[#Headers],[Shift]],Orders[#Headers],0),FALSE),"CHECK")</f>
        <v>Lunch</v>
      </c>
      <c r="K58" s="11">
        <f>OrderLines[[#This Row],[Qty]] * OrderLines[[#This Row],[UnitPrice]] * (1-OrderLines[[#This Row],[DiscountPct]])</f>
        <v>18.3001</v>
      </c>
      <c r="L58">
        <f>OrderLines[[#This Row],[Qty]]*OrderLines[[#This Row],[UnitCost]]</f>
        <v>8</v>
      </c>
    </row>
    <row r="59" spans="1:12" x14ac:dyDescent="0.25">
      <c r="A59" t="s">
        <v>53</v>
      </c>
      <c r="B59" t="s">
        <v>407</v>
      </c>
      <c r="C59">
        <v>1</v>
      </c>
      <c r="D59" s="9">
        <f>IFERROR(VLOOKUP($B59,Menu[],MATCH(D$1,Menu[#Headers],0),FALSE),"CHECK")</f>
        <v>246.09</v>
      </c>
      <c r="E59" s="9">
        <f>IFERROR(VLOOKUP($B59,Menu[],MATCH(E$1,Menu[#Headers],0),FALSE),"CHECK")</f>
        <v>112.08</v>
      </c>
      <c r="F59" t="str">
        <f>IFERROR(VLOOKUP($B59,Menu[],MATCH(F$1,Menu[#Headers],0),FALSE),"CHECK")</f>
        <v>Hot Meal</v>
      </c>
      <c r="G59" s="7">
        <f>IFERROR(INT(VLOOKUP($A59,Orders[],MATCH("OrderDateTime",Orders[#Headers],0),FALSE)),"CHECK")</f>
        <v>45883</v>
      </c>
      <c r="H59" s="7" t="str">
        <f>IFERROR(VLOOKUP($A59,Orders[],MATCH(H$1,Orders[#Headers],0),FALSE),"CHECK")</f>
        <v>Plant 2 Canteen</v>
      </c>
      <c r="I59">
        <f>IFERROR(VLOOKUP(OrderLines[[#This Row],[OrderID]],Orders[],MATCH(OrderLines[[#Headers],[DiscountPct]],Orders[#Headers],0),FALSE),"CHECK")</f>
        <v>0.09</v>
      </c>
      <c r="J59" t="str">
        <f>IFERROR(VLOOKUP(OrderLines[[#This Row],[OrderID]],Orders[],MATCH(OrderLines[[#Headers],[Shift]],Orders[#Headers],0),FALSE),"CHECK")</f>
        <v>Lunch</v>
      </c>
      <c r="K59" s="11">
        <f>OrderLines[[#This Row],[Qty]] * OrderLines[[#This Row],[UnitPrice]] * (1-OrderLines[[#This Row],[DiscountPct]])</f>
        <v>223.9419</v>
      </c>
      <c r="L59">
        <f>OrderLines[[#This Row],[Qty]]*OrderLines[[#This Row],[UnitCost]]</f>
        <v>112.08</v>
      </c>
    </row>
    <row r="60" spans="1:12" x14ac:dyDescent="0.25">
      <c r="A60" t="s">
        <v>54</v>
      </c>
      <c r="B60" t="s">
        <v>417</v>
      </c>
      <c r="C60">
        <v>3</v>
      </c>
      <c r="D60" s="9">
        <f>IFERROR(VLOOKUP($B60,Menu[],MATCH(D$1,Menu[#Headers],0),FALSE),"CHECK")</f>
        <v>146.4</v>
      </c>
      <c r="E60" s="9">
        <f>IFERROR(VLOOKUP($B60,Menu[],MATCH(E$1,Menu[#Headers],0),FALSE),"CHECK")</f>
        <v>80.92</v>
      </c>
      <c r="F60" t="str">
        <f>IFERROR(VLOOKUP($B60,Menu[],MATCH(F$1,Menu[#Headers],0),FALSE),"CHECK")</f>
        <v>Hot Meal</v>
      </c>
      <c r="G60" s="7">
        <f>IFERROR(INT(VLOOKUP($A60,Orders[],MATCH("OrderDateTime",Orders[#Headers],0),FALSE)),"CHECK")</f>
        <v>45893</v>
      </c>
      <c r="H60" s="7" t="str">
        <f>IFERROR(VLOOKUP($A60,Orders[],MATCH(H$1,Orders[#Headers],0),FALSE),"CHECK")</f>
        <v>Plant 1 Canteen</v>
      </c>
      <c r="I60">
        <f>IFERROR(VLOOKUP(OrderLines[[#This Row],[OrderID]],Orders[],MATCH(OrderLines[[#Headers],[DiscountPct]],Orders[#Headers],0),FALSE),"CHECK")</f>
        <v>0.11</v>
      </c>
      <c r="J60" t="str">
        <f>IFERROR(VLOOKUP(OrderLines[[#This Row],[OrderID]],Orders[],MATCH(OrderLines[[#Headers],[Shift]],Orders[#Headers],0),FALSE),"CHECK")</f>
        <v>Dinner</v>
      </c>
      <c r="K60" s="11">
        <f>OrderLines[[#This Row],[Qty]] * OrderLines[[#This Row],[UnitPrice]] * (1-OrderLines[[#This Row],[DiscountPct]])</f>
        <v>390.88800000000003</v>
      </c>
      <c r="L60">
        <f>OrderLines[[#This Row],[Qty]]*OrderLines[[#This Row],[UnitCost]]</f>
        <v>242.76</v>
      </c>
    </row>
    <row r="61" spans="1:12" x14ac:dyDescent="0.25">
      <c r="A61" t="s">
        <v>56</v>
      </c>
      <c r="B61" t="s">
        <v>419</v>
      </c>
      <c r="C61">
        <v>1</v>
      </c>
      <c r="D61" s="9">
        <f>IFERROR(VLOOKUP($B61,Menu[],MATCH(D$1,Menu[#Headers],0),FALSE),"CHECK")</f>
        <v>50.19</v>
      </c>
      <c r="E61" s="9">
        <f>IFERROR(VLOOKUP($B61,Menu[],MATCH(E$1,Menu[#Headers],0),FALSE),"CHECK")</f>
        <v>22.61</v>
      </c>
      <c r="F61" t="str">
        <f>IFERROR(VLOOKUP($B61,Menu[],MATCH(F$1,Menu[#Headers],0),FALSE),"CHECK")</f>
        <v>Snack</v>
      </c>
      <c r="G61" s="7">
        <f>IFERROR(INT(VLOOKUP($A61,Orders[],MATCH("OrderDateTime",Orders[#Headers],0),FALSE)),"CHECK")</f>
        <v>45888</v>
      </c>
      <c r="H61" s="7" t="str">
        <f>IFERROR(VLOOKUP($A61,Orders[],MATCH(H$1,Orders[#Headers],0),FALSE),"CHECK")</f>
        <v>Plant 2 Canteen</v>
      </c>
      <c r="I61">
        <f>IFERROR(VLOOKUP(OrderLines[[#This Row],[OrderID]],Orders[],MATCH(OrderLines[[#Headers],[DiscountPct]],Orders[#Headers],0),FALSE),"CHECK")</f>
        <v>0.06</v>
      </c>
      <c r="J61" t="str">
        <f>IFERROR(VLOOKUP(OrderLines[[#This Row],[OrderID]],Orders[],MATCH(OrderLines[[#Headers],[Shift]],Orders[#Headers],0),FALSE),"CHECK")</f>
        <v>Breakfast</v>
      </c>
      <c r="K61" s="11">
        <f>OrderLines[[#This Row],[Qty]] * OrderLines[[#This Row],[UnitPrice]] * (1-OrderLines[[#This Row],[DiscountPct]])</f>
        <v>47.178599999999996</v>
      </c>
      <c r="L61">
        <f>OrderLines[[#This Row],[Qty]]*OrderLines[[#This Row],[UnitCost]]</f>
        <v>22.61</v>
      </c>
    </row>
    <row r="62" spans="1:12" x14ac:dyDescent="0.25">
      <c r="A62" t="s">
        <v>57</v>
      </c>
      <c r="B62" t="s">
        <v>401</v>
      </c>
      <c r="C62">
        <v>1</v>
      </c>
      <c r="D62" s="9">
        <f>IFERROR(VLOOKUP($B62,Menu[],MATCH(D$1,Menu[#Headers],0),FALSE),"CHECK")</f>
        <v>52.45</v>
      </c>
      <c r="E62" s="9">
        <f>IFERROR(VLOOKUP($B62,Menu[],MATCH(E$1,Menu[#Headers],0),FALSE),"CHECK")</f>
        <v>25.8</v>
      </c>
      <c r="F62" t="str">
        <f>IFERROR(VLOOKUP($B62,Menu[],MATCH(F$1,Menu[#Headers],0),FALSE),"CHECK")</f>
        <v>Snack</v>
      </c>
      <c r="G62" s="7">
        <f>IFERROR(INT(VLOOKUP($A62,Orders[],MATCH("OrderDateTime",Orders[#Headers],0),FALSE)),"CHECK")</f>
        <v>45862</v>
      </c>
      <c r="H62" s="7" t="str">
        <f>IFERROR(VLOOKUP($A62,Orders[],MATCH(H$1,Orders[#Headers],0),FALSE),"CHECK")</f>
        <v>Plant 2 Canteen</v>
      </c>
      <c r="I62">
        <f>IFERROR(VLOOKUP(OrderLines[[#This Row],[OrderID]],Orders[],MATCH(OrderLines[[#Headers],[DiscountPct]],Orders[#Headers],0),FALSE),"CHECK")</f>
        <v>0.1</v>
      </c>
      <c r="J62" t="str">
        <f>IFERROR(VLOOKUP(OrderLines[[#This Row],[OrderID]],Orders[],MATCH(OrderLines[[#Headers],[Shift]],Orders[#Headers],0),FALSE),"CHECK")</f>
        <v>Dinner</v>
      </c>
      <c r="K62" s="11">
        <f>OrderLines[[#This Row],[Qty]] * OrderLines[[#This Row],[UnitPrice]] * (1-OrderLines[[#This Row],[DiscountPct]])</f>
        <v>47.205000000000005</v>
      </c>
      <c r="L62">
        <f>OrderLines[[#This Row],[Qty]]*OrderLines[[#This Row],[UnitCost]]</f>
        <v>25.8</v>
      </c>
    </row>
    <row r="63" spans="1:12" x14ac:dyDescent="0.25">
      <c r="A63" t="s">
        <v>57</v>
      </c>
      <c r="B63" t="s">
        <v>406</v>
      </c>
      <c r="C63">
        <v>1</v>
      </c>
      <c r="D63" s="9">
        <f>IFERROR(VLOOKUP($B63,Menu[],MATCH(D$1,Menu[#Headers],0),FALSE),"CHECK")</f>
        <v>38.06</v>
      </c>
      <c r="E63" s="9">
        <f>IFERROR(VLOOKUP($B63,Menu[],MATCH(E$1,Menu[#Headers],0),FALSE),"CHECK")</f>
        <v>19.55</v>
      </c>
      <c r="F63" t="str">
        <f>IFERROR(VLOOKUP($B63,Menu[],MATCH(F$1,Menu[#Headers],0),FALSE),"CHECK")</f>
        <v>Snack</v>
      </c>
      <c r="G63" s="7">
        <f>IFERROR(INT(VLOOKUP($A63,Orders[],MATCH("OrderDateTime",Orders[#Headers],0),FALSE)),"CHECK")</f>
        <v>45862</v>
      </c>
      <c r="H63" s="7" t="str">
        <f>IFERROR(VLOOKUP($A63,Orders[],MATCH(H$1,Orders[#Headers],0),FALSE),"CHECK")</f>
        <v>Plant 2 Canteen</v>
      </c>
      <c r="I63">
        <f>IFERROR(VLOOKUP(OrderLines[[#This Row],[OrderID]],Orders[],MATCH(OrderLines[[#Headers],[DiscountPct]],Orders[#Headers],0),FALSE),"CHECK")</f>
        <v>0.1</v>
      </c>
      <c r="J63" t="str">
        <f>IFERROR(VLOOKUP(OrderLines[[#This Row],[OrderID]],Orders[],MATCH(OrderLines[[#Headers],[Shift]],Orders[#Headers],0),FALSE),"CHECK")</f>
        <v>Dinner</v>
      </c>
      <c r="K63" s="11">
        <f>OrderLines[[#This Row],[Qty]] * OrderLines[[#This Row],[UnitPrice]] * (1-OrderLines[[#This Row],[DiscountPct]])</f>
        <v>34.254000000000005</v>
      </c>
      <c r="L63">
        <f>OrderLines[[#This Row],[Qty]]*OrderLines[[#This Row],[UnitCost]]</f>
        <v>19.55</v>
      </c>
    </row>
    <row r="64" spans="1:12" x14ac:dyDescent="0.25">
      <c r="A64" t="s">
        <v>58</v>
      </c>
      <c r="B64" t="s">
        <v>405</v>
      </c>
      <c r="C64">
        <v>3</v>
      </c>
      <c r="D64" s="9">
        <f>IFERROR(VLOOKUP($B64,Menu[],MATCH(D$1,Menu[#Headers],0),FALSE),"CHECK")</f>
        <v>170.83</v>
      </c>
      <c r="E64" s="9">
        <f>IFERROR(VLOOKUP($B64,Menu[],MATCH(E$1,Menu[#Headers],0),FALSE),"CHECK")</f>
        <v>74.069999999999993</v>
      </c>
      <c r="F64" t="str">
        <f>IFERROR(VLOOKUP($B64,Menu[],MATCH(F$1,Menu[#Headers],0),FALSE),"CHECK")</f>
        <v>Hot Meal</v>
      </c>
      <c r="G64" s="7">
        <f>IFERROR(INT(VLOOKUP($A64,Orders[],MATCH("OrderDateTime",Orders[#Headers],0),FALSE)),"CHECK")</f>
        <v>45891</v>
      </c>
      <c r="H64" s="7" t="str">
        <f>IFERROR(VLOOKUP($A64,Orders[],MATCH(H$1,Orders[#Headers],0),FALSE),"CHECK")</f>
        <v>Head Office Café</v>
      </c>
      <c r="I64">
        <f>IFERROR(VLOOKUP(OrderLines[[#This Row],[OrderID]],Orders[],MATCH(OrderLines[[#Headers],[DiscountPct]],Orders[#Headers],0),FALSE),"CHECK")</f>
        <v>7.0000000000000007E-2</v>
      </c>
      <c r="J64" t="str">
        <f>IFERROR(VLOOKUP(OrderLines[[#This Row],[OrderID]],Orders[],MATCH(OrderLines[[#Headers],[Shift]],Orders[#Headers],0),FALSE),"CHECK")</f>
        <v>Dinner</v>
      </c>
      <c r="K64" s="11">
        <f>OrderLines[[#This Row],[Qty]] * OrderLines[[#This Row],[UnitPrice]] * (1-OrderLines[[#This Row],[DiscountPct]])</f>
        <v>476.6157</v>
      </c>
      <c r="L64">
        <f>OrderLines[[#This Row],[Qty]]*OrderLines[[#This Row],[UnitCost]]</f>
        <v>222.20999999999998</v>
      </c>
    </row>
    <row r="65" spans="1:12" x14ac:dyDescent="0.25">
      <c r="A65" t="s">
        <v>58</v>
      </c>
      <c r="B65" t="s">
        <v>402</v>
      </c>
      <c r="C65">
        <v>1</v>
      </c>
      <c r="D65" s="9">
        <f>IFERROR(VLOOKUP($B65,Menu[],MATCH(D$1,Menu[#Headers],0),FALSE),"CHECK")</f>
        <v>30.34</v>
      </c>
      <c r="E65" s="9">
        <f>IFERROR(VLOOKUP($B65,Menu[],MATCH(E$1,Menu[#Headers],0),FALSE),"CHECK")</f>
        <v>14.18</v>
      </c>
      <c r="F65" t="str">
        <f>IFERROR(VLOOKUP($B65,Menu[],MATCH(F$1,Menu[#Headers],0),FALSE),"CHECK")</f>
        <v>Beverage</v>
      </c>
      <c r="G65" s="7">
        <f>IFERROR(INT(VLOOKUP($A65,Orders[],MATCH("OrderDateTime",Orders[#Headers],0),FALSE)),"CHECK")</f>
        <v>45891</v>
      </c>
      <c r="H65" s="7" t="str">
        <f>IFERROR(VLOOKUP($A65,Orders[],MATCH(H$1,Orders[#Headers],0),FALSE),"CHECK")</f>
        <v>Head Office Café</v>
      </c>
      <c r="I65">
        <f>IFERROR(VLOOKUP(OrderLines[[#This Row],[OrderID]],Orders[],MATCH(OrderLines[[#Headers],[DiscountPct]],Orders[#Headers],0),FALSE),"CHECK")</f>
        <v>7.0000000000000007E-2</v>
      </c>
      <c r="J65" t="str">
        <f>IFERROR(VLOOKUP(OrderLines[[#This Row],[OrderID]],Orders[],MATCH(OrderLines[[#Headers],[Shift]],Orders[#Headers],0),FALSE),"CHECK")</f>
        <v>Dinner</v>
      </c>
      <c r="K65" s="11">
        <f>OrderLines[[#This Row],[Qty]] * OrderLines[[#This Row],[UnitPrice]] * (1-OrderLines[[#This Row],[DiscountPct]])</f>
        <v>28.216199999999997</v>
      </c>
      <c r="L65">
        <f>OrderLines[[#This Row],[Qty]]*OrderLines[[#This Row],[UnitCost]]</f>
        <v>14.18</v>
      </c>
    </row>
    <row r="66" spans="1:12" x14ac:dyDescent="0.25">
      <c r="A66" t="s">
        <v>58</v>
      </c>
      <c r="B66" t="s">
        <v>412</v>
      </c>
      <c r="C66">
        <v>2</v>
      </c>
      <c r="D66" s="9">
        <f>IFERROR(VLOOKUP($B66,Menu[],MATCH(D$1,Menu[#Headers],0),FALSE),"CHECK")</f>
        <v>57.07</v>
      </c>
      <c r="E66" s="9">
        <f>IFERROR(VLOOKUP($B66,Menu[],MATCH(E$1,Menu[#Headers],0),FALSE),"CHECK")</f>
        <v>29.14</v>
      </c>
      <c r="F66" t="str">
        <f>IFERROR(VLOOKUP($B66,Menu[],MATCH(F$1,Menu[#Headers],0),FALSE),"CHECK")</f>
        <v>Dessert</v>
      </c>
      <c r="G66" s="7">
        <f>IFERROR(INT(VLOOKUP($A66,Orders[],MATCH("OrderDateTime",Orders[#Headers],0),FALSE)),"CHECK")</f>
        <v>45891</v>
      </c>
      <c r="H66" s="7" t="str">
        <f>IFERROR(VLOOKUP($A66,Orders[],MATCH(H$1,Orders[#Headers],0),FALSE),"CHECK")</f>
        <v>Head Office Café</v>
      </c>
      <c r="I66">
        <f>IFERROR(VLOOKUP(OrderLines[[#This Row],[OrderID]],Orders[],MATCH(OrderLines[[#Headers],[DiscountPct]],Orders[#Headers],0),FALSE),"CHECK")</f>
        <v>7.0000000000000007E-2</v>
      </c>
      <c r="J66" t="str">
        <f>IFERROR(VLOOKUP(OrderLines[[#This Row],[OrderID]],Orders[],MATCH(OrderLines[[#Headers],[Shift]],Orders[#Headers],0),FALSE),"CHECK")</f>
        <v>Dinner</v>
      </c>
      <c r="K66" s="11">
        <f>OrderLines[[#This Row],[Qty]] * OrderLines[[#This Row],[UnitPrice]] * (1-OrderLines[[#This Row],[DiscountPct]])</f>
        <v>106.1502</v>
      </c>
      <c r="L66">
        <f>OrderLines[[#This Row],[Qty]]*OrderLines[[#This Row],[UnitCost]]</f>
        <v>58.28</v>
      </c>
    </row>
    <row r="67" spans="1:12" x14ac:dyDescent="0.25">
      <c r="A67" t="s">
        <v>58</v>
      </c>
      <c r="B67" t="s">
        <v>407</v>
      </c>
      <c r="C67">
        <v>1</v>
      </c>
      <c r="D67" s="9">
        <f>IFERROR(VLOOKUP($B67,Menu[],MATCH(D$1,Menu[#Headers],0),FALSE),"CHECK")</f>
        <v>246.09</v>
      </c>
      <c r="E67" s="9">
        <f>IFERROR(VLOOKUP($B67,Menu[],MATCH(E$1,Menu[#Headers],0),FALSE),"CHECK")</f>
        <v>112.08</v>
      </c>
      <c r="F67" t="str">
        <f>IFERROR(VLOOKUP($B67,Menu[],MATCH(F$1,Menu[#Headers],0),FALSE),"CHECK")</f>
        <v>Hot Meal</v>
      </c>
      <c r="G67" s="7">
        <f>IFERROR(INT(VLOOKUP($A67,Orders[],MATCH("OrderDateTime",Orders[#Headers],0),FALSE)),"CHECK")</f>
        <v>45891</v>
      </c>
      <c r="H67" s="7" t="str">
        <f>IFERROR(VLOOKUP($A67,Orders[],MATCH(H$1,Orders[#Headers],0),FALSE),"CHECK")</f>
        <v>Head Office Café</v>
      </c>
      <c r="I67">
        <f>IFERROR(VLOOKUP(OrderLines[[#This Row],[OrderID]],Orders[],MATCH(OrderLines[[#Headers],[DiscountPct]],Orders[#Headers],0),FALSE),"CHECK")</f>
        <v>7.0000000000000007E-2</v>
      </c>
      <c r="J67" t="str">
        <f>IFERROR(VLOOKUP(OrderLines[[#This Row],[OrderID]],Orders[],MATCH(OrderLines[[#Headers],[Shift]],Orders[#Headers],0),FALSE),"CHECK")</f>
        <v>Dinner</v>
      </c>
      <c r="K67" s="11">
        <f>OrderLines[[#This Row],[Qty]] * OrderLines[[#This Row],[UnitPrice]] * (1-OrderLines[[#This Row],[DiscountPct]])</f>
        <v>228.86369999999999</v>
      </c>
      <c r="L67">
        <f>OrderLines[[#This Row],[Qty]]*OrderLines[[#This Row],[UnitCost]]</f>
        <v>112.08</v>
      </c>
    </row>
    <row r="68" spans="1:12" x14ac:dyDescent="0.25">
      <c r="A68" t="s">
        <v>59</v>
      </c>
      <c r="B68" t="s">
        <v>419</v>
      </c>
      <c r="C68">
        <v>1</v>
      </c>
      <c r="D68" s="9">
        <f>IFERROR(VLOOKUP($B68,Menu[],MATCH(D$1,Menu[#Headers],0),FALSE),"CHECK")</f>
        <v>50.19</v>
      </c>
      <c r="E68" s="9">
        <f>IFERROR(VLOOKUP($B68,Menu[],MATCH(E$1,Menu[#Headers],0),FALSE),"CHECK")</f>
        <v>22.61</v>
      </c>
      <c r="F68" t="str">
        <f>IFERROR(VLOOKUP($B68,Menu[],MATCH(F$1,Menu[#Headers],0),FALSE),"CHECK")</f>
        <v>Snack</v>
      </c>
      <c r="G68" s="7">
        <f>IFERROR(INT(VLOOKUP($A68,Orders[],MATCH("OrderDateTime",Orders[#Headers],0),FALSE)),"CHECK")</f>
        <v>45840</v>
      </c>
      <c r="H68" s="7" t="str">
        <f>IFERROR(VLOOKUP($A68,Orders[],MATCH(H$1,Orders[#Headers],0),FALSE),"CHECK")</f>
        <v>Head Office Café</v>
      </c>
      <c r="I68">
        <f>IFERROR(VLOOKUP(OrderLines[[#This Row],[OrderID]],Orders[],MATCH(OrderLines[[#Headers],[DiscountPct]],Orders[#Headers],0),FALSE),"CHECK")</f>
        <v>0.03</v>
      </c>
      <c r="J68" t="str">
        <f>IFERROR(VLOOKUP(OrderLines[[#This Row],[OrderID]],Orders[],MATCH(OrderLines[[#Headers],[Shift]],Orders[#Headers],0),FALSE),"CHECK")</f>
        <v>Breakfast</v>
      </c>
      <c r="K68" s="11">
        <f>OrderLines[[#This Row],[Qty]] * OrderLines[[#This Row],[UnitPrice]] * (1-OrderLines[[#This Row],[DiscountPct]])</f>
        <v>48.684299999999993</v>
      </c>
      <c r="L68">
        <f>OrderLines[[#This Row],[Qty]]*OrderLines[[#This Row],[UnitCost]]</f>
        <v>22.61</v>
      </c>
    </row>
    <row r="69" spans="1:12" x14ac:dyDescent="0.25">
      <c r="A69" t="s">
        <v>59</v>
      </c>
      <c r="B69" t="s">
        <v>414</v>
      </c>
      <c r="C69">
        <v>2</v>
      </c>
      <c r="D69" s="9">
        <f>IFERROR(VLOOKUP($B69,Menu[],MATCH(D$1,Menu[#Headers],0),FALSE),"CHECK")</f>
        <v>116.8</v>
      </c>
      <c r="E69" s="9">
        <f>IFERROR(VLOOKUP($B69,Menu[],MATCH(E$1,Menu[#Headers],0),FALSE),"CHECK")</f>
        <v>48.97</v>
      </c>
      <c r="F69" t="str">
        <f>IFERROR(VLOOKUP($B69,Menu[],MATCH(F$1,Menu[#Headers],0),FALSE),"CHECK")</f>
        <v>Dessert</v>
      </c>
      <c r="G69" s="7">
        <f>IFERROR(INT(VLOOKUP($A69,Orders[],MATCH("OrderDateTime",Orders[#Headers],0),FALSE)),"CHECK")</f>
        <v>45840</v>
      </c>
      <c r="H69" s="7" t="str">
        <f>IFERROR(VLOOKUP($A69,Orders[],MATCH(H$1,Orders[#Headers],0),FALSE),"CHECK")</f>
        <v>Head Office Café</v>
      </c>
      <c r="I69">
        <f>IFERROR(VLOOKUP(OrderLines[[#This Row],[OrderID]],Orders[],MATCH(OrderLines[[#Headers],[DiscountPct]],Orders[#Headers],0),FALSE),"CHECK")</f>
        <v>0.03</v>
      </c>
      <c r="J69" t="str">
        <f>IFERROR(VLOOKUP(OrderLines[[#This Row],[OrderID]],Orders[],MATCH(OrderLines[[#Headers],[Shift]],Orders[#Headers],0),FALSE),"CHECK")</f>
        <v>Breakfast</v>
      </c>
      <c r="K69" s="11">
        <f>OrderLines[[#This Row],[Qty]] * OrderLines[[#This Row],[UnitPrice]] * (1-OrderLines[[#This Row],[DiscountPct]])</f>
        <v>226.59199999999998</v>
      </c>
      <c r="L69">
        <f>OrderLines[[#This Row],[Qty]]*OrderLines[[#This Row],[UnitCost]]</f>
        <v>97.94</v>
      </c>
    </row>
    <row r="70" spans="1:12" x14ac:dyDescent="0.25">
      <c r="A70" t="s">
        <v>59</v>
      </c>
      <c r="B70" t="s">
        <v>408</v>
      </c>
      <c r="C70">
        <v>1</v>
      </c>
      <c r="D70" s="9">
        <f>IFERROR(VLOOKUP($B70,Menu[],MATCH(D$1,Menu[#Headers],0),FALSE),"CHECK")</f>
        <v>70.540000000000006</v>
      </c>
      <c r="E70" s="9">
        <f>IFERROR(VLOOKUP($B70,Menu[],MATCH(E$1,Menu[#Headers],0),FALSE),"CHECK")</f>
        <v>35.81</v>
      </c>
      <c r="F70" t="str">
        <f>IFERROR(VLOOKUP($B70,Menu[],MATCH(F$1,Menu[#Headers],0),FALSE),"CHECK")</f>
        <v>Snack</v>
      </c>
      <c r="G70" s="7">
        <f>IFERROR(INT(VLOOKUP($A70,Orders[],MATCH("OrderDateTime",Orders[#Headers],0),FALSE)),"CHECK")</f>
        <v>45840</v>
      </c>
      <c r="H70" s="7" t="str">
        <f>IFERROR(VLOOKUP($A70,Orders[],MATCH(H$1,Orders[#Headers],0),FALSE),"CHECK")</f>
        <v>Head Office Café</v>
      </c>
      <c r="I70">
        <f>IFERROR(VLOOKUP(OrderLines[[#This Row],[OrderID]],Orders[],MATCH(OrderLines[[#Headers],[DiscountPct]],Orders[#Headers],0),FALSE),"CHECK")</f>
        <v>0.03</v>
      </c>
      <c r="J70" t="str">
        <f>IFERROR(VLOOKUP(OrderLines[[#This Row],[OrderID]],Orders[],MATCH(OrderLines[[#Headers],[Shift]],Orders[#Headers],0),FALSE),"CHECK")</f>
        <v>Breakfast</v>
      </c>
      <c r="K70" s="11">
        <f>OrderLines[[#This Row],[Qty]] * OrderLines[[#This Row],[UnitPrice]] * (1-OrderLines[[#This Row],[DiscountPct]])</f>
        <v>68.4238</v>
      </c>
      <c r="L70">
        <f>OrderLines[[#This Row],[Qty]]*OrderLines[[#This Row],[UnitCost]]</f>
        <v>35.81</v>
      </c>
    </row>
    <row r="71" spans="1:12" x14ac:dyDescent="0.25">
      <c r="A71" t="s">
        <v>59</v>
      </c>
      <c r="B71" t="s">
        <v>410</v>
      </c>
      <c r="C71">
        <v>2</v>
      </c>
      <c r="D71" s="9">
        <f>IFERROR(VLOOKUP($B71,Menu[],MATCH(D$1,Menu[#Headers],0),FALSE),"CHECK")</f>
        <v>20.11</v>
      </c>
      <c r="E71" s="9">
        <f>IFERROR(VLOOKUP($B71,Menu[],MATCH(E$1,Menu[#Headers],0),FALSE),"CHECK")</f>
        <v>8</v>
      </c>
      <c r="F71" t="str">
        <f>IFERROR(VLOOKUP($B71,Menu[],MATCH(F$1,Menu[#Headers],0),FALSE),"CHECK")</f>
        <v>Beverage</v>
      </c>
      <c r="G71" s="7">
        <f>IFERROR(INT(VLOOKUP($A71,Orders[],MATCH("OrderDateTime",Orders[#Headers],0),FALSE)),"CHECK")</f>
        <v>45840</v>
      </c>
      <c r="H71" s="7" t="str">
        <f>IFERROR(VLOOKUP($A71,Orders[],MATCH(H$1,Orders[#Headers],0),FALSE),"CHECK")</f>
        <v>Head Office Café</v>
      </c>
      <c r="I71">
        <f>IFERROR(VLOOKUP(OrderLines[[#This Row],[OrderID]],Orders[],MATCH(OrderLines[[#Headers],[DiscountPct]],Orders[#Headers],0),FALSE),"CHECK")</f>
        <v>0.03</v>
      </c>
      <c r="J71" t="str">
        <f>IFERROR(VLOOKUP(OrderLines[[#This Row],[OrderID]],Orders[],MATCH(OrderLines[[#Headers],[Shift]],Orders[#Headers],0),FALSE),"CHECK")</f>
        <v>Breakfast</v>
      </c>
      <c r="K71" s="11">
        <f>OrderLines[[#This Row],[Qty]] * OrderLines[[#This Row],[UnitPrice]] * (1-OrderLines[[#This Row],[DiscountPct]])</f>
        <v>39.013399999999997</v>
      </c>
      <c r="L71">
        <f>OrderLines[[#This Row],[Qty]]*OrderLines[[#This Row],[UnitCost]]</f>
        <v>16</v>
      </c>
    </row>
    <row r="72" spans="1:12" x14ac:dyDescent="0.25">
      <c r="A72" t="s">
        <v>60</v>
      </c>
      <c r="B72" t="s">
        <v>419</v>
      </c>
      <c r="C72">
        <v>3</v>
      </c>
      <c r="D72" s="9">
        <f>IFERROR(VLOOKUP($B72,Menu[],MATCH(D$1,Menu[#Headers],0),FALSE),"CHECK")</f>
        <v>50.19</v>
      </c>
      <c r="E72" s="9">
        <f>IFERROR(VLOOKUP($B72,Menu[],MATCH(E$1,Menu[#Headers],0),FALSE),"CHECK")</f>
        <v>22.61</v>
      </c>
      <c r="F72" t="str">
        <f>IFERROR(VLOOKUP($B72,Menu[],MATCH(F$1,Menu[#Headers],0),FALSE),"CHECK")</f>
        <v>Snack</v>
      </c>
      <c r="G72" s="7">
        <f>IFERROR(INT(VLOOKUP($A72,Orders[],MATCH("OrderDateTime",Orders[#Headers],0),FALSE)),"CHECK")</f>
        <v>45852</v>
      </c>
      <c r="H72" s="7" t="str">
        <f>IFERROR(VLOOKUP($A72,Orders[],MATCH(H$1,Orders[#Headers],0),FALSE),"CHECK")</f>
        <v>Plant 2 Canteen</v>
      </c>
      <c r="I72">
        <f>IFERROR(VLOOKUP(OrderLines[[#This Row],[OrderID]],Orders[],MATCH(OrderLines[[#Headers],[DiscountPct]],Orders[#Headers],0),FALSE),"CHECK")</f>
        <v>7.0000000000000007E-2</v>
      </c>
      <c r="J72" t="str">
        <f>IFERROR(VLOOKUP(OrderLines[[#This Row],[OrderID]],Orders[],MATCH(OrderLines[[#Headers],[Shift]],Orders[#Headers],0),FALSE),"CHECK")</f>
        <v>Breakfast</v>
      </c>
      <c r="K72" s="11">
        <f>OrderLines[[#This Row],[Qty]] * OrderLines[[#This Row],[UnitPrice]] * (1-OrderLines[[#This Row],[DiscountPct]])</f>
        <v>140.03009999999998</v>
      </c>
      <c r="L72">
        <f>OrderLines[[#This Row],[Qty]]*OrderLines[[#This Row],[UnitCost]]</f>
        <v>67.83</v>
      </c>
    </row>
    <row r="73" spans="1:12" x14ac:dyDescent="0.25">
      <c r="A73" t="s">
        <v>62</v>
      </c>
      <c r="B73" t="s">
        <v>409</v>
      </c>
      <c r="C73">
        <v>1</v>
      </c>
      <c r="D73" s="9">
        <f>IFERROR(VLOOKUP($B73,Menu[],MATCH(D$1,Menu[#Headers],0),FALSE),"CHECK")</f>
        <v>28.43</v>
      </c>
      <c r="E73" s="9">
        <f>IFERROR(VLOOKUP($B73,Menu[],MATCH(E$1,Menu[#Headers],0),FALSE),"CHECK")</f>
        <v>13.89</v>
      </c>
      <c r="F73" t="str">
        <f>IFERROR(VLOOKUP($B73,Menu[],MATCH(F$1,Menu[#Headers],0),FALSE),"CHECK")</f>
        <v>Beverage</v>
      </c>
      <c r="G73" s="7">
        <f>IFERROR(INT(VLOOKUP($A73,Orders[],MATCH("OrderDateTime",Orders[#Headers],0),FALSE)),"CHECK")</f>
        <v>45854</v>
      </c>
      <c r="H73" s="7" t="str">
        <f>IFERROR(VLOOKUP($A73,Orders[],MATCH(H$1,Orders[#Headers],0),FALSE),"CHECK")</f>
        <v>Plant 2 Canteen</v>
      </c>
      <c r="I73">
        <f>IFERROR(VLOOKUP(OrderLines[[#This Row],[OrderID]],Orders[],MATCH(OrderLines[[#Headers],[DiscountPct]],Orders[#Headers],0),FALSE),"CHECK")</f>
        <v>0.12</v>
      </c>
      <c r="J73" t="str">
        <f>IFERROR(VLOOKUP(OrderLines[[#This Row],[OrderID]],Orders[],MATCH(OrderLines[[#Headers],[Shift]],Orders[#Headers],0),FALSE),"CHECK")</f>
        <v>Breakfast</v>
      </c>
      <c r="K73" s="11">
        <f>OrderLines[[#This Row],[Qty]] * OrderLines[[#This Row],[UnitPrice]] * (1-OrderLines[[#This Row],[DiscountPct]])</f>
        <v>25.0184</v>
      </c>
      <c r="L73">
        <f>OrderLines[[#This Row],[Qty]]*OrderLines[[#This Row],[UnitCost]]</f>
        <v>13.89</v>
      </c>
    </row>
    <row r="74" spans="1:12" x14ac:dyDescent="0.25">
      <c r="A74" t="s">
        <v>62</v>
      </c>
      <c r="B74" t="s">
        <v>407</v>
      </c>
      <c r="C74">
        <v>1</v>
      </c>
      <c r="D74" s="9">
        <f>IFERROR(VLOOKUP($B74,Menu[],MATCH(D$1,Menu[#Headers],0),FALSE),"CHECK")</f>
        <v>246.09</v>
      </c>
      <c r="E74" s="9">
        <f>IFERROR(VLOOKUP($B74,Menu[],MATCH(E$1,Menu[#Headers],0),FALSE),"CHECK")</f>
        <v>112.08</v>
      </c>
      <c r="F74" t="str">
        <f>IFERROR(VLOOKUP($B74,Menu[],MATCH(F$1,Menu[#Headers],0),FALSE),"CHECK")</f>
        <v>Hot Meal</v>
      </c>
      <c r="G74" s="7">
        <f>IFERROR(INT(VLOOKUP($A74,Orders[],MATCH("OrderDateTime",Orders[#Headers],0),FALSE)),"CHECK")</f>
        <v>45854</v>
      </c>
      <c r="H74" s="7" t="str">
        <f>IFERROR(VLOOKUP($A74,Orders[],MATCH(H$1,Orders[#Headers],0),FALSE),"CHECK")</f>
        <v>Plant 2 Canteen</v>
      </c>
      <c r="I74">
        <f>IFERROR(VLOOKUP(OrderLines[[#This Row],[OrderID]],Orders[],MATCH(OrderLines[[#Headers],[DiscountPct]],Orders[#Headers],0),FALSE),"CHECK")</f>
        <v>0.12</v>
      </c>
      <c r="J74" t="str">
        <f>IFERROR(VLOOKUP(OrderLines[[#This Row],[OrderID]],Orders[],MATCH(OrderLines[[#Headers],[Shift]],Orders[#Headers],0),FALSE),"CHECK")</f>
        <v>Breakfast</v>
      </c>
      <c r="K74" s="11">
        <f>OrderLines[[#This Row],[Qty]] * OrderLines[[#This Row],[UnitPrice]] * (1-OrderLines[[#This Row],[DiscountPct]])</f>
        <v>216.5592</v>
      </c>
      <c r="L74">
        <f>OrderLines[[#This Row],[Qty]]*OrderLines[[#This Row],[UnitCost]]</f>
        <v>112.08</v>
      </c>
    </row>
    <row r="75" spans="1:12" x14ac:dyDescent="0.25">
      <c r="A75" t="s">
        <v>62</v>
      </c>
      <c r="B75" t="s">
        <v>408</v>
      </c>
      <c r="C75">
        <v>2</v>
      </c>
      <c r="D75" s="9">
        <f>IFERROR(VLOOKUP($B75,Menu[],MATCH(D$1,Menu[#Headers],0),FALSE),"CHECK")</f>
        <v>70.540000000000006</v>
      </c>
      <c r="E75" s="9">
        <f>IFERROR(VLOOKUP($B75,Menu[],MATCH(E$1,Menu[#Headers],0),FALSE),"CHECK")</f>
        <v>35.81</v>
      </c>
      <c r="F75" t="str">
        <f>IFERROR(VLOOKUP($B75,Menu[],MATCH(F$1,Menu[#Headers],0),FALSE),"CHECK")</f>
        <v>Snack</v>
      </c>
      <c r="G75" s="7">
        <f>IFERROR(INT(VLOOKUP($A75,Orders[],MATCH("OrderDateTime",Orders[#Headers],0),FALSE)),"CHECK")</f>
        <v>45854</v>
      </c>
      <c r="H75" s="7" t="str">
        <f>IFERROR(VLOOKUP($A75,Orders[],MATCH(H$1,Orders[#Headers],0),FALSE),"CHECK")</f>
        <v>Plant 2 Canteen</v>
      </c>
      <c r="I75">
        <f>IFERROR(VLOOKUP(OrderLines[[#This Row],[OrderID]],Orders[],MATCH(OrderLines[[#Headers],[DiscountPct]],Orders[#Headers],0),FALSE),"CHECK")</f>
        <v>0.12</v>
      </c>
      <c r="J75" t="str">
        <f>IFERROR(VLOOKUP(OrderLines[[#This Row],[OrderID]],Orders[],MATCH(OrderLines[[#Headers],[Shift]],Orders[#Headers],0),FALSE),"CHECK")</f>
        <v>Breakfast</v>
      </c>
      <c r="K75" s="11">
        <f>OrderLines[[#This Row],[Qty]] * OrderLines[[#This Row],[UnitPrice]] * (1-OrderLines[[#This Row],[DiscountPct]])</f>
        <v>124.1504</v>
      </c>
      <c r="L75">
        <f>OrderLines[[#This Row],[Qty]]*OrderLines[[#This Row],[UnitCost]]</f>
        <v>71.62</v>
      </c>
    </row>
    <row r="76" spans="1:12" x14ac:dyDescent="0.25">
      <c r="A76" t="s">
        <v>63</v>
      </c>
      <c r="B76" t="s">
        <v>413</v>
      </c>
      <c r="C76">
        <v>1</v>
      </c>
      <c r="D76" s="9">
        <f>IFERROR(VLOOKUP($B76,Menu[],MATCH(D$1,Menu[#Headers],0),FALSE),"CHECK")</f>
        <v>54.2</v>
      </c>
      <c r="E76" s="9">
        <f>IFERROR(VLOOKUP($B76,Menu[],MATCH(E$1,Menu[#Headers],0),FALSE),"CHECK")</f>
        <v>21.95</v>
      </c>
      <c r="F76" t="str">
        <f>IFERROR(VLOOKUP($B76,Menu[],MATCH(F$1,Menu[#Headers],0),FALSE),"CHECK")</f>
        <v>Dessert</v>
      </c>
      <c r="G76" s="7">
        <f>IFERROR(INT(VLOOKUP($A76,Orders[],MATCH("OrderDateTime",Orders[#Headers],0),FALSE)),"CHECK")</f>
        <v>45872</v>
      </c>
      <c r="H76" s="7" t="str">
        <f>IFERROR(VLOOKUP($A76,Orders[],MATCH(H$1,Orders[#Headers],0),FALSE),"CHECK")</f>
        <v>Plant 1 Canteen</v>
      </c>
      <c r="I76">
        <f>IFERROR(VLOOKUP(OrderLines[[#This Row],[OrderID]],Orders[],MATCH(OrderLines[[#Headers],[DiscountPct]],Orders[#Headers],0),FALSE),"CHECK")</f>
        <v>0.06</v>
      </c>
      <c r="J76" t="str">
        <f>IFERROR(VLOOKUP(OrderLines[[#This Row],[OrderID]],Orders[],MATCH(OrderLines[[#Headers],[Shift]],Orders[#Headers],0),FALSE),"CHECK")</f>
        <v>Lunch</v>
      </c>
      <c r="K76" s="11">
        <f>OrderLines[[#This Row],[Qty]] * OrderLines[[#This Row],[UnitPrice]] * (1-OrderLines[[#This Row],[DiscountPct]])</f>
        <v>50.948</v>
      </c>
      <c r="L76">
        <f>OrderLines[[#This Row],[Qty]]*OrderLines[[#This Row],[UnitCost]]</f>
        <v>21.95</v>
      </c>
    </row>
    <row r="77" spans="1:12" x14ac:dyDescent="0.25">
      <c r="A77" t="s">
        <v>63</v>
      </c>
      <c r="B77" t="s">
        <v>417</v>
      </c>
      <c r="C77">
        <v>2</v>
      </c>
      <c r="D77" s="9">
        <f>IFERROR(VLOOKUP($B77,Menu[],MATCH(D$1,Menu[#Headers],0),FALSE),"CHECK")</f>
        <v>146.4</v>
      </c>
      <c r="E77" s="9">
        <f>IFERROR(VLOOKUP($B77,Menu[],MATCH(E$1,Menu[#Headers],0),FALSE),"CHECK")</f>
        <v>80.92</v>
      </c>
      <c r="F77" t="str">
        <f>IFERROR(VLOOKUP($B77,Menu[],MATCH(F$1,Menu[#Headers],0),FALSE),"CHECK")</f>
        <v>Hot Meal</v>
      </c>
      <c r="G77" s="7">
        <f>IFERROR(INT(VLOOKUP($A77,Orders[],MATCH("OrderDateTime",Orders[#Headers],0),FALSE)),"CHECK")</f>
        <v>45872</v>
      </c>
      <c r="H77" s="7" t="str">
        <f>IFERROR(VLOOKUP($A77,Orders[],MATCH(H$1,Orders[#Headers],0),FALSE),"CHECK")</f>
        <v>Plant 1 Canteen</v>
      </c>
      <c r="I77">
        <f>IFERROR(VLOOKUP(OrderLines[[#This Row],[OrderID]],Orders[],MATCH(OrderLines[[#Headers],[DiscountPct]],Orders[#Headers],0),FALSE),"CHECK")</f>
        <v>0.06</v>
      </c>
      <c r="J77" t="str">
        <f>IFERROR(VLOOKUP(OrderLines[[#This Row],[OrderID]],Orders[],MATCH(OrderLines[[#Headers],[Shift]],Orders[#Headers],0),FALSE),"CHECK")</f>
        <v>Lunch</v>
      </c>
      <c r="K77" s="11">
        <f>OrderLines[[#This Row],[Qty]] * OrderLines[[#This Row],[UnitPrice]] * (1-OrderLines[[#This Row],[DiscountPct]])</f>
        <v>275.23199999999997</v>
      </c>
      <c r="L77">
        <f>OrderLines[[#This Row],[Qty]]*OrderLines[[#This Row],[UnitCost]]</f>
        <v>161.84</v>
      </c>
    </row>
    <row r="78" spans="1:12" x14ac:dyDescent="0.25">
      <c r="A78" t="s">
        <v>63</v>
      </c>
      <c r="B78" t="s">
        <v>414</v>
      </c>
      <c r="C78">
        <v>1</v>
      </c>
      <c r="D78" s="9">
        <f>IFERROR(VLOOKUP($B78,Menu[],MATCH(D$1,Menu[#Headers],0),FALSE),"CHECK")</f>
        <v>116.8</v>
      </c>
      <c r="E78" s="9">
        <f>IFERROR(VLOOKUP($B78,Menu[],MATCH(E$1,Menu[#Headers],0),FALSE),"CHECK")</f>
        <v>48.97</v>
      </c>
      <c r="F78" t="str">
        <f>IFERROR(VLOOKUP($B78,Menu[],MATCH(F$1,Menu[#Headers],0),FALSE),"CHECK")</f>
        <v>Dessert</v>
      </c>
      <c r="G78" s="7">
        <f>IFERROR(INT(VLOOKUP($A78,Orders[],MATCH("OrderDateTime",Orders[#Headers],0),FALSE)),"CHECK")</f>
        <v>45872</v>
      </c>
      <c r="H78" s="7" t="str">
        <f>IFERROR(VLOOKUP($A78,Orders[],MATCH(H$1,Orders[#Headers],0),FALSE),"CHECK")</f>
        <v>Plant 1 Canteen</v>
      </c>
      <c r="I78">
        <f>IFERROR(VLOOKUP(OrderLines[[#This Row],[OrderID]],Orders[],MATCH(OrderLines[[#Headers],[DiscountPct]],Orders[#Headers],0),FALSE),"CHECK")</f>
        <v>0.06</v>
      </c>
      <c r="J78" t="str">
        <f>IFERROR(VLOOKUP(OrderLines[[#This Row],[OrderID]],Orders[],MATCH(OrderLines[[#Headers],[Shift]],Orders[#Headers],0),FALSE),"CHECK")</f>
        <v>Lunch</v>
      </c>
      <c r="K78" s="11">
        <f>OrderLines[[#This Row],[Qty]] * OrderLines[[#This Row],[UnitPrice]] * (1-OrderLines[[#This Row],[DiscountPct]])</f>
        <v>109.79199999999999</v>
      </c>
      <c r="L78">
        <f>OrderLines[[#This Row],[Qty]]*OrderLines[[#This Row],[UnitCost]]</f>
        <v>48.97</v>
      </c>
    </row>
    <row r="79" spans="1:12" x14ac:dyDescent="0.25">
      <c r="A79" t="s">
        <v>65</v>
      </c>
      <c r="B79" t="s">
        <v>413</v>
      </c>
      <c r="C79">
        <v>1</v>
      </c>
      <c r="D79" s="9">
        <f>IFERROR(VLOOKUP($B79,Menu[],MATCH(D$1,Menu[#Headers],0),FALSE),"CHECK")</f>
        <v>54.2</v>
      </c>
      <c r="E79" s="9">
        <f>IFERROR(VLOOKUP($B79,Menu[],MATCH(E$1,Menu[#Headers],0),FALSE),"CHECK")</f>
        <v>21.95</v>
      </c>
      <c r="F79" t="str">
        <f>IFERROR(VLOOKUP($B79,Menu[],MATCH(F$1,Menu[#Headers],0),FALSE),"CHECK")</f>
        <v>Dessert</v>
      </c>
      <c r="G79" s="7">
        <f>IFERROR(INT(VLOOKUP($A79,Orders[],MATCH("OrderDateTime",Orders[#Headers],0),FALSE)),"CHECK")</f>
        <v>45888</v>
      </c>
      <c r="H79" s="7" t="str">
        <f>IFERROR(VLOOKUP($A79,Orders[],MATCH(H$1,Orders[#Headers],0),FALSE),"CHECK")</f>
        <v>Plant 2 Canteen</v>
      </c>
      <c r="I79">
        <f>IFERROR(VLOOKUP(OrderLines[[#This Row],[OrderID]],Orders[],MATCH(OrderLines[[#Headers],[DiscountPct]],Orders[#Headers],0),FALSE),"CHECK")</f>
        <v>0.12</v>
      </c>
      <c r="J79" t="str">
        <f>IFERROR(VLOOKUP(OrderLines[[#This Row],[OrderID]],Orders[],MATCH(OrderLines[[#Headers],[Shift]],Orders[#Headers],0),FALSE),"CHECK")</f>
        <v>Breakfast</v>
      </c>
      <c r="K79" s="11">
        <f>OrderLines[[#This Row],[Qty]] * OrderLines[[#This Row],[UnitPrice]] * (1-OrderLines[[#This Row],[DiscountPct]])</f>
        <v>47.696000000000005</v>
      </c>
      <c r="L79">
        <f>OrderLines[[#This Row],[Qty]]*OrderLines[[#This Row],[UnitCost]]</f>
        <v>21.95</v>
      </c>
    </row>
    <row r="80" spans="1:12" x14ac:dyDescent="0.25">
      <c r="A80" t="s">
        <v>65</v>
      </c>
      <c r="B80" t="s">
        <v>414</v>
      </c>
      <c r="C80">
        <v>1</v>
      </c>
      <c r="D80" s="9">
        <f>IFERROR(VLOOKUP($B80,Menu[],MATCH(D$1,Menu[#Headers],0),FALSE),"CHECK")</f>
        <v>116.8</v>
      </c>
      <c r="E80" s="9">
        <f>IFERROR(VLOOKUP($B80,Menu[],MATCH(E$1,Menu[#Headers],0),FALSE),"CHECK")</f>
        <v>48.97</v>
      </c>
      <c r="F80" t="str">
        <f>IFERROR(VLOOKUP($B80,Menu[],MATCH(F$1,Menu[#Headers],0),FALSE),"CHECK")</f>
        <v>Dessert</v>
      </c>
      <c r="G80" s="7">
        <f>IFERROR(INT(VLOOKUP($A80,Orders[],MATCH("OrderDateTime",Orders[#Headers],0),FALSE)),"CHECK")</f>
        <v>45888</v>
      </c>
      <c r="H80" s="7" t="str">
        <f>IFERROR(VLOOKUP($A80,Orders[],MATCH(H$1,Orders[#Headers],0),FALSE),"CHECK")</f>
        <v>Plant 2 Canteen</v>
      </c>
      <c r="I80">
        <f>IFERROR(VLOOKUP(OrderLines[[#This Row],[OrderID]],Orders[],MATCH(OrderLines[[#Headers],[DiscountPct]],Orders[#Headers],0),FALSE),"CHECK")</f>
        <v>0.12</v>
      </c>
      <c r="J80" t="str">
        <f>IFERROR(VLOOKUP(OrderLines[[#This Row],[OrderID]],Orders[],MATCH(OrderLines[[#Headers],[Shift]],Orders[#Headers],0),FALSE),"CHECK")</f>
        <v>Breakfast</v>
      </c>
      <c r="K80" s="11">
        <f>OrderLines[[#This Row],[Qty]] * OrderLines[[#This Row],[UnitPrice]] * (1-OrderLines[[#This Row],[DiscountPct]])</f>
        <v>102.78399999999999</v>
      </c>
      <c r="L80">
        <f>OrderLines[[#This Row],[Qty]]*OrderLines[[#This Row],[UnitCost]]</f>
        <v>48.97</v>
      </c>
    </row>
    <row r="81" spans="1:12" x14ac:dyDescent="0.25">
      <c r="A81" t="s">
        <v>65</v>
      </c>
      <c r="B81" t="s">
        <v>404</v>
      </c>
      <c r="C81">
        <v>2</v>
      </c>
      <c r="D81" s="9">
        <f>IFERROR(VLOOKUP($B81,Menu[],MATCH(D$1,Menu[#Headers],0),FALSE),"CHECK")</f>
        <v>32.979999999999997</v>
      </c>
      <c r="E81" s="9">
        <f>IFERROR(VLOOKUP($B81,Menu[],MATCH(E$1,Menu[#Headers],0),FALSE),"CHECK")</f>
        <v>11.84</v>
      </c>
      <c r="F81" t="str">
        <f>IFERROR(VLOOKUP($B81,Menu[],MATCH(F$1,Menu[#Headers],0),FALSE),"CHECK")</f>
        <v>Beverage</v>
      </c>
      <c r="G81" s="7">
        <f>IFERROR(INT(VLOOKUP($A81,Orders[],MATCH("OrderDateTime",Orders[#Headers],0),FALSE)),"CHECK")</f>
        <v>45888</v>
      </c>
      <c r="H81" s="7" t="str">
        <f>IFERROR(VLOOKUP($A81,Orders[],MATCH(H$1,Orders[#Headers],0),FALSE),"CHECK")</f>
        <v>Plant 2 Canteen</v>
      </c>
      <c r="I81">
        <f>IFERROR(VLOOKUP(OrderLines[[#This Row],[OrderID]],Orders[],MATCH(OrderLines[[#Headers],[DiscountPct]],Orders[#Headers],0),FALSE),"CHECK")</f>
        <v>0.12</v>
      </c>
      <c r="J81" t="str">
        <f>IFERROR(VLOOKUP(OrderLines[[#This Row],[OrderID]],Orders[],MATCH(OrderLines[[#Headers],[Shift]],Orders[#Headers],0),FALSE),"CHECK")</f>
        <v>Breakfast</v>
      </c>
      <c r="K81" s="11">
        <f>OrderLines[[#This Row],[Qty]] * OrderLines[[#This Row],[UnitPrice]] * (1-OrderLines[[#This Row],[DiscountPct]])</f>
        <v>58.044799999999995</v>
      </c>
      <c r="L81">
        <f>OrderLines[[#This Row],[Qty]]*OrderLines[[#This Row],[UnitCost]]</f>
        <v>23.68</v>
      </c>
    </row>
    <row r="82" spans="1:12" x14ac:dyDescent="0.25">
      <c r="A82" t="s">
        <v>65</v>
      </c>
      <c r="B82" t="s">
        <v>417</v>
      </c>
      <c r="C82">
        <v>2</v>
      </c>
      <c r="D82" s="9">
        <f>IFERROR(VLOOKUP($B82,Menu[],MATCH(D$1,Menu[#Headers],0),FALSE),"CHECK")</f>
        <v>146.4</v>
      </c>
      <c r="E82" s="9">
        <f>IFERROR(VLOOKUP($B82,Menu[],MATCH(E$1,Menu[#Headers],0),FALSE),"CHECK")</f>
        <v>80.92</v>
      </c>
      <c r="F82" t="str">
        <f>IFERROR(VLOOKUP($B82,Menu[],MATCH(F$1,Menu[#Headers],0),FALSE),"CHECK")</f>
        <v>Hot Meal</v>
      </c>
      <c r="G82" s="7">
        <f>IFERROR(INT(VLOOKUP($A82,Orders[],MATCH("OrderDateTime",Orders[#Headers],0),FALSE)),"CHECK")</f>
        <v>45888</v>
      </c>
      <c r="H82" s="7" t="str">
        <f>IFERROR(VLOOKUP($A82,Orders[],MATCH(H$1,Orders[#Headers],0),FALSE),"CHECK")</f>
        <v>Plant 2 Canteen</v>
      </c>
      <c r="I82">
        <f>IFERROR(VLOOKUP(OrderLines[[#This Row],[OrderID]],Orders[],MATCH(OrderLines[[#Headers],[DiscountPct]],Orders[#Headers],0),FALSE),"CHECK")</f>
        <v>0.12</v>
      </c>
      <c r="J82" t="str">
        <f>IFERROR(VLOOKUP(OrderLines[[#This Row],[OrderID]],Orders[],MATCH(OrderLines[[#Headers],[Shift]],Orders[#Headers],0),FALSE),"CHECK")</f>
        <v>Breakfast</v>
      </c>
      <c r="K82" s="11">
        <f>OrderLines[[#This Row],[Qty]] * OrderLines[[#This Row],[UnitPrice]] * (1-OrderLines[[#This Row],[DiscountPct]])</f>
        <v>257.66399999999999</v>
      </c>
      <c r="L82">
        <f>OrderLines[[#This Row],[Qty]]*OrderLines[[#This Row],[UnitCost]]</f>
        <v>161.84</v>
      </c>
    </row>
    <row r="83" spans="1:12" x14ac:dyDescent="0.25">
      <c r="A83" t="s">
        <v>66</v>
      </c>
      <c r="B83" t="s">
        <v>418</v>
      </c>
      <c r="C83">
        <v>1</v>
      </c>
      <c r="D83" s="9">
        <f>IFERROR(VLOOKUP($B83,Menu[],MATCH(D$1,Menu[#Headers],0),FALSE),"CHECK")</f>
        <v>39.950000000000003</v>
      </c>
      <c r="E83" s="9">
        <f>IFERROR(VLOOKUP($B83,Menu[],MATCH(E$1,Menu[#Headers],0),FALSE),"CHECK")</f>
        <v>15.51</v>
      </c>
      <c r="F83" t="str">
        <f>IFERROR(VLOOKUP($B83,Menu[],MATCH(F$1,Menu[#Headers],0),FALSE),"CHECK")</f>
        <v>Snack</v>
      </c>
      <c r="G83" s="7">
        <f>IFERROR(INT(VLOOKUP($A83,Orders[],MATCH("OrderDateTime",Orders[#Headers],0),FALSE)),"CHECK")</f>
        <v>45880</v>
      </c>
      <c r="H83" s="7" t="str">
        <f>IFERROR(VLOOKUP($A83,Orders[],MATCH(H$1,Orders[#Headers],0),FALSE),"CHECK")</f>
        <v>Plant 2 Canteen</v>
      </c>
      <c r="I83">
        <f>IFERROR(VLOOKUP(OrderLines[[#This Row],[OrderID]],Orders[],MATCH(OrderLines[[#Headers],[DiscountPct]],Orders[#Headers],0),FALSE),"CHECK")</f>
        <v>0</v>
      </c>
      <c r="J83" t="str">
        <f>IFERROR(VLOOKUP(OrderLines[[#This Row],[OrderID]],Orders[],MATCH(OrderLines[[#Headers],[Shift]],Orders[#Headers],0),FALSE),"CHECK")</f>
        <v>Breakfast</v>
      </c>
      <c r="K83" s="11">
        <f>OrderLines[[#This Row],[Qty]] * OrderLines[[#This Row],[UnitPrice]] * (1-OrderLines[[#This Row],[DiscountPct]])</f>
        <v>39.950000000000003</v>
      </c>
      <c r="L83">
        <f>OrderLines[[#This Row],[Qty]]*OrderLines[[#This Row],[UnitCost]]</f>
        <v>15.51</v>
      </c>
    </row>
    <row r="84" spans="1:12" x14ac:dyDescent="0.25">
      <c r="A84" t="s">
        <v>66</v>
      </c>
      <c r="B84" t="s">
        <v>414</v>
      </c>
      <c r="C84">
        <v>3</v>
      </c>
      <c r="D84" s="9">
        <f>IFERROR(VLOOKUP($B84,Menu[],MATCH(D$1,Menu[#Headers],0),FALSE),"CHECK")</f>
        <v>116.8</v>
      </c>
      <c r="E84" s="9">
        <f>IFERROR(VLOOKUP($B84,Menu[],MATCH(E$1,Menu[#Headers],0),FALSE),"CHECK")</f>
        <v>48.97</v>
      </c>
      <c r="F84" t="str">
        <f>IFERROR(VLOOKUP($B84,Menu[],MATCH(F$1,Menu[#Headers],0),FALSE),"CHECK")</f>
        <v>Dessert</v>
      </c>
      <c r="G84" s="7">
        <f>IFERROR(INT(VLOOKUP($A84,Orders[],MATCH("OrderDateTime",Orders[#Headers],0),FALSE)),"CHECK")</f>
        <v>45880</v>
      </c>
      <c r="H84" s="7" t="str">
        <f>IFERROR(VLOOKUP($A84,Orders[],MATCH(H$1,Orders[#Headers],0),FALSE),"CHECK")</f>
        <v>Plant 2 Canteen</v>
      </c>
      <c r="I84">
        <f>IFERROR(VLOOKUP(OrderLines[[#This Row],[OrderID]],Orders[],MATCH(OrderLines[[#Headers],[DiscountPct]],Orders[#Headers],0),FALSE),"CHECK")</f>
        <v>0</v>
      </c>
      <c r="J84" t="str">
        <f>IFERROR(VLOOKUP(OrderLines[[#This Row],[OrderID]],Orders[],MATCH(OrderLines[[#Headers],[Shift]],Orders[#Headers],0),FALSE),"CHECK")</f>
        <v>Breakfast</v>
      </c>
      <c r="K84" s="11">
        <f>OrderLines[[#This Row],[Qty]] * OrderLines[[#This Row],[UnitPrice]] * (1-OrderLines[[#This Row],[DiscountPct]])</f>
        <v>350.4</v>
      </c>
      <c r="L84">
        <f>OrderLines[[#This Row],[Qty]]*OrderLines[[#This Row],[UnitCost]]</f>
        <v>146.91</v>
      </c>
    </row>
    <row r="85" spans="1:12" x14ac:dyDescent="0.25">
      <c r="A85" t="s">
        <v>67</v>
      </c>
      <c r="B85" t="s">
        <v>404</v>
      </c>
      <c r="C85">
        <v>1</v>
      </c>
      <c r="D85" s="9">
        <f>IFERROR(VLOOKUP($B85,Menu[],MATCH(D$1,Menu[#Headers],0),FALSE),"CHECK")</f>
        <v>32.979999999999997</v>
      </c>
      <c r="E85" s="9">
        <f>IFERROR(VLOOKUP($B85,Menu[],MATCH(E$1,Menu[#Headers],0),FALSE),"CHECK")</f>
        <v>11.84</v>
      </c>
      <c r="F85" t="str">
        <f>IFERROR(VLOOKUP($B85,Menu[],MATCH(F$1,Menu[#Headers],0),FALSE),"CHECK")</f>
        <v>Beverage</v>
      </c>
      <c r="G85" s="7">
        <f>IFERROR(INT(VLOOKUP($A85,Orders[],MATCH("OrderDateTime",Orders[#Headers],0),FALSE)),"CHECK")</f>
        <v>45851</v>
      </c>
      <c r="H85" s="7" t="str">
        <f>IFERROR(VLOOKUP($A85,Orders[],MATCH(H$1,Orders[#Headers],0),FALSE),"CHECK")</f>
        <v>Head Office Café</v>
      </c>
      <c r="I85">
        <f>IFERROR(VLOOKUP(OrderLines[[#This Row],[OrderID]],Orders[],MATCH(OrderLines[[#Headers],[DiscountPct]],Orders[#Headers],0),FALSE),"CHECK")</f>
        <v>0.09</v>
      </c>
      <c r="J85" t="str">
        <f>IFERROR(VLOOKUP(OrderLines[[#This Row],[OrderID]],Orders[],MATCH(OrderLines[[#Headers],[Shift]],Orders[#Headers],0),FALSE),"CHECK")</f>
        <v>Dinner</v>
      </c>
      <c r="K85" s="11">
        <f>OrderLines[[#This Row],[Qty]] * OrderLines[[#This Row],[UnitPrice]] * (1-OrderLines[[#This Row],[DiscountPct]])</f>
        <v>30.011799999999997</v>
      </c>
      <c r="L85">
        <f>OrderLines[[#This Row],[Qty]]*OrderLines[[#This Row],[UnitCost]]</f>
        <v>11.84</v>
      </c>
    </row>
    <row r="86" spans="1:12" x14ac:dyDescent="0.25">
      <c r="A86" t="s">
        <v>67</v>
      </c>
      <c r="B86" t="s">
        <v>418</v>
      </c>
      <c r="C86">
        <v>1</v>
      </c>
      <c r="D86" s="9">
        <f>IFERROR(VLOOKUP($B86,Menu[],MATCH(D$1,Menu[#Headers],0),FALSE),"CHECK")</f>
        <v>39.950000000000003</v>
      </c>
      <c r="E86" s="9">
        <f>IFERROR(VLOOKUP($B86,Menu[],MATCH(E$1,Menu[#Headers],0),FALSE),"CHECK")</f>
        <v>15.51</v>
      </c>
      <c r="F86" t="str">
        <f>IFERROR(VLOOKUP($B86,Menu[],MATCH(F$1,Menu[#Headers],0),FALSE),"CHECK")</f>
        <v>Snack</v>
      </c>
      <c r="G86" s="7">
        <f>IFERROR(INT(VLOOKUP($A86,Orders[],MATCH("OrderDateTime",Orders[#Headers],0),FALSE)),"CHECK")</f>
        <v>45851</v>
      </c>
      <c r="H86" s="7" t="str">
        <f>IFERROR(VLOOKUP($A86,Orders[],MATCH(H$1,Orders[#Headers],0),FALSE),"CHECK")</f>
        <v>Head Office Café</v>
      </c>
      <c r="I86">
        <f>IFERROR(VLOOKUP(OrderLines[[#This Row],[OrderID]],Orders[],MATCH(OrderLines[[#Headers],[DiscountPct]],Orders[#Headers],0),FALSE),"CHECK")</f>
        <v>0.09</v>
      </c>
      <c r="J86" t="str">
        <f>IFERROR(VLOOKUP(OrderLines[[#This Row],[OrderID]],Orders[],MATCH(OrderLines[[#Headers],[Shift]],Orders[#Headers],0),FALSE),"CHECK")</f>
        <v>Dinner</v>
      </c>
      <c r="K86" s="11">
        <f>OrderLines[[#This Row],[Qty]] * OrderLines[[#This Row],[UnitPrice]] * (1-OrderLines[[#This Row],[DiscountPct]])</f>
        <v>36.354500000000002</v>
      </c>
      <c r="L86">
        <f>OrderLines[[#This Row],[Qty]]*OrderLines[[#This Row],[UnitCost]]</f>
        <v>15.51</v>
      </c>
    </row>
    <row r="87" spans="1:12" x14ac:dyDescent="0.25">
      <c r="A87" t="s">
        <v>67</v>
      </c>
      <c r="B87" t="s">
        <v>411</v>
      </c>
      <c r="C87">
        <v>1</v>
      </c>
      <c r="D87" s="9">
        <f>IFERROR(VLOOKUP($B87,Menu[],MATCH(D$1,Menu[#Headers],0),FALSE),"CHECK")</f>
        <v>22.2</v>
      </c>
      <c r="E87" s="9">
        <f>IFERROR(VLOOKUP($B87,Menu[],MATCH(E$1,Menu[#Headers],0),FALSE),"CHECK")</f>
        <v>9.3800000000000008</v>
      </c>
      <c r="F87" t="str">
        <f>IFERROR(VLOOKUP($B87,Menu[],MATCH(F$1,Menu[#Headers],0),FALSE),"CHECK")</f>
        <v>Beverage</v>
      </c>
      <c r="G87" s="7">
        <f>IFERROR(INT(VLOOKUP($A87,Orders[],MATCH("OrderDateTime",Orders[#Headers],0),FALSE)),"CHECK")</f>
        <v>45851</v>
      </c>
      <c r="H87" s="7" t="str">
        <f>IFERROR(VLOOKUP($A87,Orders[],MATCH(H$1,Orders[#Headers],0),FALSE),"CHECK")</f>
        <v>Head Office Café</v>
      </c>
      <c r="I87">
        <f>IFERROR(VLOOKUP(OrderLines[[#This Row],[OrderID]],Orders[],MATCH(OrderLines[[#Headers],[DiscountPct]],Orders[#Headers],0),FALSE),"CHECK")</f>
        <v>0.09</v>
      </c>
      <c r="J87" t="str">
        <f>IFERROR(VLOOKUP(OrderLines[[#This Row],[OrderID]],Orders[],MATCH(OrderLines[[#Headers],[Shift]],Orders[#Headers],0),FALSE),"CHECK")</f>
        <v>Dinner</v>
      </c>
      <c r="K87" s="11">
        <f>OrderLines[[#This Row],[Qty]] * OrderLines[[#This Row],[UnitPrice]] * (1-OrderLines[[#This Row],[DiscountPct]])</f>
        <v>20.202000000000002</v>
      </c>
      <c r="L87">
        <f>OrderLines[[#This Row],[Qty]]*OrderLines[[#This Row],[UnitCost]]</f>
        <v>9.3800000000000008</v>
      </c>
    </row>
    <row r="88" spans="1:12" x14ac:dyDescent="0.25">
      <c r="A88" t="s">
        <v>68</v>
      </c>
      <c r="B88" t="s">
        <v>414</v>
      </c>
      <c r="C88">
        <v>1</v>
      </c>
      <c r="D88" s="9">
        <f>IFERROR(VLOOKUP($B88,Menu[],MATCH(D$1,Menu[#Headers],0),FALSE),"CHECK")</f>
        <v>116.8</v>
      </c>
      <c r="E88" s="9">
        <f>IFERROR(VLOOKUP($B88,Menu[],MATCH(E$1,Menu[#Headers],0),FALSE),"CHECK")</f>
        <v>48.97</v>
      </c>
      <c r="F88" t="str">
        <f>IFERROR(VLOOKUP($B88,Menu[],MATCH(F$1,Menu[#Headers],0),FALSE),"CHECK")</f>
        <v>Dessert</v>
      </c>
      <c r="G88" s="7">
        <f>IFERROR(INT(VLOOKUP($A88,Orders[],MATCH("OrderDateTime",Orders[#Headers],0),FALSE)),"CHECK")</f>
        <v>45892</v>
      </c>
      <c r="H88" s="7" t="str">
        <f>IFERROR(VLOOKUP($A88,Orders[],MATCH(H$1,Orders[#Headers],0),FALSE),"CHECK")</f>
        <v>Head Office Café</v>
      </c>
      <c r="I88">
        <f>IFERROR(VLOOKUP(OrderLines[[#This Row],[OrderID]],Orders[],MATCH(OrderLines[[#Headers],[DiscountPct]],Orders[#Headers],0),FALSE),"CHECK")</f>
        <v>0.06</v>
      </c>
      <c r="J88" t="str">
        <f>IFERROR(VLOOKUP(OrderLines[[#This Row],[OrderID]],Orders[],MATCH(OrderLines[[#Headers],[Shift]],Orders[#Headers],0),FALSE),"CHECK")</f>
        <v>Dinner</v>
      </c>
      <c r="K88" s="11">
        <f>OrderLines[[#This Row],[Qty]] * OrderLines[[#This Row],[UnitPrice]] * (1-OrderLines[[#This Row],[DiscountPct]])</f>
        <v>109.79199999999999</v>
      </c>
      <c r="L88">
        <f>OrderLines[[#This Row],[Qty]]*OrderLines[[#This Row],[UnitCost]]</f>
        <v>48.97</v>
      </c>
    </row>
    <row r="89" spans="1:12" x14ac:dyDescent="0.25">
      <c r="A89" t="s">
        <v>68</v>
      </c>
      <c r="B89" t="s">
        <v>416</v>
      </c>
      <c r="C89">
        <v>2</v>
      </c>
      <c r="D89" s="9">
        <f>IFERROR(VLOOKUP($B89,Menu[],MATCH(D$1,Menu[#Headers],0),FALSE),"CHECK")</f>
        <v>227.61</v>
      </c>
      <c r="E89" s="9">
        <f>IFERROR(VLOOKUP($B89,Menu[],MATCH(E$1,Menu[#Headers],0),FALSE),"CHECK")</f>
        <v>96.22</v>
      </c>
      <c r="F89" t="str">
        <f>IFERROR(VLOOKUP($B89,Menu[],MATCH(F$1,Menu[#Headers],0),FALSE),"CHECK")</f>
        <v>Hot Meal</v>
      </c>
      <c r="G89" s="7">
        <f>IFERROR(INT(VLOOKUP($A89,Orders[],MATCH("OrderDateTime",Orders[#Headers],0),FALSE)),"CHECK")</f>
        <v>45892</v>
      </c>
      <c r="H89" s="7" t="str">
        <f>IFERROR(VLOOKUP($A89,Orders[],MATCH(H$1,Orders[#Headers],0),FALSE),"CHECK")</f>
        <v>Head Office Café</v>
      </c>
      <c r="I89">
        <f>IFERROR(VLOOKUP(OrderLines[[#This Row],[OrderID]],Orders[],MATCH(OrderLines[[#Headers],[DiscountPct]],Orders[#Headers],0),FALSE),"CHECK")</f>
        <v>0.06</v>
      </c>
      <c r="J89" t="str">
        <f>IFERROR(VLOOKUP(OrderLines[[#This Row],[OrderID]],Orders[],MATCH(OrderLines[[#Headers],[Shift]],Orders[#Headers],0),FALSE),"CHECK")</f>
        <v>Dinner</v>
      </c>
      <c r="K89" s="11">
        <f>OrderLines[[#This Row],[Qty]] * OrderLines[[#This Row],[UnitPrice]] * (1-OrderLines[[#This Row],[DiscountPct]])</f>
        <v>427.90679999999998</v>
      </c>
      <c r="L89">
        <f>OrderLines[[#This Row],[Qty]]*OrderLines[[#This Row],[UnitCost]]</f>
        <v>192.44</v>
      </c>
    </row>
    <row r="90" spans="1:12" x14ac:dyDescent="0.25">
      <c r="A90" t="s">
        <v>68</v>
      </c>
      <c r="B90" t="s">
        <v>403</v>
      </c>
      <c r="C90">
        <v>1</v>
      </c>
      <c r="D90" s="9">
        <f>IFERROR(VLOOKUP($B90,Menu[],MATCH(D$1,Menu[#Headers],0),FALSE),"CHECK")</f>
        <v>76.55</v>
      </c>
      <c r="E90" s="9">
        <f>IFERROR(VLOOKUP($B90,Menu[],MATCH(E$1,Menu[#Headers],0),FALSE),"CHECK")</f>
        <v>38.229999999999997</v>
      </c>
      <c r="F90" t="str">
        <f>IFERROR(VLOOKUP($B90,Menu[],MATCH(F$1,Menu[#Headers],0),FALSE),"CHECK")</f>
        <v>Dessert</v>
      </c>
      <c r="G90" s="7">
        <f>IFERROR(INT(VLOOKUP($A90,Orders[],MATCH("OrderDateTime",Orders[#Headers],0),FALSE)),"CHECK")</f>
        <v>45892</v>
      </c>
      <c r="H90" s="7" t="str">
        <f>IFERROR(VLOOKUP($A90,Orders[],MATCH(H$1,Orders[#Headers],0),FALSE),"CHECK")</f>
        <v>Head Office Café</v>
      </c>
      <c r="I90">
        <f>IFERROR(VLOOKUP(OrderLines[[#This Row],[OrderID]],Orders[],MATCH(OrderLines[[#Headers],[DiscountPct]],Orders[#Headers],0),FALSE),"CHECK")</f>
        <v>0.06</v>
      </c>
      <c r="J90" t="str">
        <f>IFERROR(VLOOKUP(OrderLines[[#This Row],[OrderID]],Orders[],MATCH(OrderLines[[#Headers],[Shift]],Orders[#Headers],0),FALSE),"CHECK")</f>
        <v>Dinner</v>
      </c>
      <c r="K90" s="11">
        <f>OrderLines[[#This Row],[Qty]] * OrderLines[[#This Row],[UnitPrice]] * (1-OrderLines[[#This Row],[DiscountPct]])</f>
        <v>71.956999999999994</v>
      </c>
      <c r="L90">
        <f>OrderLines[[#This Row],[Qty]]*OrderLines[[#This Row],[UnitCost]]</f>
        <v>38.229999999999997</v>
      </c>
    </row>
    <row r="91" spans="1:12" x14ac:dyDescent="0.25">
      <c r="A91" t="s">
        <v>68</v>
      </c>
      <c r="B91" t="s">
        <v>409</v>
      </c>
      <c r="C91">
        <v>1</v>
      </c>
      <c r="D91" s="9">
        <f>IFERROR(VLOOKUP($B91,Menu[],MATCH(D$1,Menu[#Headers],0),FALSE),"CHECK")</f>
        <v>28.43</v>
      </c>
      <c r="E91" s="9">
        <f>IFERROR(VLOOKUP($B91,Menu[],MATCH(E$1,Menu[#Headers],0),FALSE),"CHECK")</f>
        <v>13.89</v>
      </c>
      <c r="F91" t="str">
        <f>IFERROR(VLOOKUP($B91,Menu[],MATCH(F$1,Menu[#Headers],0),FALSE),"CHECK")</f>
        <v>Beverage</v>
      </c>
      <c r="G91" s="7">
        <f>IFERROR(INT(VLOOKUP($A91,Orders[],MATCH("OrderDateTime",Orders[#Headers],0),FALSE)),"CHECK")</f>
        <v>45892</v>
      </c>
      <c r="H91" s="7" t="str">
        <f>IFERROR(VLOOKUP($A91,Orders[],MATCH(H$1,Orders[#Headers],0),FALSE),"CHECK")</f>
        <v>Head Office Café</v>
      </c>
      <c r="I91">
        <f>IFERROR(VLOOKUP(OrderLines[[#This Row],[OrderID]],Orders[],MATCH(OrderLines[[#Headers],[DiscountPct]],Orders[#Headers],0),FALSE),"CHECK")</f>
        <v>0.06</v>
      </c>
      <c r="J91" t="str">
        <f>IFERROR(VLOOKUP(OrderLines[[#This Row],[OrderID]],Orders[],MATCH(OrderLines[[#Headers],[Shift]],Orders[#Headers],0),FALSE),"CHECK")</f>
        <v>Dinner</v>
      </c>
      <c r="K91" s="11">
        <f>OrderLines[[#This Row],[Qty]] * OrderLines[[#This Row],[UnitPrice]] * (1-OrderLines[[#This Row],[DiscountPct]])</f>
        <v>26.7242</v>
      </c>
      <c r="L91">
        <f>OrderLines[[#This Row],[Qty]]*OrderLines[[#This Row],[UnitCost]]</f>
        <v>13.89</v>
      </c>
    </row>
    <row r="92" spans="1:12" x14ac:dyDescent="0.25">
      <c r="A92" t="s">
        <v>70</v>
      </c>
      <c r="B92" t="s">
        <v>419</v>
      </c>
      <c r="C92">
        <v>1</v>
      </c>
      <c r="D92" s="9">
        <f>IFERROR(VLOOKUP($B92,Menu[],MATCH(D$1,Menu[#Headers],0),FALSE),"CHECK")</f>
        <v>50.19</v>
      </c>
      <c r="E92" s="9">
        <f>IFERROR(VLOOKUP($B92,Menu[],MATCH(E$1,Menu[#Headers],0),FALSE),"CHECK")</f>
        <v>22.61</v>
      </c>
      <c r="F92" t="str">
        <f>IFERROR(VLOOKUP($B92,Menu[],MATCH(F$1,Menu[#Headers],0),FALSE),"CHECK")</f>
        <v>Snack</v>
      </c>
      <c r="G92" s="7">
        <f>IFERROR(INT(VLOOKUP($A92,Orders[],MATCH("OrderDateTime",Orders[#Headers],0),FALSE)),"CHECK")</f>
        <v>45850</v>
      </c>
      <c r="H92" s="7" t="str">
        <f>IFERROR(VLOOKUP($A92,Orders[],MATCH(H$1,Orders[#Headers],0),FALSE),"CHECK")</f>
        <v>Plant 1 Canteen</v>
      </c>
      <c r="I92">
        <f>IFERROR(VLOOKUP(OrderLines[[#This Row],[OrderID]],Orders[],MATCH(OrderLines[[#Headers],[DiscountPct]],Orders[#Headers],0),FALSE),"CHECK")</f>
        <v>0.05</v>
      </c>
      <c r="J92" t="str">
        <f>IFERROR(VLOOKUP(OrderLines[[#This Row],[OrderID]],Orders[],MATCH(OrderLines[[#Headers],[Shift]],Orders[#Headers],0),FALSE),"CHECK")</f>
        <v>Breakfast</v>
      </c>
      <c r="K92" s="11">
        <f>OrderLines[[#This Row],[Qty]] * OrderLines[[#This Row],[UnitPrice]] * (1-OrderLines[[#This Row],[DiscountPct]])</f>
        <v>47.680499999999995</v>
      </c>
      <c r="L92">
        <f>OrderLines[[#This Row],[Qty]]*OrderLines[[#This Row],[UnitCost]]</f>
        <v>22.61</v>
      </c>
    </row>
    <row r="93" spans="1:12" x14ac:dyDescent="0.25">
      <c r="A93" t="s">
        <v>70</v>
      </c>
      <c r="B93" t="s">
        <v>405</v>
      </c>
      <c r="C93">
        <v>1</v>
      </c>
      <c r="D93" s="9">
        <f>IFERROR(VLOOKUP($B93,Menu[],MATCH(D$1,Menu[#Headers],0),FALSE),"CHECK")</f>
        <v>170.83</v>
      </c>
      <c r="E93" s="9">
        <f>IFERROR(VLOOKUP($B93,Menu[],MATCH(E$1,Menu[#Headers],0),FALSE),"CHECK")</f>
        <v>74.069999999999993</v>
      </c>
      <c r="F93" t="str">
        <f>IFERROR(VLOOKUP($B93,Menu[],MATCH(F$1,Menu[#Headers],0),FALSE),"CHECK")</f>
        <v>Hot Meal</v>
      </c>
      <c r="G93" s="7">
        <f>IFERROR(INT(VLOOKUP($A93,Orders[],MATCH("OrderDateTime",Orders[#Headers],0),FALSE)),"CHECK")</f>
        <v>45850</v>
      </c>
      <c r="H93" s="7" t="str">
        <f>IFERROR(VLOOKUP($A93,Orders[],MATCH(H$1,Orders[#Headers],0),FALSE),"CHECK")</f>
        <v>Plant 1 Canteen</v>
      </c>
      <c r="I93">
        <f>IFERROR(VLOOKUP(OrderLines[[#This Row],[OrderID]],Orders[],MATCH(OrderLines[[#Headers],[DiscountPct]],Orders[#Headers],0),FALSE),"CHECK")</f>
        <v>0.05</v>
      </c>
      <c r="J93" t="str">
        <f>IFERROR(VLOOKUP(OrderLines[[#This Row],[OrderID]],Orders[],MATCH(OrderLines[[#Headers],[Shift]],Orders[#Headers],0),FALSE),"CHECK")</f>
        <v>Breakfast</v>
      </c>
      <c r="K93" s="11">
        <f>OrderLines[[#This Row],[Qty]] * OrderLines[[#This Row],[UnitPrice]] * (1-OrderLines[[#This Row],[DiscountPct]])</f>
        <v>162.2885</v>
      </c>
      <c r="L93">
        <f>OrderLines[[#This Row],[Qty]]*OrderLines[[#This Row],[UnitCost]]</f>
        <v>74.069999999999993</v>
      </c>
    </row>
    <row r="94" spans="1:12" x14ac:dyDescent="0.25">
      <c r="A94" t="s">
        <v>71</v>
      </c>
      <c r="B94" t="s">
        <v>405</v>
      </c>
      <c r="C94">
        <v>2</v>
      </c>
      <c r="D94" s="9">
        <f>IFERROR(VLOOKUP($B94,Menu[],MATCH(D$1,Menu[#Headers],0),FALSE),"CHECK")</f>
        <v>170.83</v>
      </c>
      <c r="E94" s="9">
        <f>IFERROR(VLOOKUP($B94,Menu[],MATCH(E$1,Menu[#Headers],0),FALSE),"CHECK")</f>
        <v>74.069999999999993</v>
      </c>
      <c r="F94" t="str">
        <f>IFERROR(VLOOKUP($B94,Menu[],MATCH(F$1,Menu[#Headers],0),FALSE),"CHECK")</f>
        <v>Hot Meal</v>
      </c>
      <c r="G94" s="7">
        <f>IFERROR(INT(VLOOKUP($A94,Orders[],MATCH("OrderDateTime",Orders[#Headers],0),FALSE)),"CHECK")</f>
        <v>45842</v>
      </c>
      <c r="H94" s="7" t="str">
        <f>IFERROR(VLOOKUP($A94,Orders[],MATCH(H$1,Orders[#Headers],0),FALSE),"CHECK")</f>
        <v>Plant 2 Canteen</v>
      </c>
      <c r="I94">
        <f>IFERROR(VLOOKUP(OrderLines[[#This Row],[OrderID]],Orders[],MATCH(OrderLines[[#Headers],[DiscountPct]],Orders[#Headers],0),FALSE),"CHECK")</f>
        <v>0.06</v>
      </c>
      <c r="J94" t="str">
        <f>IFERROR(VLOOKUP(OrderLines[[#This Row],[OrderID]],Orders[],MATCH(OrderLines[[#Headers],[Shift]],Orders[#Headers],0),FALSE),"CHECK")</f>
        <v>Dinner</v>
      </c>
      <c r="K94" s="11">
        <f>OrderLines[[#This Row],[Qty]] * OrderLines[[#This Row],[UnitPrice]] * (1-OrderLines[[#This Row],[DiscountPct]])</f>
        <v>321.16039999999998</v>
      </c>
      <c r="L94">
        <f>OrderLines[[#This Row],[Qty]]*OrderLines[[#This Row],[UnitCost]]</f>
        <v>148.13999999999999</v>
      </c>
    </row>
    <row r="95" spans="1:12" x14ac:dyDescent="0.25">
      <c r="A95" t="s">
        <v>73</v>
      </c>
      <c r="B95" t="s">
        <v>411</v>
      </c>
      <c r="C95">
        <v>1</v>
      </c>
      <c r="D95" s="9">
        <f>IFERROR(VLOOKUP($B95,Menu[],MATCH(D$1,Menu[#Headers],0),FALSE),"CHECK")</f>
        <v>22.2</v>
      </c>
      <c r="E95" s="9">
        <f>IFERROR(VLOOKUP($B95,Menu[],MATCH(E$1,Menu[#Headers],0),FALSE),"CHECK")</f>
        <v>9.3800000000000008</v>
      </c>
      <c r="F95" t="str">
        <f>IFERROR(VLOOKUP($B95,Menu[],MATCH(F$1,Menu[#Headers],0),FALSE),"CHECK")</f>
        <v>Beverage</v>
      </c>
      <c r="G95" s="7">
        <f>IFERROR(INT(VLOOKUP($A95,Orders[],MATCH("OrderDateTime",Orders[#Headers],0),FALSE)),"CHECK")</f>
        <v>45880</v>
      </c>
      <c r="H95" s="7" t="str">
        <f>IFERROR(VLOOKUP($A95,Orders[],MATCH(H$1,Orders[#Headers],0),FALSE),"CHECK")</f>
        <v>Plant 1 Canteen</v>
      </c>
      <c r="I95">
        <f>IFERROR(VLOOKUP(OrderLines[[#This Row],[OrderID]],Orders[],MATCH(OrderLines[[#Headers],[DiscountPct]],Orders[#Headers],0),FALSE),"CHECK")</f>
        <v>0</v>
      </c>
      <c r="J95" t="str">
        <f>IFERROR(VLOOKUP(OrderLines[[#This Row],[OrderID]],Orders[],MATCH(OrderLines[[#Headers],[Shift]],Orders[#Headers],0),FALSE),"CHECK")</f>
        <v>Dinner</v>
      </c>
      <c r="K95" s="11">
        <f>OrderLines[[#This Row],[Qty]] * OrderLines[[#This Row],[UnitPrice]] * (1-OrderLines[[#This Row],[DiscountPct]])</f>
        <v>22.2</v>
      </c>
      <c r="L95">
        <f>OrderLines[[#This Row],[Qty]]*OrderLines[[#This Row],[UnitCost]]</f>
        <v>9.3800000000000008</v>
      </c>
    </row>
    <row r="96" spans="1:12" x14ac:dyDescent="0.25">
      <c r="A96" t="s">
        <v>73</v>
      </c>
      <c r="B96" t="s">
        <v>404</v>
      </c>
      <c r="C96">
        <v>2</v>
      </c>
      <c r="D96" s="9">
        <f>IFERROR(VLOOKUP($B96,Menu[],MATCH(D$1,Menu[#Headers],0),FALSE),"CHECK")</f>
        <v>32.979999999999997</v>
      </c>
      <c r="E96" s="9">
        <f>IFERROR(VLOOKUP($B96,Menu[],MATCH(E$1,Menu[#Headers],0),FALSE),"CHECK")</f>
        <v>11.84</v>
      </c>
      <c r="F96" t="str">
        <f>IFERROR(VLOOKUP($B96,Menu[],MATCH(F$1,Menu[#Headers],0),FALSE),"CHECK")</f>
        <v>Beverage</v>
      </c>
      <c r="G96" s="7">
        <f>IFERROR(INT(VLOOKUP($A96,Orders[],MATCH("OrderDateTime",Orders[#Headers],0),FALSE)),"CHECK")</f>
        <v>45880</v>
      </c>
      <c r="H96" s="7" t="str">
        <f>IFERROR(VLOOKUP($A96,Orders[],MATCH(H$1,Orders[#Headers],0),FALSE),"CHECK")</f>
        <v>Plant 1 Canteen</v>
      </c>
      <c r="I96">
        <f>IFERROR(VLOOKUP(OrderLines[[#This Row],[OrderID]],Orders[],MATCH(OrderLines[[#Headers],[DiscountPct]],Orders[#Headers],0),FALSE),"CHECK")</f>
        <v>0</v>
      </c>
      <c r="J96" t="str">
        <f>IFERROR(VLOOKUP(OrderLines[[#This Row],[OrderID]],Orders[],MATCH(OrderLines[[#Headers],[Shift]],Orders[#Headers],0),FALSE),"CHECK")</f>
        <v>Dinner</v>
      </c>
      <c r="K96" s="11">
        <f>OrderLines[[#This Row],[Qty]] * OrderLines[[#This Row],[UnitPrice]] * (1-OrderLines[[#This Row],[DiscountPct]])</f>
        <v>65.959999999999994</v>
      </c>
      <c r="L96">
        <f>OrderLines[[#This Row],[Qty]]*OrderLines[[#This Row],[UnitCost]]</f>
        <v>23.68</v>
      </c>
    </row>
    <row r="97" spans="1:12" x14ac:dyDescent="0.25">
      <c r="A97" t="s">
        <v>75</v>
      </c>
      <c r="B97" t="s">
        <v>405</v>
      </c>
      <c r="C97">
        <v>3</v>
      </c>
      <c r="D97" s="9">
        <f>IFERROR(VLOOKUP($B97,Menu[],MATCH(D$1,Menu[#Headers],0),FALSE),"CHECK")</f>
        <v>170.83</v>
      </c>
      <c r="E97" s="9">
        <f>IFERROR(VLOOKUP($B97,Menu[],MATCH(E$1,Menu[#Headers],0),FALSE),"CHECK")</f>
        <v>74.069999999999993</v>
      </c>
      <c r="F97" t="str">
        <f>IFERROR(VLOOKUP($B97,Menu[],MATCH(F$1,Menu[#Headers],0),FALSE),"CHECK")</f>
        <v>Hot Meal</v>
      </c>
      <c r="G97" s="7">
        <f>IFERROR(INT(VLOOKUP($A97,Orders[],MATCH("OrderDateTime",Orders[#Headers],0),FALSE)),"CHECK")</f>
        <v>45843</v>
      </c>
      <c r="H97" s="7" t="str">
        <f>IFERROR(VLOOKUP($A97,Orders[],MATCH(H$1,Orders[#Headers],0),FALSE),"CHECK")</f>
        <v>Plant 2 Canteen</v>
      </c>
      <c r="I97">
        <f>IFERROR(VLOOKUP(OrderLines[[#This Row],[OrderID]],Orders[],MATCH(OrderLines[[#Headers],[DiscountPct]],Orders[#Headers],0),FALSE),"CHECK")</f>
        <v>0.05</v>
      </c>
      <c r="J97" t="str">
        <f>IFERROR(VLOOKUP(OrderLines[[#This Row],[OrderID]],Orders[],MATCH(OrderLines[[#Headers],[Shift]],Orders[#Headers],0),FALSE),"CHECK")</f>
        <v>Breakfast</v>
      </c>
      <c r="K97" s="11">
        <f>OrderLines[[#This Row],[Qty]] * OrderLines[[#This Row],[UnitPrice]] * (1-OrderLines[[#This Row],[DiscountPct]])</f>
        <v>486.8655</v>
      </c>
      <c r="L97">
        <f>OrderLines[[#This Row],[Qty]]*OrderLines[[#This Row],[UnitCost]]</f>
        <v>222.20999999999998</v>
      </c>
    </row>
    <row r="98" spans="1:12" x14ac:dyDescent="0.25">
      <c r="A98" t="s">
        <v>76</v>
      </c>
      <c r="B98" t="s">
        <v>404</v>
      </c>
      <c r="C98">
        <v>3</v>
      </c>
      <c r="D98" s="9">
        <f>IFERROR(VLOOKUP($B98,Menu[],MATCH(D$1,Menu[#Headers],0),FALSE),"CHECK")</f>
        <v>32.979999999999997</v>
      </c>
      <c r="E98" s="9">
        <f>IFERROR(VLOOKUP($B98,Menu[],MATCH(E$1,Menu[#Headers],0),FALSE),"CHECK")</f>
        <v>11.84</v>
      </c>
      <c r="F98" t="str">
        <f>IFERROR(VLOOKUP($B98,Menu[],MATCH(F$1,Menu[#Headers],0),FALSE),"CHECK")</f>
        <v>Beverage</v>
      </c>
      <c r="G98" s="7">
        <f>IFERROR(INT(VLOOKUP($A98,Orders[],MATCH("OrderDateTime",Orders[#Headers],0),FALSE)),"CHECK")</f>
        <v>45849</v>
      </c>
      <c r="H98" s="7" t="str">
        <f>IFERROR(VLOOKUP($A98,Orders[],MATCH(H$1,Orders[#Headers],0),FALSE),"CHECK")</f>
        <v>Plant 2 Canteen</v>
      </c>
      <c r="I98">
        <f>IFERROR(VLOOKUP(OrderLines[[#This Row],[OrderID]],Orders[],MATCH(OrderLines[[#Headers],[DiscountPct]],Orders[#Headers],0),FALSE),"CHECK")</f>
        <v>7.0000000000000007E-2</v>
      </c>
      <c r="J98" t="str">
        <f>IFERROR(VLOOKUP(OrderLines[[#This Row],[OrderID]],Orders[],MATCH(OrderLines[[#Headers],[Shift]],Orders[#Headers],0),FALSE),"CHECK")</f>
        <v>Breakfast</v>
      </c>
      <c r="K98" s="11">
        <f>OrderLines[[#This Row],[Qty]] * OrderLines[[#This Row],[UnitPrice]] * (1-OrderLines[[#This Row],[DiscountPct]])</f>
        <v>92.014199999999988</v>
      </c>
      <c r="L98">
        <f>OrderLines[[#This Row],[Qty]]*OrderLines[[#This Row],[UnitCost]]</f>
        <v>35.519999999999996</v>
      </c>
    </row>
    <row r="99" spans="1:12" x14ac:dyDescent="0.25">
      <c r="A99" t="s">
        <v>76</v>
      </c>
      <c r="B99" t="s">
        <v>409</v>
      </c>
      <c r="C99">
        <v>1</v>
      </c>
      <c r="D99" s="9">
        <f>IFERROR(VLOOKUP($B99,Menu[],MATCH(D$1,Menu[#Headers],0),FALSE),"CHECK")</f>
        <v>28.43</v>
      </c>
      <c r="E99" s="9">
        <f>IFERROR(VLOOKUP($B99,Menu[],MATCH(E$1,Menu[#Headers],0),FALSE),"CHECK")</f>
        <v>13.89</v>
      </c>
      <c r="F99" t="str">
        <f>IFERROR(VLOOKUP($B99,Menu[],MATCH(F$1,Menu[#Headers],0),FALSE),"CHECK")</f>
        <v>Beverage</v>
      </c>
      <c r="G99" s="7">
        <f>IFERROR(INT(VLOOKUP($A99,Orders[],MATCH("OrderDateTime",Orders[#Headers],0),FALSE)),"CHECK")</f>
        <v>45849</v>
      </c>
      <c r="H99" s="7" t="str">
        <f>IFERROR(VLOOKUP($A99,Orders[],MATCH(H$1,Orders[#Headers],0),FALSE),"CHECK")</f>
        <v>Plant 2 Canteen</v>
      </c>
      <c r="I99">
        <f>IFERROR(VLOOKUP(OrderLines[[#This Row],[OrderID]],Orders[],MATCH(OrderLines[[#Headers],[DiscountPct]],Orders[#Headers],0),FALSE),"CHECK")</f>
        <v>7.0000000000000007E-2</v>
      </c>
      <c r="J99" t="str">
        <f>IFERROR(VLOOKUP(OrderLines[[#This Row],[OrderID]],Orders[],MATCH(OrderLines[[#Headers],[Shift]],Orders[#Headers],0),FALSE),"CHECK")</f>
        <v>Breakfast</v>
      </c>
      <c r="K99" s="11">
        <f>OrderLines[[#This Row],[Qty]] * OrderLines[[#This Row],[UnitPrice]] * (1-OrderLines[[#This Row],[DiscountPct]])</f>
        <v>26.439899999999998</v>
      </c>
      <c r="L99">
        <f>OrderLines[[#This Row],[Qty]]*OrderLines[[#This Row],[UnitCost]]</f>
        <v>13.89</v>
      </c>
    </row>
    <row r="100" spans="1:12" x14ac:dyDescent="0.25">
      <c r="A100" t="s">
        <v>76</v>
      </c>
      <c r="B100" t="s">
        <v>415</v>
      </c>
      <c r="C100">
        <v>2</v>
      </c>
      <c r="D100" s="9">
        <f>IFERROR(VLOOKUP($B100,Menu[],MATCH(D$1,Menu[#Headers],0),FALSE),"CHECK")</f>
        <v>256.91000000000003</v>
      </c>
      <c r="E100" s="9">
        <f>IFERROR(VLOOKUP($B100,Menu[],MATCH(E$1,Menu[#Headers],0),FALSE),"CHECK")</f>
        <v>121.24</v>
      </c>
      <c r="F100" t="str">
        <f>IFERROR(VLOOKUP($B100,Menu[],MATCH(F$1,Menu[#Headers],0),FALSE),"CHECK")</f>
        <v>Hot Meal</v>
      </c>
      <c r="G100" s="7">
        <f>IFERROR(INT(VLOOKUP($A100,Orders[],MATCH("OrderDateTime",Orders[#Headers],0),FALSE)),"CHECK")</f>
        <v>45849</v>
      </c>
      <c r="H100" s="7" t="str">
        <f>IFERROR(VLOOKUP($A100,Orders[],MATCH(H$1,Orders[#Headers],0),FALSE),"CHECK")</f>
        <v>Plant 2 Canteen</v>
      </c>
      <c r="I100">
        <f>IFERROR(VLOOKUP(OrderLines[[#This Row],[OrderID]],Orders[],MATCH(OrderLines[[#Headers],[DiscountPct]],Orders[#Headers],0),FALSE),"CHECK")</f>
        <v>7.0000000000000007E-2</v>
      </c>
      <c r="J100" t="str">
        <f>IFERROR(VLOOKUP(OrderLines[[#This Row],[OrderID]],Orders[],MATCH(OrderLines[[#Headers],[Shift]],Orders[#Headers],0),FALSE),"CHECK")</f>
        <v>Breakfast</v>
      </c>
      <c r="K100" s="11">
        <f>OrderLines[[#This Row],[Qty]] * OrderLines[[#This Row],[UnitPrice]] * (1-OrderLines[[#This Row],[DiscountPct]])</f>
        <v>477.8526</v>
      </c>
      <c r="L100">
        <f>OrderLines[[#This Row],[Qty]]*OrderLines[[#This Row],[UnitCost]]</f>
        <v>242.48</v>
      </c>
    </row>
    <row r="101" spans="1:12" x14ac:dyDescent="0.25">
      <c r="A101" t="s">
        <v>76</v>
      </c>
      <c r="B101" t="s">
        <v>402</v>
      </c>
      <c r="C101">
        <v>1</v>
      </c>
      <c r="D101" s="9">
        <f>IFERROR(VLOOKUP($B101,Menu[],MATCH(D$1,Menu[#Headers],0),FALSE),"CHECK")</f>
        <v>30.34</v>
      </c>
      <c r="E101" s="9">
        <f>IFERROR(VLOOKUP($B101,Menu[],MATCH(E$1,Menu[#Headers],0),FALSE),"CHECK")</f>
        <v>14.18</v>
      </c>
      <c r="F101" t="str">
        <f>IFERROR(VLOOKUP($B101,Menu[],MATCH(F$1,Menu[#Headers],0),FALSE),"CHECK")</f>
        <v>Beverage</v>
      </c>
      <c r="G101" s="7">
        <f>IFERROR(INT(VLOOKUP($A101,Orders[],MATCH("OrderDateTime",Orders[#Headers],0),FALSE)),"CHECK")</f>
        <v>45849</v>
      </c>
      <c r="H101" s="7" t="str">
        <f>IFERROR(VLOOKUP($A101,Orders[],MATCH(H$1,Orders[#Headers],0),FALSE),"CHECK")</f>
        <v>Plant 2 Canteen</v>
      </c>
      <c r="I101">
        <f>IFERROR(VLOOKUP(OrderLines[[#This Row],[OrderID]],Orders[],MATCH(OrderLines[[#Headers],[DiscountPct]],Orders[#Headers],0),FALSE),"CHECK")</f>
        <v>7.0000000000000007E-2</v>
      </c>
      <c r="J101" t="str">
        <f>IFERROR(VLOOKUP(OrderLines[[#This Row],[OrderID]],Orders[],MATCH(OrderLines[[#Headers],[Shift]],Orders[#Headers],0),FALSE),"CHECK")</f>
        <v>Breakfast</v>
      </c>
      <c r="K101" s="11">
        <f>OrderLines[[#This Row],[Qty]] * OrderLines[[#This Row],[UnitPrice]] * (1-OrderLines[[#This Row],[DiscountPct]])</f>
        <v>28.216199999999997</v>
      </c>
      <c r="L101">
        <f>OrderLines[[#This Row],[Qty]]*OrderLines[[#This Row],[UnitCost]]</f>
        <v>14.18</v>
      </c>
    </row>
    <row r="102" spans="1:12" x14ac:dyDescent="0.25">
      <c r="A102" t="s">
        <v>77</v>
      </c>
      <c r="B102" t="s">
        <v>404</v>
      </c>
      <c r="C102">
        <v>3</v>
      </c>
      <c r="D102" s="9">
        <f>IFERROR(VLOOKUP($B102,Menu[],MATCH(D$1,Menu[#Headers],0),FALSE),"CHECK")</f>
        <v>32.979999999999997</v>
      </c>
      <c r="E102" s="9">
        <f>IFERROR(VLOOKUP($B102,Menu[],MATCH(E$1,Menu[#Headers],0),FALSE),"CHECK")</f>
        <v>11.84</v>
      </c>
      <c r="F102" t="str">
        <f>IFERROR(VLOOKUP($B102,Menu[],MATCH(F$1,Menu[#Headers],0),FALSE),"CHECK")</f>
        <v>Beverage</v>
      </c>
      <c r="G102" s="7">
        <f>IFERROR(INT(VLOOKUP($A102,Orders[],MATCH("OrderDateTime",Orders[#Headers],0),FALSE)),"CHECK")</f>
        <v>45862</v>
      </c>
      <c r="H102" s="7" t="str">
        <f>IFERROR(VLOOKUP($A102,Orders[],MATCH(H$1,Orders[#Headers],0),FALSE),"CHECK")</f>
        <v>Plant 1 Canteen</v>
      </c>
      <c r="I102">
        <f>IFERROR(VLOOKUP(OrderLines[[#This Row],[OrderID]],Orders[],MATCH(OrderLines[[#Headers],[DiscountPct]],Orders[#Headers],0),FALSE),"CHECK")</f>
        <v>0.12</v>
      </c>
      <c r="J102" t="str">
        <f>IFERROR(VLOOKUP(OrderLines[[#This Row],[OrderID]],Orders[],MATCH(OrderLines[[#Headers],[Shift]],Orders[#Headers],0),FALSE),"CHECK")</f>
        <v>Breakfast</v>
      </c>
      <c r="K102" s="11">
        <f>OrderLines[[#This Row],[Qty]] * OrderLines[[#This Row],[UnitPrice]] * (1-OrderLines[[#This Row],[DiscountPct]])</f>
        <v>87.0672</v>
      </c>
      <c r="L102">
        <f>OrderLines[[#This Row],[Qty]]*OrderLines[[#This Row],[UnitCost]]</f>
        <v>35.519999999999996</v>
      </c>
    </row>
    <row r="103" spans="1:12" x14ac:dyDescent="0.25">
      <c r="A103" t="s">
        <v>77</v>
      </c>
      <c r="B103" t="s">
        <v>408</v>
      </c>
      <c r="C103">
        <v>1</v>
      </c>
      <c r="D103" s="9">
        <f>IFERROR(VLOOKUP($B103,Menu[],MATCH(D$1,Menu[#Headers],0),FALSE),"CHECK")</f>
        <v>70.540000000000006</v>
      </c>
      <c r="E103" s="9">
        <f>IFERROR(VLOOKUP($B103,Menu[],MATCH(E$1,Menu[#Headers],0),FALSE),"CHECK")</f>
        <v>35.81</v>
      </c>
      <c r="F103" t="str">
        <f>IFERROR(VLOOKUP($B103,Menu[],MATCH(F$1,Menu[#Headers],0),FALSE),"CHECK")</f>
        <v>Snack</v>
      </c>
      <c r="G103" s="7">
        <f>IFERROR(INT(VLOOKUP($A103,Orders[],MATCH("OrderDateTime",Orders[#Headers],0),FALSE)),"CHECK")</f>
        <v>45862</v>
      </c>
      <c r="H103" s="7" t="str">
        <f>IFERROR(VLOOKUP($A103,Orders[],MATCH(H$1,Orders[#Headers],0),FALSE),"CHECK")</f>
        <v>Plant 1 Canteen</v>
      </c>
      <c r="I103">
        <f>IFERROR(VLOOKUP(OrderLines[[#This Row],[OrderID]],Orders[],MATCH(OrderLines[[#Headers],[DiscountPct]],Orders[#Headers],0),FALSE),"CHECK")</f>
        <v>0.12</v>
      </c>
      <c r="J103" t="str">
        <f>IFERROR(VLOOKUP(OrderLines[[#This Row],[OrderID]],Orders[],MATCH(OrderLines[[#Headers],[Shift]],Orders[#Headers],0),FALSE),"CHECK")</f>
        <v>Breakfast</v>
      </c>
      <c r="K103" s="11">
        <f>OrderLines[[#This Row],[Qty]] * OrderLines[[#This Row],[UnitPrice]] * (1-OrderLines[[#This Row],[DiscountPct]])</f>
        <v>62.075200000000002</v>
      </c>
      <c r="L103">
        <f>OrderLines[[#This Row],[Qty]]*OrderLines[[#This Row],[UnitCost]]</f>
        <v>35.81</v>
      </c>
    </row>
    <row r="104" spans="1:12" x14ac:dyDescent="0.25">
      <c r="A104" t="s">
        <v>78</v>
      </c>
      <c r="B104" t="s">
        <v>412</v>
      </c>
      <c r="C104">
        <v>1</v>
      </c>
      <c r="D104" s="9">
        <f>IFERROR(VLOOKUP($B104,Menu[],MATCH(D$1,Menu[#Headers],0),FALSE),"CHECK")</f>
        <v>57.07</v>
      </c>
      <c r="E104" s="9">
        <f>IFERROR(VLOOKUP($B104,Menu[],MATCH(E$1,Menu[#Headers],0),FALSE),"CHECK")</f>
        <v>29.14</v>
      </c>
      <c r="F104" t="str">
        <f>IFERROR(VLOOKUP($B104,Menu[],MATCH(F$1,Menu[#Headers],0),FALSE),"CHECK")</f>
        <v>Dessert</v>
      </c>
      <c r="G104" s="7">
        <f>IFERROR(INT(VLOOKUP($A104,Orders[],MATCH("OrderDateTime",Orders[#Headers],0),FALSE)),"CHECK")</f>
        <v>45856</v>
      </c>
      <c r="H104" s="7" t="str">
        <f>IFERROR(VLOOKUP($A104,Orders[],MATCH(H$1,Orders[#Headers],0),FALSE),"CHECK")</f>
        <v>Head Office Café</v>
      </c>
      <c r="I104">
        <f>IFERROR(VLOOKUP(OrderLines[[#This Row],[OrderID]],Orders[],MATCH(OrderLines[[#Headers],[DiscountPct]],Orders[#Headers],0),FALSE),"CHECK")</f>
        <v>0.04</v>
      </c>
      <c r="J104" t="str">
        <f>IFERROR(VLOOKUP(OrderLines[[#This Row],[OrderID]],Orders[],MATCH(OrderLines[[#Headers],[Shift]],Orders[#Headers],0),FALSE),"CHECK")</f>
        <v>Lunch</v>
      </c>
      <c r="K104" s="11">
        <f>OrderLines[[#This Row],[Qty]] * OrderLines[[#This Row],[UnitPrice]] * (1-OrderLines[[#This Row],[DiscountPct]])</f>
        <v>54.787199999999999</v>
      </c>
      <c r="L104">
        <f>OrderLines[[#This Row],[Qty]]*OrderLines[[#This Row],[UnitCost]]</f>
        <v>29.14</v>
      </c>
    </row>
    <row r="105" spans="1:12" x14ac:dyDescent="0.25">
      <c r="A105" t="s">
        <v>78</v>
      </c>
      <c r="B105" t="s">
        <v>411</v>
      </c>
      <c r="C105">
        <v>1</v>
      </c>
      <c r="D105" s="9">
        <f>IFERROR(VLOOKUP($B105,Menu[],MATCH(D$1,Menu[#Headers],0),FALSE),"CHECK")</f>
        <v>22.2</v>
      </c>
      <c r="E105" s="9">
        <f>IFERROR(VLOOKUP($B105,Menu[],MATCH(E$1,Menu[#Headers],0),FALSE),"CHECK")</f>
        <v>9.3800000000000008</v>
      </c>
      <c r="F105" t="str">
        <f>IFERROR(VLOOKUP($B105,Menu[],MATCH(F$1,Menu[#Headers],0),FALSE),"CHECK")</f>
        <v>Beverage</v>
      </c>
      <c r="G105" s="7">
        <f>IFERROR(INT(VLOOKUP($A105,Orders[],MATCH("OrderDateTime",Orders[#Headers],0),FALSE)),"CHECK")</f>
        <v>45856</v>
      </c>
      <c r="H105" s="7" t="str">
        <f>IFERROR(VLOOKUP($A105,Orders[],MATCH(H$1,Orders[#Headers],0),FALSE),"CHECK")</f>
        <v>Head Office Café</v>
      </c>
      <c r="I105">
        <f>IFERROR(VLOOKUP(OrderLines[[#This Row],[OrderID]],Orders[],MATCH(OrderLines[[#Headers],[DiscountPct]],Orders[#Headers],0),FALSE),"CHECK")</f>
        <v>0.04</v>
      </c>
      <c r="J105" t="str">
        <f>IFERROR(VLOOKUP(OrderLines[[#This Row],[OrderID]],Orders[],MATCH(OrderLines[[#Headers],[Shift]],Orders[#Headers],0),FALSE),"CHECK")</f>
        <v>Lunch</v>
      </c>
      <c r="K105" s="11">
        <f>OrderLines[[#This Row],[Qty]] * OrderLines[[#This Row],[UnitPrice]] * (1-OrderLines[[#This Row],[DiscountPct]])</f>
        <v>21.311999999999998</v>
      </c>
      <c r="L105">
        <f>OrderLines[[#This Row],[Qty]]*OrderLines[[#This Row],[UnitCost]]</f>
        <v>9.3800000000000008</v>
      </c>
    </row>
    <row r="106" spans="1:12" x14ac:dyDescent="0.25">
      <c r="A106" t="s">
        <v>78</v>
      </c>
      <c r="B106" t="s">
        <v>416</v>
      </c>
      <c r="C106">
        <v>1</v>
      </c>
      <c r="D106" s="9">
        <f>IFERROR(VLOOKUP($B106,Menu[],MATCH(D$1,Menu[#Headers],0),FALSE),"CHECK")</f>
        <v>227.61</v>
      </c>
      <c r="E106" s="9">
        <f>IFERROR(VLOOKUP($B106,Menu[],MATCH(E$1,Menu[#Headers],0),FALSE),"CHECK")</f>
        <v>96.22</v>
      </c>
      <c r="F106" t="str">
        <f>IFERROR(VLOOKUP($B106,Menu[],MATCH(F$1,Menu[#Headers],0),FALSE),"CHECK")</f>
        <v>Hot Meal</v>
      </c>
      <c r="G106" s="7">
        <f>IFERROR(INT(VLOOKUP($A106,Orders[],MATCH("OrderDateTime",Orders[#Headers],0),FALSE)),"CHECK")</f>
        <v>45856</v>
      </c>
      <c r="H106" s="7" t="str">
        <f>IFERROR(VLOOKUP($A106,Orders[],MATCH(H$1,Orders[#Headers],0),FALSE),"CHECK")</f>
        <v>Head Office Café</v>
      </c>
      <c r="I106">
        <f>IFERROR(VLOOKUP(OrderLines[[#This Row],[OrderID]],Orders[],MATCH(OrderLines[[#Headers],[DiscountPct]],Orders[#Headers],0),FALSE),"CHECK")</f>
        <v>0.04</v>
      </c>
      <c r="J106" t="str">
        <f>IFERROR(VLOOKUP(OrderLines[[#This Row],[OrderID]],Orders[],MATCH(OrderLines[[#Headers],[Shift]],Orders[#Headers],0),FALSE),"CHECK")</f>
        <v>Lunch</v>
      </c>
      <c r="K106" s="11">
        <f>OrderLines[[#This Row],[Qty]] * OrderLines[[#This Row],[UnitPrice]] * (1-OrderLines[[#This Row],[DiscountPct]])</f>
        <v>218.50560000000002</v>
      </c>
      <c r="L106">
        <f>OrderLines[[#This Row],[Qty]]*OrderLines[[#This Row],[UnitCost]]</f>
        <v>96.22</v>
      </c>
    </row>
    <row r="107" spans="1:12" x14ac:dyDescent="0.25">
      <c r="A107" t="s">
        <v>78</v>
      </c>
      <c r="B107" t="s">
        <v>413</v>
      </c>
      <c r="C107">
        <v>1</v>
      </c>
      <c r="D107" s="9">
        <f>IFERROR(VLOOKUP($B107,Menu[],MATCH(D$1,Menu[#Headers],0),FALSE),"CHECK")</f>
        <v>54.2</v>
      </c>
      <c r="E107" s="9">
        <f>IFERROR(VLOOKUP($B107,Menu[],MATCH(E$1,Menu[#Headers],0),FALSE),"CHECK")</f>
        <v>21.95</v>
      </c>
      <c r="F107" t="str">
        <f>IFERROR(VLOOKUP($B107,Menu[],MATCH(F$1,Menu[#Headers],0),FALSE),"CHECK")</f>
        <v>Dessert</v>
      </c>
      <c r="G107" s="7">
        <f>IFERROR(INT(VLOOKUP($A107,Orders[],MATCH("OrderDateTime",Orders[#Headers],0),FALSE)),"CHECK")</f>
        <v>45856</v>
      </c>
      <c r="H107" s="7" t="str">
        <f>IFERROR(VLOOKUP($A107,Orders[],MATCH(H$1,Orders[#Headers],0),FALSE),"CHECK")</f>
        <v>Head Office Café</v>
      </c>
      <c r="I107">
        <f>IFERROR(VLOOKUP(OrderLines[[#This Row],[OrderID]],Orders[],MATCH(OrderLines[[#Headers],[DiscountPct]],Orders[#Headers],0),FALSE),"CHECK")</f>
        <v>0.04</v>
      </c>
      <c r="J107" t="str">
        <f>IFERROR(VLOOKUP(OrderLines[[#This Row],[OrderID]],Orders[],MATCH(OrderLines[[#Headers],[Shift]],Orders[#Headers],0),FALSE),"CHECK")</f>
        <v>Lunch</v>
      </c>
      <c r="K107" s="11">
        <f>OrderLines[[#This Row],[Qty]] * OrderLines[[#This Row],[UnitPrice]] * (1-OrderLines[[#This Row],[DiscountPct]])</f>
        <v>52.032000000000004</v>
      </c>
      <c r="L107">
        <f>OrderLines[[#This Row],[Qty]]*OrderLines[[#This Row],[UnitCost]]</f>
        <v>21.95</v>
      </c>
    </row>
    <row r="108" spans="1:12" x14ac:dyDescent="0.25">
      <c r="A108" t="s">
        <v>79</v>
      </c>
      <c r="B108" t="s">
        <v>411</v>
      </c>
      <c r="C108">
        <v>1</v>
      </c>
      <c r="D108" s="9">
        <f>IFERROR(VLOOKUP($B108,Menu[],MATCH(D$1,Menu[#Headers],0),FALSE),"CHECK")</f>
        <v>22.2</v>
      </c>
      <c r="E108" s="9">
        <f>IFERROR(VLOOKUP($B108,Menu[],MATCH(E$1,Menu[#Headers],0),FALSE),"CHECK")</f>
        <v>9.3800000000000008</v>
      </c>
      <c r="F108" t="str">
        <f>IFERROR(VLOOKUP($B108,Menu[],MATCH(F$1,Menu[#Headers],0),FALSE),"CHECK")</f>
        <v>Beverage</v>
      </c>
      <c r="G108" s="7">
        <f>IFERROR(INT(VLOOKUP($A108,Orders[],MATCH("OrderDateTime",Orders[#Headers],0),FALSE)),"CHECK")</f>
        <v>45865</v>
      </c>
      <c r="H108" s="7" t="str">
        <f>IFERROR(VLOOKUP($A108,Orders[],MATCH(H$1,Orders[#Headers],0),FALSE),"CHECK")</f>
        <v>Plant 1 Canteen</v>
      </c>
      <c r="I108">
        <f>IFERROR(VLOOKUP(OrderLines[[#This Row],[OrderID]],Orders[],MATCH(OrderLines[[#Headers],[DiscountPct]],Orders[#Headers],0),FALSE),"CHECK")</f>
        <v>0.03</v>
      </c>
      <c r="J108" t="str">
        <f>IFERROR(VLOOKUP(OrderLines[[#This Row],[OrderID]],Orders[],MATCH(OrderLines[[#Headers],[Shift]],Orders[#Headers],0),FALSE),"CHECK")</f>
        <v>Breakfast</v>
      </c>
      <c r="K108" s="11">
        <f>OrderLines[[#This Row],[Qty]] * OrderLines[[#This Row],[UnitPrice]] * (1-OrderLines[[#This Row],[DiscountPct]])</f>
        <v>21.533999999999999</v>
      </c>
      <c r="L108">
        <f>OrderLines[[#This Row],[Qty]]*OrderLines[[#This Row],[UnitCost]]</f>
        <v>9.3800000000000008</v>
      </c>
    </row>
    <row r="109" spans="1:12" x14ac:dyDescent="0.25">
      <c r="A109" t="s">
        <v>80</v>
      </c>
      <c r="B109" t="s">
        <v>411</v>
      </c>
      <c r="C109">
        <v>1</v>
      </c>
      <c r="D109" s="9">
        <f>IFERROR(VLOOKUP($B109,Menu[],MATCH(D$1,Menu[#Headers],0),FALSE),"CHECK")</f>
        <v>22.2</v>
      </c>
      <c r="E109" s="9">
        <f>IFERROR(VLOOKUP($B109,Menu[],MATCH(E$1,Menu[#Headers],0),FALSE),"CHECK")</f>
        <v>9.3800000000000008</v>
      </c>
      <c r="F109" t="str">
        <f>IFERROR(VLOOKUP($B109,Menu[],MATCH(F$1,Menu[#Headers],0),FALSE),"CHECK")</f>
        <v>Beverage</v>
      </c>
      <c r="G109" s="7">
        <f>IFERROR(INT(VLOOKUP($A109,Orders[],MATCH("OrderDateTime",Orders[#Headers],0),FALSE)),"CHECK")</f>
        <v>45843</v>
      </c>
      <c r="H109" s="7" t="str">
        <f>IFERROR(VLOOKUP($A109,Orders[],MATCH(H$1,Orders[#Headers],0),FALSE),"CHECK")</f>
        <v>Plant 2 Canteen</v>
      </c>
      <c r="I109">
        <f>IFERROR(VLOOKUP(OrderLines[[#This Row],[OrderID]],Orders[],MATCH(OrderLines[[#Headers],[DiscountPct]],Orders[#Headers],0),FALSE),"CHECK")</f>
        <v>0.04</v>
      </c>
      <c r="J109" t="str">
        <f>IFERROR(VLOOKUP(OrderLines[[#This Row],[OrderID]],Orders[],MATCH(OrderLines[[#Headers],[Shift]],Orders[#Headers],0),FALSE),"CHECK")</f>
        <v>Breakfast</v>
      </c>
      <c r="K109" s="11">
        <f>OrderLines[[#This Row],[Qty]] * OrderLines[[#This Row],[UnitPrice]] * (1-OrderLines[[#This Row],[DiscountPct]])</f>
        <v>21.311999999999998</v>
      </c>
      <c r="L109">
        <f>OrderLines[[#This Row],[Qty]]*OrderLines[[#This Row],[UnitCost]]</f>
        <v>9.3800000000000008</v>
      </c>
    </row>
    <row r="110" spans="1:12" x14ac:dyDescent="0.25">
      <c r="A110" t="s">
        <v>80</v>
      </c>
      <c r="B110" t="s">
        <v>401</v>
      </c>
      <c r="C110">
        <v>1</v>
      </c>
      <c r="D110" s="9">
        <f>IFERROR(VLOOKUP($B110,Menu[],MATCH(D$1,Menu[#Headers],0),FALSE),"CHECK")</f>
        <v>52.45</v>
      </c>
      <c r="E110" s="9">
        <f>IFERROR(VLOOKUP($B110,Menu[],MATCH(E$1,Menu[#Headers],0),FALSE),"CHECK")</f>
        <v>25.8</v>
      </c>
      <c r="F110" t="str">
        <f>IFERROR(VLOOKUP($B110,Menu[],MATCH(F$1,Menu[#Headers],0),FALSE),"CHECK")</f>
        <v>Snack</v>
      </c>
      <c r="G110" s="7">
        <f>IFERROR(INT(VLOOKUP($A110,Orders[],MATCH("OrderDateTime",Orders[#Headers],0),FALSE)),"CHECK")</f>
        <v>45843</v>
      </c>
      <c r="H110" s="7" t="str">
        <f>IFERROR(VLOOKUP($A110,Orders[],MATCH(H$1,Orders[#Headers],0),FALSE),"CHECK")</f>
        <v>Plant 2 Canteen</v>
      </c>
      <c r="I110">
        <f>IFERROR(VLOOKUP(OrderLines[[#This Row],[OrderID]],Orders[],MATCH(OrderLines[[#Headers],[DiscountPct]],Orders[#Headers],0),FALSE),"CHECK")</f>
        <v>0.04</v>
      </c>
      <c r="J110" t="str">
        <f>IFERROR(VLOOKUP(OrderLines[[#This Row],[OrderID]],Orders[],MATCH(OrderLines[[#Headers],[Shift]],Orders[#Headers],0),FALSE),"CHECK")</f>
        <v>Breakfast</v>
      </c>
      <c r="K110" s="11">
        <f>OrderLines[[#This Row],[Qty]] * OrderLines[[#This Row],[UnitPrice]] * (1-OrderLines[[#This Row],[DiscountPct]])</f>
        <v>50.352000000000004</v>
      </c>
      <c r="L110">
        <f>OrderLines[[#This Row],[Qty]]*OrderLines[[#This Row],[UnitCost]]</f>
        <v>25.8</v>
      </c>
    </row>
    <row r="111" spans="1:12" x14ac:dyDescent="0.25">
      <c r="A111" t="s">
        <v>80</v>
      </c>
      <c r="B111" t="s">
        <v>408</v>
      </c>
      <c r="C111">
        <v>1</v>
      </c>
      <c r="D111" s="9">
        <f>IFERROR(VLOOKUP($B111,Menu[],MATCH(D$1,Menu[#Headers],0),FALSE),"CHECK")</f>
        <v>70.540000000000006</v>
      </c>
      <c r="E111" s="9">
        <f>IFERROR(VLOOKUP($B111,Menu[],MATCH(E$1,Menu[#Headers],0),FALSE),"CHECK")</f>
        <v>35.81</v>
      </c>
      <c r="F111" t="str">
        <f>IFERROR(VLOOKUP($B111,Menu[],MATCH(F$1,Menu[#Headers],0),FALSE),"CHECK")</f>
        <v>Snack</v>
      </c>
      <c r="G111" s="7">
        <f>IFERROR(INT(VLOOKUP($A111,Orders[],MATCH("OrderDateTime",Orders[#Headers],0),FALSE)),"CHECK")</f>
        <v>45843</v>
      </c>
      <c r="H111" s="7" t="str">
        <f>IFERROR(VLOOKUP($A111,Orders[],MATCH(H$1,Orders[#Headers],0),FALSE),"CHECK")</f>
        <v>Plant 2 Canteen</v>
      </c>
      <c r="I111">
        <f>IFERROR(VLOOKUP(OrderLines[[#This Row],[OrderID]],Orders[],MATCH(OrderLines[[#Headers],[DiscountPct]],Orders[#Headers],0),FALSE),"CHECK")</f>
        <v>0.04</v>
      </c>
      <c r="J111" t="str">
        <f>IFERROR(VLOOKUP(OrderLines[[#This Row],[OrderID]],Orders[],MATCH(OrderLines[[#Headers],[Shift]],Orders[#Headers],0),FALSE),"CHECK")</f>
        <v>Breakfast</v>
      </c>
      <c r="K111" s="11">
        <f>OrderLines[[#This Row],[Qty]] * OrderLines[[#This Row],[UnitPrice]] * (1-OrderLines[[#This Row],[DiscountPct]])</f>
        <v>67.718400000000003</v>
      </c>
      <c r="L111">
        <f>OrderLines[[#This Row],[Qty]]*OrderLines[[#This Row],[UnitCost]]</f>
        <v>35.81</v>
      </c>
    </row>
    <row r="112" spans="1:12" x14ac:dyDescent="0.25">
      <c r="A112" t="s">
        <v>81</v>
      </c>
      <c r="B112" t="s">
        <v>410</v>
      </c>
      <c r="C112">
        <v>3</v>
      </c>
      <c r="D112" s="9">
        <f>IFERROR(VLOOKUP($B112,Menu[],MATCH(D$1,Menu[#Headers],0),FALSE),"CHECK")</f>
        <v>20.11</v>
      </c>
      <c r="E112" s="9">
        <f>IFERROR(VLOOKUP($B112,Menu[],MATCH(E$1,Menu[#Headers],0),FALSE),"CHECK")</f>
        <v>8</v>
      </c>
      <c r="F112" t="str">
        <f>IFERROR(VLOOKUP($B112,Menu[],MATCH(F$1,Menu[#Headers],0),FALSE),"CHECK")</f>
        <v>Beverage</v>
      </c>
      <c r="G112" s="7">
        <f>IFERROR(INT(VLOOKUP($A112,Orders[],MATCH("OrderDateTime",Orders[#Headers],0),FALSE)),"CHECK")</f>
        <v>45873</v>
      </c>
      <c r="H112" s="7" t="str">
        <f>IFERROR(VLOOKUP($A112,Orders[],MATCH(H$1,Orders[#Headers],0),FALSE),"CHECK")</f>
        <v>Plant 2 Canteen</v>
      </c>
      <c r="I112">
        <f>IFERROR(VLOOKUP(OrderLines[[#This Row],[OrderID]],Orders[],MATCH(OrderLines[[#Headers],[DiscountPct]],Orders[#Headers],0),FALSE),"CHECK")</f>
        <v>0.1</v>
      </c>
      <c r="J112" t="str">
        <f>IFERROR(VLOOKUP(OrderLines[[#This Row],[OrderID]],Orders[],MATCH(OrderLines[[#Headers],[Shift]],Orders[#Headers],0),FALSE),"CHECK")</f>
        <v>Breakfast</v>
      </c>
      <c r="K112" s="11">
        <f>OrderLines[[#This Row],[Qty]] * OrderLines[[#This Row],[UnitPrice]] * (1-OrderLines[[#This Row],[DiscountPct]])</f>
        <v>54.296999999999997</v>
      </c>
      <c r="L112">
        <f>OrderLines[[#This Row],[Qty]]*OrderLines[[#This Row],[UnitCost]]</f>
        <v>24</v>
      </c>
    </row>
    <row r="113" spans="1:12" x14ac:dyDescent="0.25">
      <c r="A113" t="s">
        <v>81</v>
      </c>
      <c r="B113" t="s">
        <v>404</v>
      </c>
      <c r="C113">
        <v>2</v>
      </c>
      <c r="D113" s="9">
        <f>IFERROR(VLOOKUP($B113,Menu[],MATCH(D$1,Menu[#Headers],0),FALSE),"CHECK")</f>
        <v>32.979999999999997</v>
      </c>
      <c r="E113" s="9">
        <f>IFERROR(VLOOKUP($B113,Menu[],MATCH(E$1,Menu[#Headers],0),FALSE),"CHECK")</f>
        <v>11.84</v>
      </c>
      <c r="F113" t="str">
        <f>IFERROR(VLOOKUP($B113,Menu[],MATCH(F$1,Menu[#Headers],0),FALSE),"CHECK")</f>
        <v>Beverage</v>
      </c>
      <c r="G113" s="7">
        <f>IFERROR(INT(VLOOKUP($A113,Orders[],MATCH("OrderDateTime",Orders[#Headers],0),FALSE)),"CHECK")</f>
        <v>45873</v>
      </c>
      <c r="H113" s="7" t="str">
        <f>IFERROR(VLOOKUP($A113,Orders[],MATCH(H$1,Orders[#Headers],0),FALSE),"CHECK")</f>
        <v>Plant 2 Canteen</v>
      </c>
      <c r="I113">
        <f>IFERROR(VLOOKUP(OrderLines[[#This Row],[OrderID]],Orders[],MATCH(OrderLines[[#Headers],[DiscountPct]],Orders[#Headers],0),FALSE),"CHECK")</f>
        <v>0.1</v>
      </c>
      <c r="J113" t="str">
        <f>IFERROR(VLOOKUP(OrderLines[[#This Row],[OrderID]],Orders[],MATCH(OrderLines[[#Headers],[Shift]],Orders[#Headers],0),FALSE),"CHECK")</f>
        <v>Breakfast</v>
      </c>
      <c r="K113" s="11">
        <f>OrderLines[[#This Row],[Qty]] * OrderLines[[#This Row],[UnitPrice]] * (1-OrderLines[[#This Row],[DiscountPct]])</f>
        <v>59.363999999999997</v>
      </c>
      <c r="L113">
        <f>OrderLines[[#This Row],[Qty]]*OrderLines[[#This Row],[UnitCost]]</f>
        <v>23.68</v>
      </c>
    </row>
    <row r="114" spans="1:12" x14ac:dyDescent="0.25">
      <c r="A114" t="s">
        <v>81</v>
      </c>
      <c r="B114" t="s">
        <v>414</v>
      </c>
      <c r="C114">
        <v>2</v>
      </c>
      <c r="D114" s="9">
        <f>IFERROR(VLOOKUP($B114,Menu[],MATCH(D$1,Menu[#Headers],0),FALSE),"CHECK")</f>
        <v>116.8</v>
      </c>
      <c r="E114" s="9">
        <f>IFERROR(VLOOKUP($B114,Menu[],MATCH(E$1,Menu[#Headers],0),FALSE),"CHECK")</f>
        <v>48.97</v>
      </c>
      <c r="F114" t="str">
        <f>IFERROR(VLOOKUP($B114,Menu[],MATCH(F$1,Menu[#Headers],0),FALSE),"CHECK")</f>
        <v>Dessert</v>
      </c>
      <c r="G114" s="7">
        <f>IFERROR(INT(VLOOKUP($A114,Orders[],MATCH("OrderDateTime",Orders[#Headers],0),FALSE)),"CHECK")</f>
        <v>45873</v>
      </c>
      <c r="H114" s="7" t="str">
        <f>IFERROR(VLOOKUP($A114,Orders[],MATCH(H$1,Orders[#Headers],0),FALSE),"CHECK")</f>
        <v>Plant 2 Canteen</v>
      </c>
      <c r="I114">
        <f>IFERROR(VLOOKUP(OrderLines[[#This Row],[OrderID]],Orders[],MATCH(OrderLines[[#Headers],[DiscountPct]],Orders[#Headers],0),FALSE),"CHECK")</f>
        <v>0.1</v>
      </c>
      <c r="J114" t="str">
        <f>IFERROR(VLOOKUP(OrderLines[[#This Row],[OrderID]],Orders[],MATCH(OrderLines[[#Headers],[Shift]],Orders[#Headers],0),FALSE),"CHECK")</f>
        <v>Breakfast</v>
      </c>
      <c r="K114" s="11">
        <f>OrderLines[[#This Row],[Qty]] * OrderLines[[#This Row],[UnitPrice]] * (1-OrderLines[[#This Row],[DiscountPct]])</f>
        <v>210.24</v>
      </c>
      <c r="L114">
        <f>OrderLines[[#This Row],[Qty]]*OrderLines[[#This Row],[UnitCost]]</f>
        <v>97.94</v>
      </c>
    </row>
    <row r="115" spans="1:12" x14ac:dyDescent="0.25">
      <c r="A115" t="s">
        <v>82</v>
      </c>
      <c r="B115" t="s">
        <v>418</v>
      </c>
      <c r="C115">
        <v>1</v>
      </c>
      <c r="D115" s="9">
        <f>IFERROR(VLOOKUP($B115,Menu[],MATCH(D$1,Menu[#Headers],0),FALSE),"CHECK")</f>
        <v>39.950000000000003</v>
      </c>
      <c r="E115" s="9">
        <f>IFERROR(VLOOKUP($B115,Menu[],MATCH(E$1,Menu[#Headers],0),FALSE),"CHECK")</f>
        <v>15.51</v>
      </c>
      <c r="F115" t="str">
        <f>IFERROR(VLOOKUP($B115,Menu[],MATCH(F$1,Menu[#Headers],0),FALSE),"CHECK")</f>
        <v>Snack</v>
      </c>
      <c r="G115" s="7">
        <f>IFERROR(INT(VLOOKUP($A115,Orders[],MATCH("OrderDateTime",Orders[#Headers],0),FALSE)),"CHECK")</f>
        <v>45858</v>
      </c>
      <c r="H115" s="7" t="str">
        <f>IFERROR(VLOOKUP($A115,Orders[],MATCH(H$1,Orders[#Headers],0),FALSE),"CHECK")</f>
        <v>Plant 2 Canteen</v>
      </c>
      <c r="I115">
        <f>IFERROR(VLOOKUP(OrderLines[[#This Row],[OrderID]],Orders[],MATCH(OrderLines[[#Headers],[DiscountPct]],Orders[#Headers],0),FALSE),"CHECK")</f>
        <v>7.0000000000000007E-2</v>
      </c>
      <c r="J115" t="str">
        <f>IFERROR(VLOOKUP(OrderLines[[#This Row],[OrderID]],Orders[],MATCH(OrderLines[[#Headers],[Shift]],Orders[#Headers],0),FALSE),"CHECK")</f>
        <v>Breakfast</v>
      </c>
      <c r="K115" s="11">
        <f>OrderLines[[#This Row],[Qty]] * OrderLines[[#This Row],[UnitPrice]] * (1-OrderLines[[#This Row],[DiscountPct]])</f>
        <v>37.153500000000001</v>
      </c>
      <c r="L115">
        <f>OrderLines[[#This Row],[Qty]]*OrderLines[[#This Row],[UnitCost]]</f>
        <v>15.51</v>
      </c>
    </row>
    <row r="116" spans="1:12" x14ac:dyDescent="0.25">
      <c r="A116" t="s">
        <v>83</v>
      </c>
      <c r="B116" t="s">
        <v>415</v>
      </c>
      <c r="C116">
        <v>2</v>
      </c>
      <c r="D116" s="9">
        <f>IFERROR(VLOOKUP($B116,Menu[],MATCH(D$1,Menu[#Headers],0),FALSE),"CHECK")</f>
        <v>256.91000000000003</v>
      </c>
      <c r="E116" s="9">
        <f>IFERROR(VLOOKUP($B116,Menu[],MATCH(E$1,Menu[#Headers],0),FALSE),"CHECK")</f>
        <v>121.24</v>
      </c>
      <c r="F116" t="str">
        <f>IFERROR(VLOOKUP($B116,Menu[],MATCH(F$1,Menu[#Headers],0),FALSE),"CHECK")</f>
        <v>Hot Meal</v>
      </c>
      <c r="G116" s="7">
        <f>IFERROR(INT(VLOOKUP($A116,Orders[],MATCH("OrderDateTime",Orders[#Headers],0),FALSE)),"CHECK")</f>
        <v>45866</v>
      </c>
      <c r="H116" s="7" t="str">
        <f>IFERROR(VLOOKUP($A116,Orders[],MATCH(H$1,Orders[#Headers],0),FALSE),"CHECK")</f>
        <v>Plant 2 Canteen</v>
      </c>
      <c r="I116">
        <f>IFERROR(VLOOKUP(OrderLines[[#This Row],[OrderID]],Orders[],MATCH(OrderLines[[#Headers],[DiscountPct]],Orders[#Headers],0),FALSE),"CHECK")</f>
        <v>0.04</v>
      </c>
      <c r="J116" t="str">
        <f>IFERROR(VLOOKUP(OrderLines[[#This Row],[OrderID]],Orders[],MATCH(OrderLines[[#Headers],[Shift]],Orders[#Headers],0),FALSE),"CHECK")</f>
        <v>Breakfast</v>
      </c>
      <c r="K116" s="11">
        <f>OrderLines[[#This Row],[Qty]] * OrderLines[[#This Row],[UnitPrice]] * (1-OrderLines[[#This Row],[DiscountPct]])</f>
        <v>493.2672</v>
      </c>
      <c r="L116">
        <f>OrderLines[[#This Row],[Qty]]*OrderLines[[#This Row],[UnitCost]]</f>
        <v>242.48</v>
      </c>
    </row>
    <row r="117" spans="1:12" x14ac:dyDescent="0.25">
      <c r="A117" t="s">
        <v>83</v>
      </c>
      <c r="B117" t="s">
        <v>401</v>
      </c>
      <c r="C117">
        <v>1</v>
      </c>
      <c r="D117" s="9">
        <f>IFERROR(VLOOKUP($B117,Menu[],MATCH(D$1,Menu[#Headers],0),FALSE),"CHECK")</f>
        <v>52.45</v>
      </c>
      <c r="E117" s="9">
        <f>IFERROR(VLOOKUP($B117,Menu[],MATCH(E$1,Menu[#Headers],0),FALSE),"CHECK")</f>
        <v>25.8</v>
      </c>
      <c r="F117" t="str">
        <f>IFERROR(VLOOKUP($B117,Menu[],MATCH(F$1,Menu[#Headers],0),FALSE),"CHECK")</f>
        <v>Snack</v>
      </c>
      <c r="G117" s="7">
        <f>IFERROR(INT(VLOOKUP($A117,Orders[],MATCH("OrderDateTime",Orders[#Headers],0),FALSE)),"CHECK")</f>
        <v>45866</v>
      </c>
      <c r="H117" s="7" t="str">
        <f>IFERROR(VLOOKUP($A117,Orders[],MATCH(H$1,Orders[#Headers],0),FALSE),"CHECK")</f>
        <v>Plant 2 Canteen</v>
      </c>
      <c r="I117">
        <f>IFERROR(VLOOKUP(OrderLines[[#This Row],[OrderID]],Orders[],MATCH(OrderLines[[#Headers],[DiscountPct]],Orders[#Headers],0),FALSE),"CHECK")</f>
        <v>0.04</v>
      </c>
      <c r="J117" t="str">
        <f>IFERROR(VLOOKUP(OrderLines[[#This Row],[OrderID]],Orders[],MATCH(OrderLines[[#Headers],[Shift]],Orders[#Headers],0),FALSE),"CHECK")</f>
        <v>Breakfast</v>
      </c>
      <c r="K117" s="11">
        <f>OrderLines[[#This Row],[Qty]] * OrderLines[[#This Row],[UnitPrice]] * (1-OrderLines[[#This Row],[DiscountPct]])</f>
        <v>50.352000000000004</v>
      </c>
      <c r="L117">
        <f>OrderLines[[#This Row],[Qty]]*OrderLines[[#This Row],[UnitCost]]</f>
        <v>25.8</v>
      </c>
    </row>
    <row r="118" spans="1:12" x14ac:dyDescent="0.25">
      <c r="A118" t="s">
        <v>83</v>
      </c>
      <c r="B118" t="s">
        <v>413</v>
      </c>
      <c r="C118">
        <v>1</v>
      </c>
      <c r="D118" s="9">
        <f>IFERROR(VLOOKUP($B118,Menu[],MATCH(D$1,Menu[#Headers],0),FALSE),"CHECK")</f>
        <v>54.2</v>
      </c>
      <c r="E118" s="9">
        <f>IFERROR(VLOOKUP($B118,Menu[],MATCH(E$1,Menu[#Headers],0),FALSE),"CHECK")</f>
        <v>21.95</v>
      </c>
      <c r="F118" t="str">
        <f>IFERROR(VLOOKUP($B118,Menu[],MATCH(F$1,Menu[#Headers],0),FALSE),"CHECK")</f>
        <v>Dessert</v>
      </c>
      <c r="G118" s="7">
        <f>IFERROR(INT(VLOOKUP($A118,Orders[],MATCH("OrderDateTime",Orders[#Headers],0),FALSE)),"CHECK")</f>
        <v>45866</v>
      </c>
      <c r="H118" s="7" t="str">
        <f>IFERROR(VLOOKUP($A118,Orders[],MATCH(H$1,Orders[#Headers],0),FALSE),"CHECK")</f>
        <v>Plant 2 Canteen</v>
      </c>
      <c r="I118">
        <f>IFERROR(VLOOKUP(OrderLines[[#This Row],[OrderID]],Orders[],MATCH(OrderLines[[#Headers],[DiscountPct]],Orders[#Headers],0),FALSE),"CHECK")</f>
        <v>0.04</v>
      </c>
      <c r="J118" t="str">
        <f>IFERROR(VLOOKUP(OrderLines[[#This Row],[OrderID]],Orders[],MATCH(OrderLines[[#Headers],[Shift]],Orders[#Headers],0),FALSE),"CHECK")</f>
        <v>Breakfast</v>
      </c>
      <c r="K118" s="11">
        <f>OrderLines[[#This Row],[Qty]] * OrderLines[[#This Row],[UnitPrice]] * (1-OrderLines[[#This Row],[DiscountPct]])</f>
        <v>52.032000000000004</v>
      </c>
      <c r="L118">
        <f>OrderLines[[#This Row],[Qty]]*OrderLines[[#This Row],[UnitCost]]</f>
        <v>21.95</v>
      </c>
    </row>
    <row r="119" spans="1:12" x14ac:dyDescent="0.25">
      <c r="A119" t="s">
        <v>84</v>
      </c>
      <c r="B119" t="s">
        <v>406</v>
      </c>
      <c r="C119">
        <v>1</v>
      </c>
      <c r="D119" s="9">
        <f>IFERROR(VLOOKUP($B119,Menu[],MATCH(D$1,Menu[#Headers],0),FALSE),"CHECK")</f>
        <v>38.06</v>
      </c>
      <c r="E119" s="9">
        <f>IFERROR(VLOOKUP($B119,Menu[],MATCH(E$1,Menu[#Headers],0),FALSE),"CHECK")</f>
        <v>19.55</v>
      </c>
      <c r="F119" t="str">
        <f>IFERROR(VLOOKUP($B119,Menu[],MATCH(F$1,Menu[#Headers],0),FALSE),"CHECK")</f>
        <v>Snack</v>
      </c>
      <c r="G119" s="7">
        <f>IFERROR(INT(VLOOKUP($A119,Orders[],MATCH("OrderDateTime",Orders[#Headers],0),FALSE)),"CHECK")</f>
        <v>45891</v>
      </c>
      <c r="H119" s="7" t="str">
        <f>IFERROR(VLOOKUP($A119,Orders[],MATCH(H$1,Orders[#Headers],0),FALSE),"CHECK")</f>
        <v>Plant 2 Canteen</v>
      </c>
      <c r="I119">
        <f>IFERROR(VLOOKUP(OrderLines[[#This Row],[OrderID]],Orders[],MATCH(OrderLines[[#Headers],[DiscountPct]],Orders[#Headers],0),FALSE),"CHECK")</f>
        <v>0.08</v>
      </c>
      <c r="J119" t="str">
        <f>IFERROR(VLOOKUP(OrderLines[[#This Row],[OrderID]],Orders[],MATCH(OrderLines[[#Headers],[Shift]],Orders[#Headers],0),FALSE),"CHECK")</f>
        <v>Breakfast</v>
      </c>
      <c r="K119" s="11">
        <f>OrderLines[[#This Row],[Qty]] * OrderLines[[#This Row],[UnitPrice]] * (1-OrderLines[[#This Row],[DiscountPct]])</f>
        <v>35.0152</v>
      </c>
      <c r="L119">
        <f>OrderLines[[#This Row],[Qty]]*OrderLines[[#This Row],[UnitCost]]</f>
        <v>19.55</v>
      </c>
    </row>
    <row r="120" spans="1:12" x14ac:dyDescent="0.25">
      <c r="A120" t="s">
        <v>84</v>
      </c>
      <c r="B120" t="s">
        <v>419</v>
      </c>
      <c r="C120">
        <v>2</v>
      </c>
      <c r="D120" s="9">
        <f>IFERROR(VLOOKUP($B120,Menu[],MATCH(D$1,Menu[#Headers],0),FALSE),"CHECK")</f>
        <v>50.19</v>
      </c>
      <c r="E120" s="9">
        <f>IFERROR(VLOOKUP($B120,Menu[],MATCH(E$1,Menu[#Headers],0),FALSE),"CHECK")</f>
        <v>22.61</v>
      </c>
      <c r="F120" t="str">
        <f>IFERROR(VLOOKUP($B120,Menu[],MATCH(F$1,Menu[#Headers],0),FALSE),"CHECK")</f>
        <v>Snack</v>
      </c>
      <c r="G120" s="7">
        <f>IFERROR(INT(VLOOKUP($A120,Orders[],MATCH("OrderDateTime",Orders[#Headers],0),FALSE)),"CHECK")</f>
        <v>45891</v>
      </c>
      <c r="H120" s="7" t="str">
        <f>IFERROR(VLOOKUP($A120,Orders[],MATCH(H$1,Orders[#Headers],0),FALSE),"CHECK")</f>
        <v>Plant 2 Canteen</v>
      </c>
      <c r="I120">
        <f>IFERROR(VLOOKUP(OrderLines[[#This Row],[OrderID]],Orders[],MATCH(OrderLines[[#Headers],[DiscountPct]],Orders[#Headers],0),FALSE),"CHECK")</f>
        <v>0.08</v>
      </c>
      <c r="J120" t="str">
        <f>IFERROR(VLOOKUP(OrderLines[[#This Row],[OrderID]],Orders[],MATCH(OrderLines[[#Headers],[Shift]],Orders[#Headers],0),FALSE),"CHECK")</f>
        <v>Breakfast</v>
      </c>
      <c r="K120" s="11">
        <f>OrderLines[[#This Row],[Qty]] * OrderLines[[#This Row],[UnitPrice]] * (1-OrderLines[[#This Row],[DiscountPct]])</f>
        <v>92.349599999999995</v>
      </c>
      <c r="L120">
        <f>OrderLines[[#This Row],[Qty]]*OrderLines[[#This Row],[UnitCost]]</f>
        <v>45.22</v>
      </c>
    </row>
    <row r="121" spans="1:12" x14ac:dyDescent="0.25">
      <c r="A121" t="s">
        <v>84</v>
      </c>
      <c r="B121" t="s">
        <v>409</v>
      </c>
      <c r="C121">
        <v>2</v>
      </c>
      <c r="D121" s="9">
        <f>IFERROR(VLOOKUP($B121,Menu[],MATCH(D$1,Menu[#Headers],0),FALSE),"CHECK")</f>
        <v>28.43</v>
      </c>
      <c r="E121" s="9">
        <f>IFERROR(VLOOKUP($B121,Menu[],MATCH(E$1,Menu[#Headers],0),FALSE),"CHECK")</f>
        <v>13.89</v>
      </c>
      <c r="F121" t="str">
        <f>IFERROR(VLOOKUP($B121,Menu[],MATCH(F$1,Menu[#Headers],0),FALSE),"CHECK")</f>
        <v>Beverage</v>
      </c>
      <c r="G121" s="7">
        <f>IFERROR(INT(VLOOKUP($A121,Orders[],MATCH("OrderDateTime",Orders[#Headers],0),FALSE)),"CHECK")</f>
        <v>45891</v>
      </c>
      <c r="H121" s="7" t="str">
        <f>IFERROR(VLOOKUP($A121,Orders[],MATCH(H$1,Orders[#Headers],0),FALSE),"CHECK")</f>
        <v>Plant 2 Canteen</v>
      </c>
      <c r="I121">
        <f>IFERROR(VLOOKUP(OrderLines[[#This Row],[OrderID]],Orders[],MATCH(OrderLines[[#Headers],[DiscountPct]],Orders[#Headers],0),FALSE),"CHECK")</f>
        <v>0.08</v>
      </c>
      <c r="J121" t="str">
        <f>IFERROR(VLOOKUP(OrderLines[[#This Row],[OrderID]],Orders[],MATCH(OrderLines[[#Headers],[Shift]],Orders[#Headers],0),FALSE),"CHECK")</f>
        <v>Breakfast</v>
      </c>
      <c r="K121" s="11">
        <f>OrderLines[[#This Row],[Qty]] * OrderLines[[#This Row],[UnitPrice]] * (1-OrderLines[[#This Row],[DiscountPct]])</f>
        <v>52.311199999999999</v>
      </c>
      <c r="L121">
        <f>OrderLines[[#This Row],[Qty]]*OrderLines[[#This Row],[UnitCost]]</f>
        <v>27.78</v>
      </c>
    </row>
    <row r="122" spans="1:12" x14ac:dyDescent="0.25">
      <c r="A122" t="s">
        <v>85</v>
      </c>
      <c r="B122" t="s">
        <v>416</v>
      </c>
      <c r="C122">
        <v>1</v>
      </c>
      <c r="D122" s="9">
        <f>IFERROR(VLOOKUP($B122,Menu[],MATCH(D$1,Menu[#Headers],0),FALSE),"CHECK")</f>
        <v>227.61</v>
      </c>
      <c r="E122" s="9">
        <f>IFERROR(VLOOKUP($B122,Menu[],MATCH(E$1,Menu[#Headers],0),FALSE),"CHECK")</f>
        <v>96.22</v>
      </c>
      <c r="F122" t="str">
        <f>IFERROR(VLOOKUP($B122,Menu[],MATCH(F$1,Menu[#Headers],0),FALSE),"CHECK")</f>
        <v>Hot Meal</v>
      </c>
      <c r="G122" s="7">
        <f>IFERROR(INT(VLOOKUP($A122,Orders[],MATCH("OrderDateTime",Orders[#Headers],0),FALSE)),"CHECK")</f>
        <v>45856</v>
      </c>
      <c r="H122" s="7" t="str">
        <f>IFERROR(VLOOKUP($A122,Orders[],MATCH(H$1,Orders[#Headers],0),FALSE),"CHECK")</f>
        <v>Head Office Café</v>
      </c>
      <c r="I122">
        <f>IFERROR(VLOOKUP(OrderLines[[#This Row],[OrderID]],Orders[],MATCH(OrderLines[[#Headers],[DiscountPct]],Orders[#Headers],0),FALSE),"CHECK")</f>
        <v>0.06</v>
      </c>
      <c r="J122" t="str">
        <f>IFERROR(VLOOKUP(OrderLines[[#This Row],[OrderID]],Orders[],MATCH(OrderLines[[#Headers],[Shift]],Orders[#Headers],0),FALSE),"CHECK")</f>
        <v>Lunch</v>
      </c>
      <c r="K122" s="11">
        <f>OrderLines[[#This Row],[Qty]] * OrderLines[[#This Row],[UnitPrice]] * (1-OrderLines[[#This Row],[DiscountPct]])</f>
        <v>213.95339999999999</v>
      </c>
      <c r="L122">
        <f>OrderLines[[#This Row],[Qty]]*OrderLines[[#This Row],[UnitCost]]</f>
        <v>96.22</v>
      </c>
    </row>
    <row r="123" spans="1:12" x14ac:dyDescent="0.25">
      <c r="A123" t="s">
        <v>85</v>
      </c>
      <c r="B123" t="s">
        <v>404</v>
      </c>
      <c r="C123">
        <v>2</v>
      </c>
      <c r="D123" s="9">
        <f>IFERROR(VLOOKUP($B123,Menu[],MATCH(D$1,Menu[#Headers],0),FALSE),"CHECK")</f>
        <v>32.979999999999997</v>
      </c>
      <c r="E123" s="9">
        <f>IFERROR(VLOOKUP($B123,Menu[],MATCH(E$1,Menu[#Headers],0),FALSE),"CHECK")</f>
        <v>11.84</v>
      </c>
      <c r="F123" t="str">
        <f>IFERROR(VLOOKUP($B123,Menu[],MATCH(F$1,Menu[#Headers],0),FALSE),"CHECK")</f>
        <v>Beverage</v>
      </c>
      <c r="G123" s="7">
        <f>IFERROR(INT(VLOOKUP($A123,Orders[],MATCH("OrderDateTime",Orders[#Headers],0),FALSE)),"CHECK")</f>
        <v>45856</v>
      </c>
      <c r="H123" s="7" t="str">
        <f>IFERROR(VLOOKUP($A123,Orders[],MATCH(H$1,Orders[#Headers],0),FALSE),"CHECK")</f>
        <v>Head Office Café</v>
      </c>
      <c r="I123">
        <f>IFERROR(VLOOKUP(OrderLines[[#This Row],[OrderID]],Orders[],MATCH(OrderLines[[#Headers],[DiscountPct]],Orders[#Headers],0),FALSE),"CHECK")</f>
        <v>0.06</v>
      </c>
      <c r="J123" t="str">
        <f>IFERROR(VLOOKUP(OrderLines[[#This Row],[OrderID]],Orders[],MATCH(OrderLines[[#Headers],[Shift]],Orders[#Headers],0),FALSE),"CHECK")</f>
        <v>Lunch</v>
      </c>
      <c r="K123" s="11">
        <f>OrderLines[[#This Row],[Qty]] * OrderLines[[#This Row],[UnitPrice]] * (1-OrderLines[[#This Row],[DiscountPct]])</f>
        <v>62.002399999999987</v>
      </c>
      <c r="L123">
        <f>OrderLines[[#This Row],[Qty]]*OrderLines[[#This Row],[UnitCost]]</f>
        <v>23.68</v>
      </c>
    </row>
    <row r="124" spans="1:12" x14ac:dyDescent="0.25">
      <c r="A124" t="s">
        <v>86</v>
      </c>
      <c r="B124" t="s">
        <v>403</v>
      </c>
      <c r="C124">
        <v>1</v>
      </c>
      <c r="D124" s="9">
        <f>IFERROR(VLOOKUP($B124,Menu[],MATCH(D$1,Menu[#Headers],0),FALSE),"CHECK")</f>
        <v>76.55</v>
      </c>
      <c r="E124" s="9">
        <f>IFERROR(VLOOKUP($B124,Menu[],MATCH(E$1,Menu[#Headers],0),FALSE),"CHECK")</f>
        <v>38.229999999999997</v>
      </c>
      <c r="F124" t="str">
        <f>IFERROR(VLOOKUP($B124,Menu[],MATCH(F$1,Menu[#Headers],0),FALSE),"CHECK")</f>
        <v>Dessert</v>
      </c>
      <c r="G124" s="7">
        <f>IFERROR(INT(VLOOKUP($A124,Orders[],MATCH("OrderDateTime",Orders[#Headers],0),FALSE)),"CHECK")</f>
        <v>45897</v>
      </c>
      <c r="H124" s="7" t="str">
        <f>IFERROR(VLOOKUP($A124,Orders[],MATCH(H$1,Orders[#Headers],0),FALSE),"CHECK")</f>
        <v>Plant 2 Canteen</v>
      </c>
      <c r="I124">
        <f>IFERROR(VLOOKUP(OrderLines[[#This Row],[OrderID]],Orders[],MATCH(OrderLines[[#Headers],[DiscountPct]],Orders[#Headers],0),FALSE),"CHECK")</f>
        <v>0.1</v>
      </c>
      <c r="J124" t="str">
        <f>IFERROR(VLOOKUP(OrderLines[[#This Row],[OrderID]],Orders[],MATCH(OrderLines[[#Headers],[Shift]],Orders[#Headers],0),FALSE),"CHECK")</f>
        <v>Breakfast</v>
      </c>
      <c r="K124" s="11">
        <f>OrderLines[[#This Row],[Qty]] * OrderLines[[#This Row],[UnitPrice]] * (1-OrderLines[[#This Row],[DiscountPct]])</f>
        <v>68.894999999999996</v>
      </c>
      <c r="L124">
        <f>OrderLines[[#This Row],[Qty]]*OrderLines[[#This Row],[UnitCost]]</f>
        <v>38.229999999999997</v>
      </c>
    </row>
    <row r="125" spans="1:12" x14ac:dyDescent="0.25">
      <c r="A125" t="s">
        <v>86</v>
      </c>
      <c r="B125" t="s">
        <v>404</v>
      </c>
      <c r="C125">
        <v>1</v>
      </c>
      <c r="D125" s="9">
        <f>IFERROR(VLOOKUP($B125,Menu[],MATCH(D$1,Menu[#Headers],0),FALSE),"CHECK")</f>
        <v>32.979999999999997</v>
      </c>
      <c r="E125" s="9">
        <f>IFERROR(VLOOKUP($B125,Menu[],MATCH(E$1,Menu[#Headers],0),FALSE),"CHECK")</f>
        <v>11.84</v>
      </c>
      <c r="F125" t="str">
        <f>IFERROR(VLOOKUP($B125,Menu[],MATCH(F$1,Menu[#Headers],0),FALSE),"CHECK")</f>
        <v>Beverage</v>
      </c>
      <c r="G125" s="7">
        <f>IFERROR(INT(VLOOKUP($A125,Orders[],MATCH("OrderDateTime",Orders[#Headers],0),FALSE)),"CHECK")</f>
        <v>45897</v>
      </c>
      <c r="H125" s="7" t="str">
        <f>IFERROR(VLOOKUP($A125,Orders[],MATCH(H$1,Orders[#Headers],0),FALSE),"CHECK")</f>
        <v>Plant 2 Canteen</v>
      </c>
      <c r="I125">
        <f>IFERROR(VLOOKUP(OrderLines[[#This Row],[OrderID]],Orders[],MATCH(OrderLines[[#Headers],[DiscountPct]],Orders[#Headers],0),FALSE),"CHECK")</f>
        <v>0.1</v>
      </c>
      <c r="J125" t="str">
        <f>IFERROR(VLOOKUP(OrderLines[[#This Row],[OrderID]],Orders[],MATCH(OrderLines[[#Headers],[Shift]],Orders[#Headers],0),FALSE),"CHECK")</f>
        <v>Breakfast</v>
      </c>
      <c r="K125" s="11">
        <f>OrderLines[[#This Row],[Qty]] * OrderLines[[#This Row],[UnitPrice]] * (1-OrderLines[[#This Row],[DiscountPct]])</f>
        <v>29.681999999999999</v>
      </c>
      <c r="L125">
        <f>OrderLines[[#This Row],[Qty]]*OrderLines[[#This Row],[UnitCost]]</f>
        <v>11.84</v>
      </c>
    </row>
    <row r="126" spans="1:12" x14ac:dyDescent="0.25">
      <c r="A126" t="s">
        <v>87</v>
      </c>
      <c r="B126" t="s">
        <v>407</v>
      </c>
      <c r="C126">
        <v>1</v>
      </c>
      <c r="D126" s="9">
        <f>IFERROR(VLOOKUP($B126,Menu[],MATCH(D$1,Menu[#Headers],0),FALSE),"CHECK")</f>
        <v>246.09</v>
      </c>
      <c r="E126" s="9">
        <f>IFERROR(VLOOKUP($B126,Menu[],MATCH(E$1,Menu[#Headers],0),FALSE),"CHECK")</f>
        <v>112.08</v>
      </c>
      <c r="F126" t="str">
        <f>IFERROR(VLOOKUP($B126,Menu[],MATCH(F$1,Menu[#Headers],0),FALSE),"CHECK")</f>
        <v>Hot Meal</v>
      </c>
      <c r="G126" s="7">
        <f>IFERROR(INT(VLOOKUP($A126,Orders[],MATCH("OrderDateTime",Orders[#Headers],0),FALSE)),"CHECK")</f>
        <v>45881</v>
      </c>
      <c r="H126" s="7" t="str">
        <f>IFERROR(VLOOKUP($A126,Orders[],MATCH(H$1,Orders[#Headers],0),FALSE),"CHECK")</f>
        <v>Head Office Café</v>
      </c>
      <c r="I126">
        <f>IFERROR(VLOOKUP(OrderLines[[#This Row],[OrderID]],Orders[],MATCH(OrderLines[[#Headers],[DiscountPct]],Orders[#Headers],0),FALSE),"CHECK")</f>
        <v>0.03</v>
      </c>
      <c r="J126" t="str">
        <f>IFERROR(VLOOKUP(OrderLines[[#This Row],[OrderID]],Orders[],MATCH(OrderLines[[#Headers],[Shift]],Orders[#Headers],0),FALSE),"CHECK")</f>
        <v>Lunch</v>
      </c>
      <c r="K126" s="11">
        <f>OrderLines[[#This Row],[Qty]] * OrderLines[[#This Row],[UnitPrice]] * (1-OrderLines[[#This Row],[DiscountPct]])</f>
        <v>238.7073</v>
      </c>
      <c r="L126">
        <f>OrderLines[[#This Row],[Qty]]*OrderLines[[#This Row],[UnitCost]]</f>
        <v>112.08</v>
      </c>
    </row>
    <row r="127" spans="1:12" x14ac:dyDescent="0.25">
      <c r="A127" t="s">
        <v>87</v>
      </c>
      <c r="B127" t="s">
        <v>414</v>
      </c>
      <c r="C127">
        <v>1</v>
      </c>
      <c r="D127" s="9">
        <f>IFERROR(VLOOKUP($B127,Menu[],MATCH(D$1,Menu[#Headers],0),FALSE),"CHECK")</f>
        <v>116.8</v>
      </c>
      <c r="E127" s="9">
        <f>IFERROR(VLOOKUP($B127,Menu[],MATCH(E$1,Menu[#Headers],0),FALSE),"CHECK")</f>
        <v>48.97</v>
      </c>
      <c r="F127" t="str">
        <f>IFERROR(VLOOKUP($B127,Menu[],MATCH(F$1,Menu[#Headers],0),FALSE),"CHECK")</f>
        <v>Dessert</v>
      </c>
      <c r="G127" s="7">
        <f>IFERROR(INT(VLOOKUP($A127,Orders[],MATCH("OrderDateTime",Orders[#Headers],0),FALSE)),"CHECK")</f>
        <v>45881</v>
      </c>
      <c r="H127" s="7" t="str">
        <f>IFERROR(VLOOKUP($A127,Orders[],MATCH(H$1,Orders[#Headers],0),FALSE),"CHECK")</f>
        <v>Head Office Café</v>
      </c>
      <c r="I127">
        <f>IFERROR(VLOOKUP(OrderLines[[#This Row],[OrderID]],Orders[],MATCH(OrderLines[[#Headers],[DiscountPct]],Orders[#Headers],0),FALSE),"CHECK")</f>
        <v>0.03</v>
      </c>
      <c r="J127" t="str">
        <f>IFERROR(VLOOKUP(OrderLines[[#This Row],[OrderID]],Orders[],MATCH(OrderLines[[#Headers],[Shift]],Orders[#Headers],0),FALSE),"CHECK")</f>
        <v>Lunch</v>
      </c>
      <c r="K127" s="11">
        <f>OrderLines[[#This Row],[Qty]] * OrderLines[[#This Row],[UnitPrice]] * (1-OrderLines[[#This Row],[DiscountPct]])</f>
        <v>113.29599999999999</v>
      </c>
      <c r="L127">
        <f>OrderLines[[#This Row],[Qty]]*OrderLines[[#This Row],[UnitCost]]</f>
        <v>48.97</v>
      </c>
    </row>
    <row r="128" spans="1:12" x14ac:dyDescent="0.25">
      <c r="A128" t="s">
        <v>87</v>
      </c>
      <c r="B128" t="s">
        <v>403</v>
      </c>
      <c r="C128">
        <v>3</v>
      </c>
      <c r="D128" s="9">
        <f>IFERROR(VLOOKUP($B128,Menu[],MATCH(D$1,Menu[#Headers],0),FALSE),"CHECK")</f>
        <v>76.55</v>
      </c>
      <c r="E128" s="9">
        <f>IFERROR(VLOOKUP($B128,Menu[],MATCH(E$1,Menu[#Headers],0),FALSE),"CHECK")</f>
        <v>38.229999999999997</v>
      </c>
      <c r="F128" t="str">
        <f>IFERROR(VLOOKUP($B128,Menu[],MATCH(F$1,Menu[#Headers],0),FALSE),"CHECK")</f>
        <v>Dessert</v>
      </c>
      <c r="G128" s="7">
        <f>IFERROR(INT(VLOOKUP($A128,Orders[],MATCH("OrderDateTime",Orders[#Headers],0),FALSE)),"CHECK")</f>
        <v>45881</v>
      </c>
      <c r="H128" s="7" t="str">
        <f>IFERROR(VLOOKUP($A128,Orders[],MATCH(H$1,Orders[#Headers],0),FALSE),"CHECK")</f>
        <v>Head Office Café</v>
      </c>
      <c r="I128">
        <f>IFERROR(VLOOKUP(OrderLines[[#This Row],[OrderID]],Orders[],MATCH(OrderLines[[#Headers],[DiscountPct]],Orders[#Headers],0),FALSE),"CHECK")</f>
        <v>0.03</v>
      </c>
      <c r="J128" t="str">
        <f>IFERROR(VLOOKUP(OrderLines[[#This Row],[OrderID]],Orders[],MATCH(OrderLines[[#Headers],[Shift]],Orders[#Headers],0),FALSE),"CHECK")</f>
        <v>Lunch</v>
      </c>
      <c r="K128" s="11">
        <f>OrderLines[[#This Row],[Qty]] * OrderLines[[#This Row],[UnitPrice]] * (1-OrderLines[[#This Row],[DiscountPct]])</f>
        <v>222.76049999999998</v>
      </c>
      <c r="L128">
        <f>OrderLines[[#This Row],[Qty]]*OrderLines[[#This Row],[UnitCost]]</f>
        <v>114.69</v>
      </c>
    </row>
    <row r="129" spans="1:12" x14ac:dyDescent="0.25">
      <c r="A129" t="s">
        <v>88</v>
      </c>
      <c r="B129" t="s">
        <v>408</v>
      </c>
      <c r="C129">
        <v>2</v>
      </c>
      <c r="D129" s="9">
        <f>IFERROR(VLOOKUP($B129,Menu[],MATCH(D$1,Menu[#Headers],0),FALSE),"CHECK")</f>
        <v>70.540000000000006</v>
      </c>
      <c r="E129" s="9">
        <f>IFERROR(VLOOKUP($B129,Menu[],MATCH(E$1,Menu[#Headers],0),FALSE),"CHECK")</f>
        <v>35.81</v>
      </c>
      <c r="F129" t="str">
        <f>IFERROR(VLOOKUP($B129,Menu[],MATCH(F$1,Menu[#Headers],0),FALSE),"CHECK")</f>
        <v>Snack</v>
      </c>
      <c r="G129" s="7">
        <f>IFERROR(INT(VLOOKUP($A129,Orders[],MATCH("OrderDateTime",Orders[#Headers],0),FALSE)),"CHECK")</f>
        <v>45895</v>
      </c>
      <c r="H129" s="7" t="str">
        <f>IFERROR(VLOOKUP($A129,Orders[],MATCH(H$1,Orders[#Headers],0),FALSE),"CHECK")</f>
        <v>Plant 1 Canteen</v>
      </c>
      <c r="I129">
        <f>IFERROR(VLOOKUP(OrderLines[[#This Row],[OrderID]],Orders[],MATCH(OrderLines[[#Headers],[DiscountPct]],Orders[#Headers],0),FALSE),"CHECK")</f>
        <v>0.05</v>
      </c>
      <c r="J129" t="str">
        <f>IFERROR(VLOOKUP(OrderLines[[#This Row],[OrderID]],Orders[],MATCH(OrderLines[[#Headers],[Shift]],Orders[#Headers],0),FALSE),"CHECK")</f>
        <v>Breakfast</v>
      </c>
      <c r="K129" s="11">
        <f>OrderLines[[#This Row],[Qty]] * OrderLines[[#This Row],[UnitPrice]] * (1-OrderLines[[#This Row],[DiscountPct]])</f>
        <v>134.02600000000001</v>
      </c>
      <c r="L129">
        <f>OrderLines[[#This Row],[Qty]]*OrderLines[[#This Row],[UnitCost]]</f>
        <v>71.62</v>
      </c>
    </row>
    <row r="130" spans="1:12" x14ac:dyDescent="0.25">
      <c r="A130" t="s">
        <v>88</v>
      </c>
      <c r="B130" t="s">
        <v>401</v>
      </c>
      <c r="C130">
        <v>1</v>
      </c>
      <c r="D130" s="9">
        <f>IFERROR(VLOOKUP($B130,Menu[],MATCH(D$1,Menu[#Headers],0),FALSE),"CHECK")</f>
        <v>52.45</v>
      </c>
      <c r="E130" s="9">
        <f>IFERROR(VLOOKUP($B130,Menu[],MATCH(E$1,Menu[#Headers],0),FALSE),"CHECK")</f>
        <v>25.8</v>
      </c>
      <c r="F130" t="str">
        <f>IFERROR(VLOOKUP($B130,Menu[],MATCH(F$1,Menu[#Headers],0),FALSE),"CHECK")</f>
        <v>Snack</v>
      </c>
      <c r="G130" s="7">
        <f>IFERROR(INT(VLOOKUP($A130,Orders[],MATCH("OrderDateTime",Orders[#Headers],0),FALSE)),"CHECK")</f>
        <v>45895</v>
      </c>
      <c r="H130" s="7" t="str">
        <f>IFERROR(VLOOKUP($A130,Orders[],MATCH(H$1,Orders[#Headers],0),FALSE),"CHECK")</f>
        <v>Plant 1 Canteen</v>
      </c>
      <c r="I130">
        <f>IFERROR(VLOOKUP(OrderLines[[#This Row],[OrderID]],Orders[],MATCH(OrderLines[[#Headers],[DiscountPct]],Orders[#Headers],0),FALSE),"CHECK")</f>
        <v>0.05</v>
      </c>
      <c r="J130" t="str">
        <f>IFERROR(VLOOKUP(OrderLines[[#This Row],[OrderID]],Orders[],MATCH(OrderLines[[#Headers],[Shift]],Orders[#Headers],0),FALSE),"CHECK")</f>
        <v>Breakfast</v>
      </c>
      <c r="K130" s="11">
        <f>OrderLines[[#This Row],[Qty]] * OrderLines[[#This Row],[UnitPrice]] * (1-OrderLines[[#This Row],[DiscountPct]])</f>
        <v>49.827500000000001</v>
      </c>
      <c r="L130">
        <f>OrderLines[[#This Row],[Qty]]*OrderLines[[#This Row],[UnitCost]]</f>
        <v>25.8</v>
      </c>
    </row>
    <row r="131" spans="1:12" x14ac:dyDescent="0.25">
      <c r="A131" t="s">
        <v>89</v>
      </c>
      <c r="B131" t="s">
        <v>401</v>
      </c>
      <c r="C131">
        <v>2</v>
      </c>
      <c r="D131" s="9">
        <f>IFERROR(VLOOKUP($B131,Menu[],MATCH(D$1,Menu[#Headers],0),FALSE),"CHECK")</f>
        <v>52.45</v>
      </c>
      <c r="E131" s="9">
        <f>IFERROR(VLOOKUP($B131,Menu[],MATCH(E$1,Menu[#Headers],0),FALSE),"CHECK")</f>
        <v>25.8</v>
      </c>
      <c r="F131" t="str">
        <f>IFERROR(VLOOKUP($B131,Menu[],MATCH(F$1,Menu[#Headers],0),FALSE),"CHECK")</f>
        <v>Snack</v>
      </c>
      <c r="G131" s="7">
        <f>IFERROR(INT(VLOOKUP($A131,Orders[],MATCH("OrderDateTime",Orders[#Headers],0),FALSE)),"CHECK")</f>
        <v>45839</v>
      </c>
      <c r="H131" s="7" t="str">
        <f>IFERROR(VLOOKUP($A131,Orders[],MATCH(H$1,Orders[#Headers],0),FALSE),"CHECK")</f>
        <v>Head Office Café</v>
      </c>
      <c r="I131">
        <f>IFERROR(VLOOKUP(OrderLines[[#This Row],[OrderID]],Orders[],MATCH(OrderLines[[#Headers],[DiscountPct]],Orders[#Headers],0),FALSE),"CHECK")</f>
        <v>0.04</v>
      </c>
      <c r="J131" t="str">
        <f>IFERROR(VLOOKUP(OrderLines[[#This Row],[OrderID]],Orders[],MATCH(OrderLines[[#Headers],[Shift]],Orders[#Headers],0),FALSE),"CHECK")</f>
        <v>Breakfast</v>
      </c>
      <c r="K131" s="11">
        <f>OrderLines[[#This Row],[Qty]] * OrderLines[[#This Row],[UnitPrice]] * (1-OrderLines[[#This Row],[DiscountPct]])</f>
        <v>100.70400000000001</v>
      </c>
      <c r="L131">
        <f>OrderLines[[#This Row],[Qty]]*OrderLines[[#This Row],[UnitCost]]</f>
        <v>51.6</v>
      </c>
    </row>
    <row r="132" spans="1:12" x14ac:dyDescent="0.25">
      <c r="A132" t="s">
        <v>90</v>
      </c>
      <c r="B132" t="s">
        <v>406</v>
      </c>
      <c r="C132">
        <v>1</v>
      </c>
      <c r="D132" s="9">
        <f>IFERROR(VLOOKUP($B132,Menu[],MATCH(D$1,Menu[#Headers],0),FALSE),"CHECK")</f>
        <v>38.06</v>
      </c>
      <c r="E132" s="9">
        <f>IFERROR(VLOOKUP($B132,Menu[],MATCH(E$1,Menu[#Headers],0),FALSE),"CHECK")</f>
        <v>19.55</v>
      </c>
      <c r="F132" t="str">
        <f>IFERROR(VLOOKUP($B132,Menu[],MATCH(F$1,Menu[#Headers],0),FALSE),"CHECK")</f>
        <v>Snack</v>
      </c>
      <c r="G132" s="7">
        <f>IFERROR(INT(VLOOKUP($A132,Orders[],MATCH("OrderDateTime",Orders[#Headers],0),FALSE)),"CHECK")</f>
        <v>45874</v>
      </c>
      <c r="H132" s="7" t="str">
        <f>IFERROR(VLOOKUP($A132,Orders[],MATCH(H$1,Orders[#Headers],0),FALSE),"CHECK")</f>
        <v>Plant 2 Canteen</v>
      </c>
      <c r="I132">
        <f>IFERROR(VLOOKUP(OrderLines[[#This Row],[OrderID]],Orders[],MATCH(OrderLines[[#Headers],[DiscountPct]],Orders[#Headers],0),FALSE),"CHECK")</f>
        <v>0</v>
      </c>
      <c r="J132" t="str">
        <f>IFERROR(VLOOKUP(OrderLines[[#This Row],[OrderID]],Orders[],MATCH(OrderLines[[#Headers],[Shift]],Orders[#Headers],0),FALSE),"CHECK")</f>
        <v>Lunch</v>
      </c>
      <c r="K132" s="11">
        <f>OrderLines[[#This Row],[Qty]] * OrderLines[[#This Row],[UnitPrice]] * (1-OrderLines[[#This Row],[DiscountPct]])</f>
        <v>38.06</v>
      </c>
      <c r="L132">
        <f>OrderLines[[#This Row],[Qty]]*OrderLines[[#This Row],[UnitCost]]</f>
        <v>19.55</v>
      </c>
    </row>
    <row r="133" spans="1:12" x14ac:dyDescent="0.25">
      <c r="A133" t="s">
        <v>90</v>
      </c>
      <c r="B133" t="s">
        <v>414</v>
      </c>
      <c r="C133">
        <v>2</v>
      </c>
      <c r="D133" s="9">
        <f>IFERROR(VLOOKUP($B133,Menu[],MATCH(D$1,Menu[#Headers],0),FALSE),"CHECK")</f>
        <v>116.8</v>
      </c>
      <c r="E133" s="9">
        <f>IFERROR(VLOOKUP($B133,Menu[],MATCH(E$1,Menu[#Headers],0),FALSE),"CHECK")</f>
        <v>48.97</v>
      </c>
      <c r="F133" t="str">
        <f>IFERROR(VLOOKUP($B133,Menu[],MATCH(F$1,Menu[#Headers],0),FALSE),"CHECK")</f>
        <v>Dessert</v>
      </c>
      <c r="G133" s="7">
        <f>IFERROR(INT(VLOOKUP($A133,Orders[],MATCH("OrderDateTime",Orders[#Headers],0),FALSE)),"CHECK")</f>
        <v>45874</v>
      </c>
      <c r="H133" s="7" t="str">
        <f>IFERROR(VLOOKUP($A133,Orders[],MATCH(H$1,Orders[#Headers],0),FALSE),"CHECK")</f>
        <v>Plant 2 Canteen</v>
      </c>
      <c r="I133">
        <f>IFERROR(VLOOKUP(OrderLines[[#This Row],[OrderID]],Orders[],MATCH(OrderLines[[#Headers],[DiscountPct]],Orders[#Headers],0),FALSE),"CHECK")</f>
        <v>0</v>
      </c>
      <c r="J133" t="str">
        <f>IFERROR(VLOOKUP(OrderLines[[#This Row],[OrderID]],Orders[],MATCH(OrderLines[[#Headers],[Shift]],Orders[#Headers],0),FALSE),"CHECK")</f>
        <v>Lunch</v>
      </c>
      <c r="K133" s="11">
        <f>OrderLines[[#This Row],[Qty]] * OrderLines[[#This Row],[UnitPrice]] * (1-OrderLines[[#This Row],[DiscountPct]])</f>
        <v>233.6</v>
      </c>
      <c r="L133">
        <f>OrderLines[[#This Row],[Qty]]*OrderLines[[#This Row],[UnitCost]]</f>
        <v>97.94</v>
      </c>
    </row>
    <row r="134" spans="1:12" x14ac:dyDescent="0.25">
      <c r="A134" t="s">
        <v>91</v>
      </c>
      <c r="B134" t="s">
        <v>415</v>
      </c>
      <c r="C134">
        <v>2</v>
      </c>
      <c r="D134" s="9">
        <f>IFERROR(VLOOKUP($B134,Menu[],MATCH(D$1,Menu[#Headers],0),FALSE),"CHECK")</f>
        <v>256.91000000000003</v>
      </c>
      <c r="E134" s="9">
        <f>IFERROR(VLOOKUP($B134,Menu[],MATCH(E$1,Menu[#Headers],0),FALSE),"CHECK")</f>
        <v>121.24</v>
      </c>
      <c r="F134" t="str">
        <f>IFERROR(VLOOKUP($B134,Menu[],MATCH(F$1,Menu[#Headers],0),FALSE),"CHECK")</f>
        <v>Hot Meal</v>
      </c>
      <c r="G134" s="7">
        <f>IFERROR(INT(VLOOKUP($A134,Orders[],MATCH("OrderDateTime",Orders[#Headers],0),FALSE)),"CHECK")</f>
        <v>45869</v>
      </c>
      <c r="H134" s="7" t="str">
        <f>IFERROR(VLOOKUP($A134,Orders[],MATCH(H$1,Orders[#Headers],0),FALSE),"CHECK")</f>
        <v>Head Office Café</v>
      </c>
      <c r="I134">
        <f>IFERROR(VLOOKUP(OrderLines[[#This Row],[OrderID]],Orders[],MATCH(OrderLines[[#Headers],[DiscountPct]],Orders[#Headers],0),FALSE),"CHECK")</f>
        <v>7.0000000000000007E-2</v>
      </c>
      <c r="J134" t="str">
        <f>IFERROR(VLOOKUP(OrderLines[[#This Row],[OrderID]],Orders[],MATCH(OrderLines[[#Headers],[Shift]],Orders[#Headers],0),FALSE),"CHECK")</f>
        <v>Dinner</v>
      </c>
      <c r="K134" s="11">
        <f>OrderLines[[#This Row],[Qty]] * OrderLines[[#This Row],[UnitPrice]] * (1-OrderLines[[#This Row],[DiscountPct]])</f>
        <v>477.8526</v>
      </c>
      <c r="L134">
        <f>OrderLines[[#This Row],[Qty]]*OrderLines[[#This Row],[UnitCost]]</f>
        <v>242.48</v>
      </c>
    </row>
    <row r="135" spans="1:12" x14ac:dyDescent="0.25">
      <c r="A135" t="s">
        <v>91</v>
      </c>
      <c r="B135" t="s">
        <v>407</v>
      </c>
      <c r="C135">
        <v>1</v>
      </c>
      <c r="D135" s="9">
        <f>IFERROR(VLOOKUP($B135,Menu[],MATCH(D$1,Menu[#Headers],0),FALSE),"CHECK")</f>
        <v>246.09</v>
      </c>
      <c r="E135" s="9">
        <f>IFERROR(VLOOKUP($B135,Menu[],MATCH(E$1,Menu[#Headers],0),FALSE),"CHECK")</f>
        <v>112.08</v>
      </c>
      <c r="F135" t="str">
        <f>IFERROR(VLOOKUP($B135,Menu[],MATCH(F$1,Menu[#Headers],0),FALSE),"CHECK")</f>
        <v>Hot Meal</v>
      </c>
      <c r="G135" s="7">
        <f>IFERROR(INT(VLOOKUP($A135,Orders[],MATCH("OrderDateTime",Orders[#Headers],0),FALSE)),"CHECK")</f>
        <v>45869</v>
      </c>
      <c r="H135" s="7" t="str">
        <f>IFERROR(VLOOKUP($A135,Orders[],MATCH(H$1,Orders[#Headers],0),FALSE),"CHECK")</f>
        <v>Head Office Café</v>
      </c>
      <c r="I135">
        <f>IFERROR(VLOOKUP(OrderLines[[#This Row],[OrderID]],Orders[],MATCH(OrderLines[[#Headers],[DiscountPct]],Orders[#Headers],0),FALSE),"CHECK")</f>
        <v>7.0000000000000007E-2</v>
      </c>
      <c r="J135" t="str">
        <f>IFERROR(VLOOKUP(OrderLines[[#This Row],[OrderID]],Orders[],MATCH(OrderLines[[#Headers],[Shift]],Orders[#Headers],0),FALSE),"CHECK")</f>
        <v>Dinner</v>
      </c>
      <c r="K135" s="11">
        <f>OrderLines[[#This Row],[Qty]] * OrderLines[[#This Row],[UnitPrice]] * (1-OrderLines[[#This Row],[DiscountPct]])</f>
        <v>228.86369999999999</v>
      </c>
      <c r="L135">
        <f>OrderLines[[#This Row],[Qty]]*OrderLines[[#This Row],[UnitCost]]</f>
        <v>112.08</v>
      </c>
    </row>
    <row r="136" spans="1:12" x14ac:dyDescent="0.25">
      <c r="A136" t="s">
        <v>92</v>
      </c>
      <c r="B136" t="s">
        <v>414</v>
      </c>
      <c r="C136">
        <v>3</v>
      </c>
      <c r="D136" s="9">
        <f>IFERROR(VLOOKUP($B136,Menu[],MATCH(D$1,Menu[#Headers],0),FALSE),"CHECK")</f>
        <v>116.8</v>
      </c>
      <c r="E136" s="9">
        <f>IFERROR(VLOOKUP($B136,Menu[],MATCH(E$1,Menu[#Headers],0),FALSE),"CHECK")</f>
        <v>48.97</v>
      </c>
      <c r="F136" t="str">
        <f>IFERROR(VLOOKUP($B136,Menu[],MATCH(F$1,Menu[#Headers],0),FALSE),"CHECK")</f>
        <v>Dessert</v>
      </c>
      <c r="G136" s="7">
        <f>IFERROR(INT(VLOOKUP($A136,Orders[],MATCH("OrderDateTime",Orders[#Headers],0),FALSE)),"CHECK")</f>
        <v>45888</v>
      </c>
      <c r="H136" s="7" t="str">
        <f>IFERROR(VLOOKUP($A136,Orders[],MATCH(H$1,Orders[#Headers],0),FALSE),"CHECK")</f>
        <v>Plant 2 Canteen</v>
      </c>
      <c r="I136">
        <f>IFERROR(VLOOKUP(OrderLines[[#This Row],[OrderID]],Orders[],MATCH(OrderLines[[#Headers],[DiscountPct]],Orders[#Headers],0),FALSE),"CHECK")</f>
        <v>7.0000000000000007E-2</v>
      </c>
      <c r="J136" t="str">
        <f>IFERROR(VLOOKUP(OrderLines[[#This Row],[OrderID]],Orders[],MATCH(OrderLines[[#Headers],[Shift]],Orders[#Headers],0),FALSE),"CHECK")</f>
        <v>Lunch</v>
      </c>
      <c r="K136" s="11">
        <f>OrderLines[[#This Row],[Qty]] * OrderLines[[#This Row],[UnitPrice]] * (1-OrderLines[[#This Row],[DiscountPct]])</f>
        <v>325.87199999999996</v>
      </c>
      <c r="L136">
        <f>OrderLines[[#This Row],[Qty]]*OrderLines[[#This Row],[UnitCost]]</f>
        <v>146.91</v>
      </c>
    </row>
    <row r="137" spans="1:12" x14ac:dyDescent="0.25">
      <c r="A137" t="s">
        <v>92</v>
      </c>
      <c r="B137" t="s">
        <v>417</v>
      </c>
      <c r="C137">
        <v>1</v>
      </c>
      <c r="D137" s="9">
        <f>IFERROR(VLOOKUP($B137,Menu[],MATCH(D$1,Menu[#Headers],0),FALSE),"CHECK")</f>
        <v>146.4</v>
      </c>
      <c r="E137" s="9">
        <f>IFERROR(VLOOKUP($B137,Menu[],MATCH(E$1,Menu[#Headers],0),FALSE),"CHECK")</f>
        <v>80.92</v>
      </c>
      <c r="F137" t="str">
        <f>IFERROR(VLOOKUP($B137,Menu[],MATCH(F$1,Menu[#Headers],0),FALSE),"CHECK")</f>
        <v>Hot Meal</v>
      </c>
      <c r="G137" s="7">
        <f>IFERROR(INT(VLOOKUP($A137,Orders[],MATCH("OrderDateTime",Orders[#Headers],0),FALSE)),"CHECK")</f>
        <v>45888</v>
      </c>
      <c r="H137" s="7" t="str">
        <f>IFERROR(VLOOKUP($A137,Orders[],MATCH(H$1,Orders[#Headers],0),FALSE),"CHECK")</f>
        <v>Plant 2 Canteen</v>
      </c>
      <c r="I137">
        <f>IFERROR(VLOOKUP(OrderLines[[#This Row],[OrderID]],Orders[],MATCH(OrderLines[[#Headers],[DiscountPct]],Orders[#Headers],0),FALSE),"CHECK")</f>
        <v>7.0000000000000007E-2</v>
      </c>
      <c r="J137" t="str">
        <f>IFERROR(VLOOKUP(OrderLines[[#This Row],[OrderID]],Orders[],MATCH(OrderLines[[#Headers],[Shift]],Orders[#Headers],0),FALSE),"CHECK")</f>
        <v>Lunch</v>
      </c>
      <c r="K137" s="11">
        <f>OrderLines[[#This Row],[Qty]] * OrderLines[[#This Row],[UnitPrice]] * (1-OrderLines[[#This Row],[DiscountPct]])</f>
        <v>136.15199999999999</v>
      </c>
      <c r="L137">
        <f>OrderLines[[#This Row],[Qty]]*OrderLines[[#This Row],[UnitCost]]</f>
        <v>80.92</v>
      </c>
    </row>
    <row r="138" spans="1:12" x14ac:dyDescent="0.25">
      <c r="A138" t="s">
        <v>93</v>
      </c>
      <c r="B138" t="s">
        <v>419</v>
      </c>
      <c r="C138">
        <v>1</v>
      </c>
      <c r="D138" s="9">
        <f>IFERROR(VLOOKUP($B138,Menu[],MATCH(D$1,Menu[#Headers],0),FALSE),"CHECK")</f>
        <v>50.19</v>
      </c>
      <c r="E138" s="9">
        <f>IFERROR(VLOOKUP($B138,Menu[],MATCH(E$1,Menu[#Headers],0),FALSE),"CHECK")</f>
        <v>22.61</v>
      </c>
      <c r="F138" t="str">
        <f>IFERROR(VLOOKUP($B138,Menu[],MATCH(F$1,Menu[#Headers],0),FALSE),"CHECK")</f>
        <v>Snack</v>
      </c>
      <c r="G138" s="7">
        <f>IFERROR(INT(VLOOKUP($A138,Orders[],MATCH("OrderDateTime",Orders[#Headers],0),FALSE)),"CHECK")</f>
        <v>45878</v>
      </c>
      <c r="H138" s="7" t="str">
        <f>IFERROR(VLOOKUP($A138,Orders[],MATCH(H$1,Orders[#Headers],0),FALSE),"CHECK")</f>
        <v>Head Office Café</v>
      </c>
      <c r="I138">
        <f>IFERROR(VLOOKUP(OrderLines[[#This Row],[OrderID]],Orders[],MATCH(OrderLines[[#Headers],[DiscountPct]],Orders[#Headers],0),FALSE),"CHECK")</f>
        <v>0.06</v>
      </c>
      <c r="J138" t="str">
        <f>IFERROR(VLOOKUP(OrderLines[[#This Row],[OrderID]],Orders[],MATCH(OrderLines[[#Headers],[Shift]],Orders[#Headers],0),FALSE),"CHECK")</f>
        <v>Breakfast</v>
      </c>
      <c r="K138" s="11">
        <f>OrderLines[[#This Row],[Qty]] * OrderLines[[#This Row],[UnitPrice]] * (1-OrderLines[[#This Row],[DiscountPct]])</f>
        <v>47.178599999999996</v>
      </c>
      <c r="L138">
        <f>OrderLines[[#This Row],[Qty]]*OrderLines[[#This Row],[UnitCost]]</f>
        <v>22.61</v>
      </c>
    </row>
    <row r="139" spans="1:12" x14ac:dyDescent="0.25">
      <c r="A139" t="s">
        <v>93</v>
      </c>
      <c r="B139" t="s">
        <v>402</v>
      </c>
      <c r="C139">
        <v>3</v>
      </c>
      <c r="D139" s="9">
        <f>IFERROR(VLOOKUP($B139,Menu[],MATCH(D$1,Menu[#Headers],0),FALSE),"CHECK")</f>
        <v>30.34</v>
      </c>
      <c r="E139" s="9">
        <f>IFERROR(VLOOKUP($B139,Menu[],MATCH(E$1,Menu[#Headers],0),FALSE),"CHECK")</f>
        <v>14.18</v>
      </c>
      <c r="F139" t="str">
        <f>IFERROR(VLOOKUP($B139,Menu[],MATCH(F$1,Menu[#Headers],0),FALSE),"CHECK")</f>
        <v>Beverage</v>
      </c>
      <c r="G139" s="7">
        <f>IFERROR(INT(VLOOKUP($A139,Orders[],MATCH("OrderDateTime",Orders[#Headers],0),FALSE)),"CHECK")</f>
        <v>45878</v>
      </c>
      <c r="H139" s="7" t="str">
        <f>IFERROR(VLOOKUP($A139,Orders[],MATCH(H$1,Orders[#Headers],0),FALSE),"CHECK")</f>
        <v>Head Office Café</v>
      </c>
      <c r="I139">
        <f>IFERROR(VLOOKUP(OrderLines[[#This Row],[OrderID]],Orders[],MATCH(OrderLines[[#Headers],[DiscountPct]],Orders[#Headers],0),FALSE),"CHECK")</f>
        <v>0.06</v>
      </c>
      <c r="J139" t="str">
        <f>IFERROR(VLOOKUP(OrderLines[[#This Row],[OrderID]],Orders[],MATCH(OrderLines[[#Headers],[Shift]],Orders[#Headers],0),FALSE),"CHECK")</f>
        <v>Breakfast</v>
      </c>
      <c r="K139" s="11">
        <f>OrderLines[[#This Row],[Qty]] * OrderLines[[#This Row],[UnitPrice]] * (1-OrderLines[[#This Row],[DiscountPct]])</f>
        <v>85.558799999999991</v>
      </c>
      <c r="L139">
        <f>OrderLines[[#This Row],[Qty]]*OrderLines[[#This Row],[UnitCost]]</f>
        <v>42.54</v>
      </c>
    </row>
    <row r="140" spans="1:12" x14ac:dyDescent="0.25">
      <c r="A140" t="s">
        <v>93</v>
      </c>
      <c r="B140" t="s">
        <v>406</v>
      </c>
      <c r="C140">
        <v>1</v>
      </c>
      <c r="D140" s="9">
        <f>IFERROR(VLOOKUP($B140,Menu[],MATCH(D$1,Menu[#Headers],0),FALSE),"CHECK")</f>
        <v>38.06</v>
      </c>
      <c r="E140" s="9">
        <f>IFERROR(VLOOKUP($B140,Menu[],MATCH(E$1,Menu[#Headers],0),FALSE),"CHECK")</f>
        <v>19.55</v>
      </c>
      <c r="F140" t="str">
        <f>IFERROR(VLOOKUP($B140,Menu[],MATCH(F$1,Menu[#Headers],0),FALSE),"CHECK")</f>
        <v>Snack</v>
      </c>
      <c r="G140" s="7">
        <f>IFERROR(INT(VLOOKUP($A140,Orders[],MATCH("OrderDateTime",Orders[#Headers],0),FALSE)),"CHECK")</f>
        <v>45878</v>
      </c>
      <c r="H140" s="7" t="str">
        <f>IFERROR(VLOOKUP($A140,Orders[],MATCH(H$1,Orders[#Headers],0),FALSE),"CHECK")</f>
        <v>Head Office Café</v>
      </c>
      <c r="I140">
        <f>IFERROR(VLOOKUP(OrderLines[[#This Row],[OrderID]],Orders[],MATCH(OrderLines[[#Headers],[DiscountPct]],Orders[#Headers],0),FALSE),"CHECK")</f>
        <v>0.06</v>
      </c>
      <c r="J140" t="str">
        <f>IFERROR(VLOOKUP(OrderLines[[#This Row],[OrderID]],Orders[],MATCH(OrderLines[[#Headers],[Shift]],Orders[#Headers],0),FALSE),"CHECK")</f>
        <v>Breakfast</v>
      </c>
      <c r="K140" s="11">
        <f>OrderLines[[#This Row],[Qty]] * OrderLines[[#This Row],[UnitPrice]] * (1-OrderLines[[#This Row],[DiscountPct]])</f>
        <v>35.776400000000002</v>
      </c>
      <c r="L140">
        <f>OrderLines[[#This Row],[Qty]]*OrderLines[[#This Row],[UnitCost]]</f>
        <v>19.55</v>
      </c>
    </row>
    <row r="141" spans="1:12" x14ac:dyDescent="0.25">
      <c r="A141" t="s">
        <v>93</v>
      </c>
      <c r="B141" t="s">
        <v>403</v>
      </c>
      <c r="C141">
        <v>1</v>
      </c>
      <c r="D141" s="9">
        <f>IFERROR(VLOOKUP($B141,Menu[],MATCH(D$1,Menu[#Headers],0),FALSE),"CHECK")</f>
        <v>76.55</v>
      </c>
      <c r="E141" s="9">
        <f>IFERROR(VLOOKUP($B141,Menu[],MATCH(E$1,Menu[#Headers],0),FALSE),"CHECK")</f>
        <v>38.229999999999997</v>
      </c>
      <c r="F141" t="str">
        <f>IFERROR(VLOOKUP($B141,Menu[],MATCH(F$1,Menu[#Headers],0),FALSE),"CHECK")</f>
        <v>Dessert</v>
      </c>
      <c r="G141" s="7">
        <f>IFERROR(INT(VLOOKUP($A141,Orders[],MATCH("OrderDateTime",Orders[#Headers],0),FALSE)),"CHECK")</f>
        <v>45878</v>
      </c>
      <c r="H141" s="7" t="str">
        <f>IFERROR(VLOOKUP($A141,Orders[],MATCH(H$1,Orders[#Headers],0),FALSE),"CHECK")</f>
        <v>Head Office Café</v>
      </c>
      <c r="I141">
        <f>IFERROR(VLOOKUP(OrderLines[[#This Row],[OrderID]],Orders[],MATCH(OrderLines[[#Headers],[DiscountPct]],Orders[#Headers],0),FALSE),"CHECK")</f>
        <v>0.06</v>
      </c>
      <c r="J141" t="str">
        <f>IFERROR(VLOOKUP(OrderLines[[#This Row],[OrderID]],Orders[],MATCH(OrderLines[[#Headers],[Shift]],Orders[#Headers],0),FALSE),"CHECK")</f>
        <v>Breakfast</v>
      </c>
      <c r="K141" s="11">
        <f>OrderLines[[#This Row],[Qty]] * OrderLines[[#This Row],[UnitPrice]] * (1-OrderLines[[#This Row],[DiscountPct]])</f>
        <v>71.956999999999994</v>
      </c>
      <c r="L141">
        <f>OrderLines[[#This Row],[Qty]]*OrderLines[[#This Row],[UnitCost]]</f>
        <v>38.229999999999997</v>
      </c>
    </row>
    <row r="142" spans="1:12" x14ac:dyDescent="0.25">
      <c r="A142" t="s">
        <v>94</v>
      </c>
      <c r="B142" t="s">
        <v>407</v>
      </c>
      <c r="C142">
        <v>1</v>
      </c>
      <c r="D142" s="9">
        <f>IFERROR(VLOOKUP($B142,Menu[],MATCH(D$1,Menu[#Headers],0),FALSE),"CHECK")</f>
        <v>246.09</v>
      </c>
      <c r="E142" s="9">
        <f>IFERROR(VLOOKUP($B142,Menu[],MATCH(E$1,Menu[#Headers],0),FALSE),"CHECK")</f>
        <v>112.08</v>
      </c>
      <c r="F142" t="str">
        <f>IFERROR(VLOOKUP($B142,Menu[],MATCH(F$1,Menu[#Headers],0),FALSE),"CHECK")</f>
        <v>Hot Meal</v>
      </c>
      <c r="G142" s="7">
        <f>IFERROR(INT(VLOOKUP($A142,Orders[],MATCH("OrderDateTime",Orders[#Headers],0),FALSE)),"CHECK")</f>
        <v>45857</v>
      </c>
      <c r="H142" s="7" t="str">
        <f>IFERROR(VLOOKUP($A142,Orders[],MATCH(H$1,Orders[#Headers],0),FALSE),"CHECK")</f>
        <v>Plant 2 Canteen</v>
      </c>
      <c r="I142">
        <f>IFERROR(VLOOKUP(OrderLines[[#This Row],[OrderID]],Orders[],MATCH(OrderLines[[#Headers],[DiscountPct]],Orders[#Headers],0),FALSE),"CHECK")</f>
        <v>0.05</v>
      </c>
      <c r="J142" t="str">
        <f>IFERROR(VLOOKUP(OrderLines[[#This Row],[OrderID]],Orders[],MATCH(OrderLines[[#Headers],[Shift]],Orders[#Headers],0),FALSE),"CHECK")</f>
        <v>Dinner</v>
      </c>
      <c r="K142" s="11">
        <f>OrderLines[[#This Row],[Qty]] * OrderLines[[#This Row],[UnitPrice]] * (1-OrderLines[[#This Row],[DiscountPct]])</f>
        <v>233.78549999999998</v>
      </c>
      <c r="L142">
        <f>OrderLines[[#This Row],[Qty]]*OrderLines[[#This Row],[UnitCost]]</f>
        <v>112.08</v>
      </c>
    </row>
    <row r="143" spans="1:12" x14ac:dyDescent="0.25">
      <c r="A143" t="s">
        <v>96</v>
      </c>
      <c r="B143" t="s">
        <v>403</v>
      </c>
      <c r="C143">
        <v>2</v>
      </c>
      <c r="D143" s="9">
        <f>IFERROR(VLOOKUP($B143,Menu[],MATCH(D$1,Menu[#Headers],0),FALSE),"CHECK")</f>
        <v>76.55</v>
      </c>
      <c r="E143" s="9">
        <f>IFERROR(VLOOKUP($B143,Menu[],MATCH(E$1,Menu[#Headers],0),FALSE),"CHECK")</f>
        <v>38.229999999999997</v>
      </c>
      <c r="F143" t="str">
        <f>IFERROR(VLOOKUP($B143,Menu[],MATCH(F$1,Menu[#Headers],0),FALSE),"CHECK")</f>
        <v>Dessert</v>
      </c>
      <c r="G143" s="7">
        <f>IFERROR(INT(VLOOKUP($A143,Orders[],MATCH("OrderDateTime",Orders[#Headers],0),FALSE)),"CHECK")</f>
        <v>45894</v>
      </c>
      <c r="H143" s="7" t="str">
        <f>IFERROR(VLOOKUP($A143,Orders[],MATCH(H$1,Orders[#Headers],0),FALSE),"CHECK")</f>
        <v>Plant 2 Canteen</v>
      </c>
      <c r="I143">
        <f>IFERROR(VLOOKUP(OrderLines[[#This Row],[OrderID]],Orders[],MATCH(OrderLines[[#Headers],[DiscountPct]],Orders[#Headers],0),FALSE),"CHECK")</f>
        <v>0</v>
      </c>
      <c r="J143" t="str">
        <f>IFERROR(VLOOKUP(OrderLines[[#This Row],[OrderID]],Orders[],MATCH(OrderLines[[#Headers],[Shift]],Orders[#Headers],0),FALSE),"CHECK")</f>
        <v>Lunch</v>
      </c>
      <c r="K143" s="11">
        <f>OrderLines[[#This Row],[Qty]] * OrderLines[[#This Row],[UnitPrice]] * (1-OrderLines[[#This Row],[DiscountPct]])</f>
        <v>153.1</v>
      </c>
      <c r="L143">
        <f>OrderLines[[#This Row],[Qty]]*OrderLines[[#This Row],[UnitCost]]</f>
        <v>76.459999999999994</v>
      </c>
    </row>
    <row r="144" spans="1:12" x14ac:dyDescent="0.25">
      <c r="A144" t="s">
        <v>96</v>
      </c>
      <c r="B144" t="s">
        <v>413</v>
      </c>
      <c r="C144">
        <v>1</v>
      </c>
      <c r="D144" s="9">
        <f>IFERROR(VLOOKUP($B144,Menu[],MATCH(D$1,Menu[#Headers],0),FALSE),"CHECK")</f>
        <v>54.2</v>
      </c>
      <c r="E144" s="9">
        <f>IFERROR(VLOOKUP($B144,Menu[],MATCH(E$1,Menu[#Headers],0),FALSE),"CHECK")</f>
        <v>21.95</v>
      </c>
      <c r="F144" t="str">
        <f>IFERROR(VLOOKUP($B144,Menu[],MATCH(F$1,Menu[#Headers],0),FALSE),"CHECK")</f>
        <v>Dessert</v>
      </c>
      <c r="G144" s="7">
        <f>IFERROR(INT(VLOOKUP($A144,Orders[],MATCH("OrderDateTime",Orders[#Headers],0),FALSE)),"CHECK")</f>
        <v>45894</v>
      </c>
      <c r="H144" s="7" t="str">
        <f>IFERROR(VLOOKUP($A144,Orders[],MATCH(H$1,Orders[#Headers],0),FALSE),"CHECK")</f>
        <v>Plant 2 Canteen</v>
      </c>
      <c r="I144">
        <f>IFERROR(VLOOKUP(OrderLines[[#This Row],[OrderID]],Orders[],MATCH(OrderLines[[#Headers],[DiscountPct]],Orders[#Headers],0),FALSE),"CHECK")</f>
        <v>0</v>
      </c>
      <c r="J144" t="str">
        <f>IFERROR(VLOOKUP(OrderLines[[#This Row],[OrderID]],Orders[],MATCH(OrderLines[[#Headers],[Shift]],Orders[#Headers],0),FALSE),"CHECK")</f>
        <v>Lunch</v>
      </c>
      <c r="K144" s="11">
        <f>OrderLines[[#This Row],[Qty]] * OrderLines[[#This Row],[UnitPrice]] * (1-OrderLines[[#This Row],[DiscountPct]])</f>
        <v>54.2</v>
      </c>
      <c r="L144">
        <f>OrderLines[[#This Row],[Qty]]*OrderLines[[#This Row],[UnitCost]]</f>
        <v>21.95</v>
      </c>
    </row>
    <row r="145" spans="1:12" x14ac:dyDescent="0.25">
      <c r="A145" t="s">
        <v>96</v>
      </c>
      <c r="B145" t="s">
        <v>416</v>
      </c>
      <c r="C145">
        <v>2</v>
      </c>
      <c r="D145" s="9">
        <f>IFERROR(VLOOKUP($B145,Menu[],MATCH(D$1,Menu[#Headers],0),FALSE),"CHECK")</f>
        <v>227.61</v>
      </c>
      <c r="E145" s="9">
        <f>IFERROR(VLOOKUP($B145,Menu[],MATCH(E$1,Menu[#Headers],0),FALSE),"CHECK")</f>
        <v>96.22</v>
      </c>
      <c r="F145" t="str">
        <f>IFERROR(VLOOKUP($B145,Menu[],MATCH(F$1,Menu[#Headers],0),FALSE),"CHECK")</f>
        <v>Hot Meal</v>
      </c>
      <c r="G145" s="7">
        <f>IFERROR(INT(VLOOKUP($A145,Orders[],MATCH("OrderDateTime",Orders[#Headers],0),FALSE)),"CHECK")</f>
        <v>45894</v>
      </c>
      <c r="H145" s="7" t="str">
        <f>IFERROR(VLOOKUP($A145,Orders[],MATCH(H$1,Orders[#Headers],0),FALSE),"CHECK")</f>
        <v>Plant 2 Canteen</v>
      </c>
      <c r="I145">
        <f>IFERROR(VLOOKUP(OrderLines[[#This Row],[OrderID]],Orders[],MATCH(OrderLines[[#Headers],[DiscountPct]],Orders[#Headers],0),FALSE),"CHECK")</f>
        <v>0</v>
      </c>
      <c r="J145" t="str">
        <f>IFERROR(VLOOKUP(OrderLines[[#This Row],[OrderID]],Orders[],MATCH(OrderLines[[#Headers],[Shift]],Orders[#Headers],0),FALSE),"CHECK")</f>
        <v>Lunch</v>
      </c>
      <c r="K145" s="11">
        <f>OrderLines[[#This Row],[Qty]] * OrderLines[[#This Row],[UnitPrice]] * (1-OrderLines[[#This Row],[DiscountPct]])</f>
        <v>455.22</v>
      </c>
      <c r="L145">
        <f>OrderLines[[#This Row],[Qty]]*OrderLines[[#This Row],[UnitCost]]</f>
        <v>192.44</v>
      </c>
    </row>
    <row r="146" spans="1:12" x14ac:dyDescent="0.25">
      <c r="A146" t="s">
        <v>97</v>
      </c>
      <c r="B146" t="s">
        <v>405</v>
      </c>
      <c r="C146">
        <v>2</v>
      </c>
      <c r="D146" s="9">
        <f>IFERROR(VLOOKUP($B146,Menu[],MATCH(D$1,Menu[#Headers],0),FALSE),"CHECK")</f>
        <v>170.83</v>
      </c>
      <c r="E146" s="9">
        <f>IFERROR(VLOOKUP($B146,Menu[],MATCH(E$1,Menu[#Headers],0),FALSE),"CHECK")</f>
        <v>74.069999999999993</v>
      </c>
      <c r="F146" t="str">
        <f>IFERROR(VLOOKUP($B146,Menu[],MATCH(F$1,Menu[#Headers],0),FALSE),"CHECK")</f>
        <v>Hot Meal</v>
      </c>
      <c r="G146" s="7">
        <f>IFERROR(INT(VLOOKUP($A146,Orders[],MATCH("OrderDateTime",Orders[#Headers],0),FALSE)),"CHECK")</f>
        <v>45868</v>
      </c>
      <c r="H146" s="7" t="str">
        <f>IFERROR(VLOOKUP($A146,Orders[],MATCH(H$1,Orders[#Headers],0),FALSE),"CHECK")</f>
        <v>Plant 2 Canteen</v>
      </c>
      <c r="I146">
        <f>IFERROR(VLOOKUP(OrderLines[[#This Row],[OrderID]],Orders[],MATCH(OrderLines[[#Headers],[DiscountPct]],Orders[#Headers],0),FALSE),"CHECK")</f>
        <v>0.04</v>
      </c>
      <c r="J146" t="str">
        <f>IFERROR(VLOOKUP(OrderLines[[#This Row],[OrderID]],Orders[],MATCH(OrderLines[[#Headers],[Shift]],Orders[#Headers],0),FALSE),"CHECK")</f>
        <v>Dinner</v>
      </c>
      <c r="K146" s="11">
        <f>OrderLines[[#This Row],[Qty]] * OrderLines[[#This Row],[UnitPrice]] * (1-OrderLines[[#This Row],[DiscountPct]])</f>
        <v>327.99360000000001</v>
      </c>
      <c r="L146">
        <f>OrderLines[[#This Row],[Qty]]*OrderLines[[#This Row],[UnitCost]]</f>
        <v>148.13999999999999</v>
      </c>
    </row>
    <row r="147" spans="1:12" x14ac:dyDescent="0.25">
      <c r="A147" t="s">
        <v>97</v>
      </c>
      <c r="B147" t="s">
        <v>415</v>
      </c>
      <c r="C147">
        <v>1</v>
      </c>
      <c r="D147" s="9">
        <f>IFERROR(VLOOKUP($B147,Menu[],MATCH(D$1,Menu[#Headers],0),FALSE),"CHECK")</f>
        <v>256.91000000000003</v>
      </c>
      <c r="E147" s="9">
        <f>IFERROR(VLOOKUP($B147,Menu[],MATCH(E$1,Menu[#Headers],0),FALSE),"CHECK")</f>
        <v>121.24</v>
      </c>
      <c r="F147" t="str">
        <f>IFERROR(VLOOKUP($B147,Menu[],MATCH(F$1,Menu[#Headers],0),FALSE),"CHECK")</f>
        <v>Hot Meal</v>
      </c>
      <c r="G147" s="7">
        <f>IFERROR(INT(VLOOKUP($A147,Orders[],MATCH("OrderDateTime",Orders[#Headers],0),FALSE)),"CHECK")</f>
        <v>45868</v>
      </c>
      <c r="H147" s="7" t="str">
        <f>IFERROR(VLOOKUP($A147,Orders[],MATCH(H$1,Orders[#Headers],0),FALSE),"CHECK")</f>
        <v>Plant 2 Canteen</v>
      </c>
      <c r="I147">
        <f>IFERROR(VLOOKUP(OrderLines[[#This Row],[OrderID]],Orders[],MATCH(OrderLines[[#Headers],[DiscountPct]],Orders[#Headers],0),FALSE),"CHECK")</f>
        <v>0.04</v>
      </c>
      <c r="J147" t="str">
        <f>IFERROR(VLOOKUP(OrderLines[[#This Row],[OrderID]],Orders[],MATCH(OrderLines[[#Headers],[Shift]],Orders[#Headers],0),FALSE),"CHECK")</f>
        <v>Dinner</v>
      </c>
      <c r="K147" s="11">
        <f>OrderLines[[#This Row],[Qty]] * OrderLines[[#This Row],[UnitPrice]] * (1-OrderLines[[#This Row],[DiscountPct]])</f>
        <v>246.6336</v>
      </c>
      <c r="L147">
        <f>OrderLines[[#This Row],[Qty]]*OrderLines[[#This Row],[UnitCost]]</f>
        <v>121.24</v>
      </c>
    </row>
    <row r="148" spans="1:12" x14ac:dyDescent="0.25">
      <c r="A148" t="s">
        <v>97</v>
      </c>
      <c r="B148" t="s">
        <v>408</v>
      </c>
      <c r="C148">
        <v>2</v>
      </c>
      <c r="D148" s="9">
        <f>IFERROR(VLOOKUP($B148,Menu[],MATCH(D$1,Menu[#Headers],0),FALSE),"CHECK")</f>
        <v>70.540000000000006</v>
      </c>
      <c r="E148" s="9">
        <f>IFERROR(VLOOKUP($B148,Menu[],MATCH(E$1,Menu[#Headers],0),FALSE),"CHECK")</f>
        <v>35.81</v>
      </c>
      <c r="F148" t="str">
        <f>IFERROR(VLOOKUP($B148,Menu[],MATCH(F$1,Menu[#Headers],0),FALSE),"CHECK")</f>
        <v>Snack</v>
      </c>
      <c r="G148" s="7">
        <f>IFERROR(INT(VLOOKUP($A148,Orders[],MATCH("OrderDateTime",Orders[#Headers],0),FALSE)),"CHECK")</f>
        <v>45868</v>
      </c>
      <c r="H148" s="7" t="str">
        <f>IFERROR(VLOOKUP($A148,Orders[],MATCH(H$1,Orders[#Headers],0),FALSE),"CHECK")</f>
        <v>Plant 2 Canteen</v>
      </c>
      <c r="I148">
        <f>IFERROR(VLOOKUP(OrderLines[[#This Row],[OrderID]],Orders[],MATCH(OrderLines[[#Headers],[DiscountPct]],Orders[#Headers],0),FALSE),"CHECK")</f>
        <v>0.04</v>
      </c>
      <c r="J148" t="str">
        <f>IFERROR(VLOOKUP(OrderLines[[#This Row],[OrderID]],Orders[],MATCH(OrderLines[[#Headers],[Shift]],Orders[#Headers],0),FALSE),"CHECK")</f>
        <v>Dinner</v>
      </c>
      <c r="K148" s="11">
        <f>OrderLines[[#This Row],[Qty]] * OrderLines[[#This Row],[UnitPrice]] * (1-OrderLines[[#This Row],[DiscountPct]])</f>
        <v>135.43680000000001</v>
      </c>
      <c r="L148">
        <f>OrderLines[[#This Row],[Qty]]*OrderLines[[#This Row],[UnitCost]]</f>
        <v>71.62</v>
      </c>
    </row>
    <row r="149" spans="1:12" x14ac:dyDescent="0.25">
      <c r="A149" t="s">
        <v>98</v>
      </c>
      <c r="B149" t="s">
        <v>401</v>
      </c>
      <c r="C149">
        <v>1</v>
      </c>
      <c r="D149" s="9">
        <f>IFERROR(VLOOKUP($B149,Menu[],MATCH(D$1,Menu[#Headers],0),FALSE),"CHECK")</f>
        <v>52.45</v>
      </c>
      <c r="E149" s="9">
        <f>IFERROR(VLOOKUP($B149,Menu[],MATCH(E$1,Menu[#Headers],0),FALSE),"CHECK")</f>
        <v>25.8</v>
      </c>
      <c r="F149" t="str">
        <f>IFERROR(VLOOKUP($B149,Menu[],MATCH(F$1,Menu[#Headers],0),FALSE),"CHECK")</f>
        <v>Snack</v>
      </c>
      <c r="G149" s="7">
        <f>IFERROR(INT(VLOOKUP($A149,Orders[],MATCH("OrderDateTime",Orders[#Headers],0),FALSE)),"CHECK")</f>
        <v>45884</v>
      </c>
      <c r="H149" s="7" t="str">
        <f>IFERROR(VLOOKUP($A149,Orders[],MATCH(H$1,Orders[#Headers],0),FALSE),"CHECK")</f>
        <v>Plant 2 Canteen</v>
      </c>
      <c r="I149">
        <f>IFERROR(VLOOKUP(OrderLines[[#This Row],[OrderID]],Orders[],MATCH(OrderLines[[#Headers],[DiscountPct]],Orders[#Headers],0),FALSE),"CHECK")</f>
        <v>0.05</v>
      </c>
      <c r="J149" t="str">
        <f>IFERROR(VLOOKUP(OrderLines[[#This Row],[OrderID]],Orders[],MATCH(OrderLines[[#Headers],[Shift]],Orders[#Headers],0),FALSE),"CHECK")</f>
        <v>Breakfast</v>
      </c>
      <c r="K149" s="11">
        <f>OrderLines[[#This Row],[Qty]] * OrderLines[[#This Row],[UnitPrice]] * (1-OrderLines[[#This Row],[DiscountPct]])</f>
        <v>49.827500000000001</v>
      </c>
      <c r="L149">
        <f>OrderLines[[#This Row],[Qty]]*OrderLines[[#This Row],[UnitCost]]</f>
        <v>25.8</v>
      </c>
    </row>
    <row r="150" spans="1:12" x14ac:dyDescent="0.25">
      <c r="A150" t="s">
        <v>98</v>
      </c>
      <c r="B150" t="s">
        <v>402</v>
      </c>
      <c r="C150">
        <v>2</v>
      </c>
      <c r="D150" s="9">
        <f>IFERROR(VLOOKUP($B150,Menu[],MATCH(D$1,Menu[#Headers],0),FALSE),"CHECK")</f>
        <v>30.34</v>
      </c>
      <c r="E150" s="9">
        <f>IFERROR(VLOOKUP($B150,Menu[],MATCH(E$1,Menu[#Headers],0),FALSE),"CHECK")</f>
        <v>14.18</v>
      </c>
      <c r="F150" t="str">
        <f>IFERROR(VLOOKUP($B150,Menu[],MATCH(F$1,Menu[#Headers],0),FALSE),"CHECK")</f>
        <v>Beverage</v>
      </c>
      <c r="G150" s="7">
        <f>IFERROR(INT(VLOOKUP($A150,Orders[],MATCH("OrderDateTime",Orders[#Headers],0),FALSE)),"CHECK")</f>
        <v>45884</v>
      </c>
      <c r="H150" s="7" t="str">
        <f>IFERROR(VLOOKUP($A150,Orders[],MATCH(H$1,Orders[#Headers],0),FALSE),"CHECK")</f>
        <v>Plant 2 Canteen</v>
      </c>
      <c r="I150">
        <f>IFERROR(VLOOKUP(OrderLines[[#This Row],[OrderID]],Orders[],MATCH(OrderLines[[#Headers],[DiscountPct]],Orders[#Headers],0),FALSE),"CHECK")</f>
        <v>0.05</v>
      </c>
      <c r="J150" t="str">
        <f>IFERROR(VLOOKUP(OrderLines[[#This Row],[OrderID]],Orders[],MATCH(OrderLines[[#Headers],[Shift]],Orders[#Headers],0),FALSE),"CHECK")</f>
        <v>Breakfast</v>
      </c>
      <c r="K150" s="11">
        <f>OrderLines[[#This Row],[Qty]] * OrderLines[[#This Row],[UnitPrice]] * (1-OrderLines[[#This Row],[DiscountPct]])</f>
        <v>57.645999999999994</v>
      </c>
      <c r="L150">
        <f>OrderLines[[#This Row],[Qty]]*OrderLines[[#This Row],[UnitCost]]</f>
        <v>28.36</v>
      </c>
    </row>
    <row r="151" spans="1:12" x14ac:dyDescent="0.25">
      <c r="A151" t="s">
        <v>98</v>
      </c>
      <c r="B151" t="s">
        <v>418</v>
      </c>
      <c r="C151">
        <v>3</v>
      </c>
      <c r="D151" s="9">
        <f>IFERROR(VLOOKUP($B151,Menu[],MATCH(D$1,Menu[#Headers],0),FALSE),"CHECK")</f>
        <v>39.950000000000003</v>
      </c>
      <c r="E151" s="9">
        <f>IFERROR(VLOOKUP($B151,Menu[],MATCH(E$1,Menu[#Headers],0),FALSE),"CHECK")</f>
        <v>15.51</v>
      </c>
      <c r="F151" t="str">
        <f>IFERROR(VLOOKUP($B151,Menu[],MATCH(F$1,Menu[#Headers],0),FALSE),"CHECK")</f>
        <v>Snack</v>
      </c>
      <c r="G151" s="7">
        <f>IFERROR(INT(VLOOKUP($A151,Orders[],MATCH("OrderDateTime",Orders[#Headers],0),FALSE)),"CHECK")</f>
        <v>45884</v>
      </c>
      <c r="H151" s="7" t="str">
        <f>IFERROR(VLOOKUP($A151,Orders[],MATCH(H$1,Orders[#Headers],0),FALSE),"CHECK")</f>
        <v>Plant 2 Canteen</v>
      </c>
      <c r="I151">
        <f>IFERROR(VLOOKUP(OrderLines[[#This Row],[OrderID]],Orders[],MATCH(OrderLines[[#Headers],[DiscountPct]],Orders[#Headers],0),FALSE),"CHECK")</f>
        <v>0.05</v>
      </c>
      <c r="J151" t="str">
        <f>IFERROR(VLOOKUP(OrderLines[[#This Row],[OrderID]],Orders[],MATCH(OrderLines[[#Headers],[Shift]],Orders[#Headers],0),FALSE),"CHECK")</f>
        <v>Breakfast</v>
      </c>
      <c r="K151" s="11">
        <f>OrderLines[[#This Row],[Qty]] * OrderLines[[#This Row],[UnitPrice]] * (1-OrderLines[[#This Row],[DiscountPct]])</f>
        <v>113.8575</v>
      </c>
      <c r="L151">
        <f>OrderLines[[#This Row],[Qty]]*OrderLines[[#This Row],[UnitCost]]</f>
        <v>46.53</v>
      </c>
    </row>
    <row r="152" spans="1:12" x14ac:dyDescent="0.25">
      <c r="A152" t="s">
        <v>98</v>
      </c>
      <c r="B152" t="s">
        <v>404</v>
      </c>
      <c r="C152">
        <v>1</v>
      </c>
      <c r="D152" s="9">
        <f>IFERROR(VLOOKUP($B152,Menu[],MATCH(D$1,Menu[#Headers],0),FALSE),"CHECK")</f>
        <v>32.979999999999997</v>
      </c>
      <c r="E152" s="9">
        <f>IFERROR(VLOOKUP($B152,Menu[],MATCH(E$1,Menu[#Headers],0),FALSE),"CHECK")</f>
        <v>11.84</v>
      </c>
      <c r="F152" t="str">
        <f>IFERROR(VLOOKUP($B152,Menu[],MATCH(F$1,Menu[#Headers],0),FALSE),"CHECK")</f>
        <v>Beverage</v>
      </c>
      <c r="G152" s="7">
        <f>IFERROR(INT(VLOOKUP($A152,Orders[],MATCH("OrderDateTime",Orders[#Headers],0),FALSE)),"CHECK")</f>
        <v>45884</v>
      </c>
      <c r="H152" s="7" t="str">
        <f>IFERROR(VLOOKUP($A152,Orders[],MATCH(H$1,Orders[#Headers],0),FALSE),"CHECK")</f>
        <v>Plant 2 Canteen</v>
      </c>
      <c r="I152">
        <f>IFERROR(VLOOKUP(OrderLines[[#This Row],[OrderID]],Orders[],MATCH(OrderLines[[#Headers],[DiscountPct]],Orders[#Headers],0),FALSE),"CHECK")</f>
        <v>0.05</v>
      </c>
      <c r="J152" t="str">
        <f>IFERROR(VLOOKUP(OrderLines[[#This Row],[OrderID]],Orders[],MATCH(OrderLines[[#Headers],[Shift]],Orders[#Headers],0),FALSE),"CHECK")</f>
        <v>Breakfast</v>
      </c>
      <c r="K152" s="11">
        <f>OrderLines[[#This Row],[Qty]] * OrderLines[[#This Row],[UnitPrice]] * (1-OrderLines[[#This Row],[DiscountPct]])</f>
        <v>31.330999999999996</v>
      </c>
      <c r="L152">
        <f>OrderLines[[#This Row],[Qty]]*OrderLines[[#This Row],[UnitCost]]</f>
        <v>11.84</v>
      </c>
    </row>
    <row r="153" spans="1:12" x14ac:dyDescent="0.25">
      <c r="A153" t="s">
        <v>99</v>
      </c>
      <c r="B153" t="s">
        <v>414</v>
      </c>
      <c r="C153">
        <v>2</v>
      </c>
      <c r="D153" s="9">
        <f>IFERROR(VLOOKUP($B153,Menu[],MATCH(D$1,Menu[#Headers],0),FALSE),"CHECK")</f>
        <v>116.8</v>
      </c>
      <c r="E153" s="9">
        <f>IFERROR(VLOOKUP($B153,Menu[],MATCH(E$1,Menu[#Headers],0),FALSE),"CHECK")</f>
        <v>48.97</v>
      </c>
      <c r="F153" t="str">
        <f>IFERROR(VLOOKUP($B153,Menu[],MATCH(F$1,Menu[#Headers],0),FALSE),"CHECK")</f>
        <v>Dessert</v>
      </c>
      <c r="G153" s="7">
        <f>IFERROR(INT(VLOOKUP($A153,Orders[],MATCH("OrderDateTime",Orders[#Headers],0),FALSE)),"CHECK")</f>
        <v>45888</v>
      </c>
      <c r="H153" s="7" t="str">
        <f>IFERROR(VLOOKUP($A153,Orders[],MATCH(H$1,Orders[#Headers],0),FALSE),"CHECK")</f>
        <v>Plant 2 Canteen</v>
      </c>
      <c r="I153">
        <f>IFERROR(VLOOKUP(OrderLines[[#This Row],[OrderID]],Orders[],MATCH(OrderLines[[#Headers],[DiscountPct]],Orders[#Headers],0),FALSE),"CHECK")</f>
        <v>0.03</v>
      </c>
      <c r="J153" t="str">
        <f>IFERROR(VLOOKUP(OrderLines[[#This Row],[OrderID]],Orders[],MATCH(OrderLines[[#Headers],[Shift]],Orders[#Headers],0),FALSE),"CHECK")</f>
        <v>Dinner</v>
      </c>
      <c r="K153" s="11">
        <f>OrderLines[[#This Row],[Qty]] * OrderLines[[#This Row],[UnitPrice]] * (1-OrderLines[[#This Row],[DiscountPct]])</f>
        <v>226.59199999999998</v>
      </c>
      <c r="L153">
        <f>OrderLines[[#This Row],[Qty]]*OrderLines[[#This Row],[UnitCost]]</f>
        <v>97.94</v>
      </c>
    </row>
    <row r="154" spans="1:12" x14ac:dyDescent="0.25">
      <c r="A154" t="s">
        <v>99</v>
      </c>
      <c r="B154" t="s">
        <v>402</v>
      </c>
      <c r="C154">
        <v>2</v>
      </c>
      <c r="D154" s="9">
        <f>IFERROR(VLOOKUP($B154,Menu[],MATCH(D$1,Menu[#Headers],0),FALSE),"CHECK")</f>
        <v>30.34</v>
      </c>
      <c r="E154" s="9">
        <f>IFERROR(VLOOKUP($B154,Menu[],MATCH(E$1,Menu[#Headers],0),FALSE),"CHECK")</f>
        <v>14.18</v>
      </c>
      <c r="F154" t="str">
        <f>IFERROR(VLOOKUP($B154,Menu[],MATCH(F$1,Menu[#Headers],0),FALSE),"CHECK")</f>
        <v>Beverage</v>
      </c>
      <c r="G154" s="7">
        <f>IFERROR(INT(VLOOKUP($A154,Orders[],MATCH("OrderDateTime",Orders[#Headers],0),FALSE)),"CHECK")</f>
        <v>45888</v>
      </c>
      <c r="H154" s="7" t="str">
        <f>IFERROR(VLOOKUP($A154,Orders[],MATCH(H$1,Orders[#Headers],0),FALSE),"CHECK")</f>
        <v>Plant 2 Canteen</v>
      </c>
      <c r="I154">
        <f>IFERROR(VLOOKUP(OrderLines[[#This Row],[OrderID]],Orders[],MATCH(OrderLines[[#Headers],[DiscountPct]],Orders[#Headers],0),FALSE),"CHECK")</f>
        <v>0.03</v>
      </c>
      <c r="J154" t="str">
        <f>IFERROR(VLOOKUP(OrderLines[[#This Row],[OrderID]],Orders[],MATCH(OrderLines[[#Headers],[Shift]],Orders[#Headers],0),FALSE),"CHECK")</f>
        <v>Dinner</v>
      </c>
      <c r="K154" s="11">
        <f>OrderLines[[#This Row],[Qty]] * OrderLines[[#This Row],[UnitPrice]] * (1-OrderLines[[#This Row],[DiscountPct]])</f>
        <v>58.8596</v>
      </c>
      <c r="L154">
        <f>OrderLines[[#This Row],[Qty]]*OrderLines[[#This Row],[UnitCost]]</f>
        <v>28.36</v>
      </c>
    </row>
    <row r="155" spans="1:12" x14ac:dyDescent="0.25">
      <c r="A155" t="s">
        <v>100</v>
      </c>
      <c r="B155" t="s">
        <v>403</v>
      </c>
      <c r="C155">
        <v>2</v>
      </c>
      <c r="D155" s="9">
        <f>IFERROR(VLOOKUP($B155,Menu[],MATCH(D$1,Menu[#Headers],0),FALSE),"CHECK")</f>
        <v>76.55</v>
      </c>
      <c r="E155" s="9">
        <f>IFERROR(VLOOKUP($B155,Menu[],MATCH(E$1,Menu[#Headers],0),FALSE),"CHECK")</f>
        <v>38.229999999999997</v>
      </c>
      <c r="F155" t="str">
        <f>IFERROR(VLOOKUP($B155,Menu[],MATCH(F$1,Menu[#Headers],0),FALSE),"CHECK")</f>
        <v>Dessert</v>
      </c>
      <c r="G155" s="7">
        <f>IFERROR(INT(VLOOKUP($A155,Orders[],MATCH("OrderDateTime",Orders[#Headers],0),FALSE)),"CHECK")</f>
        <v>45866</v>
      </c>
      <c r="H155" s="7" t="str">
        <f>IFERROR(VLOOKUP($A155,Orders[],MATCH(H$1,Orders[#Headers],0),FALSE),"CHECK")</f>
        <v>Head Office Café</v>
      </c>
      <c r="I155">
        <f>IFERROR(VLOOKUP(OrderLines[[#This Row],[OrderID]],Orders[],MATCH(OrderLines[[#Headers],[DiscountPct]],Orders[#Headers],0),FALSE),"CHECK")</f>
        <v>0.05</v>
      </c>
      <c r="J155" t="str">
        <f>IFERROR(VLOOKUP(OrderLines[[#This Row],[OrderID]],Orders[],MATCH(OrderLines[[#Headers],[Shift]],Orders[#Headers],0),FALSE),"CHECK")</f>
        <v>Dinner</v>
      </c>
      <c r="K155" s="11">
        <f>OrderLines[[#This Row],[Qty]] * OrderLines[[#This Row],[UnitPrice]] * (1-OrderLines[[#This Row],[DiscountPct]])</f>
        <v>145.44499999999999</v>
      </c>
      <c r="L155">
        <f>OrderLines[[#This Row],[Qty]]*OrderLines[[#This Row],[UnitCost]]</f>
        <v>76.459999999999994</v>
      </c>
    </row>
    <row r="156" spans="1:12" x14ac:dyDescent="0.25">
      <c r="A156" t="s">
        <v>101</v>
      </c>
      <c r="B156" t="s">
        <v>410</v>
      </c>
      <c r="C156">
        <v>1</v>
      </c>
      <c r="D156" s="9">
        <f>IFERROR(VLOOKUP($B156,Menu[],MATCH(D$1,Menu[#Headers],0),FALSE),"CHECK")</f>
        <v>20.11</v>
      </c>
      <c r="E156" s="9">
        <f>IFERROR(VLOOKUP($B156,Menu[],MATCH(E$1,Menu[#Headers],0),FALSE),"CHECK")</f>
        <v>8</v>
      </c>
      <c r="F156" t="str">
        <f>IFERROR(VLOOKUP($B156,Menu[],MATCH(F$1,Menu[#Headers],0),FALSE),"CHECK")</f>
        <v>Beverage</v>
      </c>
      <c r="G156" s="7">
        <f>IFERROR(INT(VLOOKUP($A156,Orders[],MATCH("OrderDateTime",Orders[#Headers],0),FALSE)),"CHECK")</f>
        <v>45848</v>
      </c>
      <c r="H156" s="7" t="str">
        <f>IFERROR(VLOOKUP($A156,Orders[],MATCH(H$1,Orders[#Headers],0),FALSE),"CHECK")</f>
        <v>Plant 1 Canteen</v>
      </c>
      <c r="I156">
        <f>IFERROR(VLOOKUP(OrderLines[[#This Row],[OrderID]],Orders[],MATCH(OrderLines[[#Headers],[DiscountPct]],Orders[#Headers],0),FALSE),"CHECK")</f>
        <v>0.08</v>
      </c>
      <c r="J156" t="str">
        <f>IFERROR(VLOOKUP(OrderLines[[#This Row],[OrderID]],Orders[],MATCH(OrderLines[[#Headers],[Shift]],Orders[#Headers],0),FALSE),"CHECK")</f>
        <v>Breakfast</v>
      </c>
      <c r="K156" s="11">
        <f>OrderLines[[#This Row],[Qty]] * OrderLines[[#This Row],[UnitPrice]] * (1-OrderLines[[#This Row],[DiscountPct]])</f>
        <v>18.501200000000001</v>
      </c>
      <c r="L156">
        <f>OrderLines[[#This Row],[Qty]]*OrderLines[[#This Row],[UnitCost]]</f>
        <v>8</v>
      </c>
    </row>
    <row r="157" spans="1:12" x14ac:dyDescent="0.25">
      <c r="A157" t="s">
        <v>102</v>
      </c>
      <c r="B157" t="s">
        <v>415</v>
      </c>
      <c r="C157">
        <v>2</v>
      </c>
      <c r="D157" s="9">
        <f>IFERROR(VLOOKUP($B157,Menu[],MATCH(D$1,Menu[#Headers],0),FALSE),"CHECK")</f>
        <v>256.91000000000003</v>
      </c>
      <c r="E157" s="9">
        <f>IFERROR(VLOOKUP($B157,Menu[],MATCH(E$1,Menu[#Headers],0),FALSE),"CHECK")</f>
        <v>121.24</v>
      </c>
      <c r="F157" t="str">
        <f>IFERROR(VLOOKUP($B157,Menu[],MATCH(F$1,Menu[#Headers],0),FALSE),"CHECK")</f>
        <v>Hot Meal</v>
      </c>
      <c r="G157" s="7">
        <f>IFERROR(INT(VLOOKUP($A157,Orders[],MATCH("OrderDateTime",Orders[#Headers],0),FALSE)),"CHECK")</f>
        <v>45858</v>
      </c>
      <c r="H157" s="7" t="str">
        <f>IFERROR(VLOOKUP($A157,Orders[],MATCH(H$1,Orders[#Headers],0),FALSE),"CHECK")</f>
        <v>Plant 1 Canteen</v>
      </c>
      <c r="I157">
        <f>IFERROR(VLOOKUP(OrderLines[[#This Row],[OrderID]],Orders[],MATCH(OrderLines[[#Headers],[DiscountPct]],Orders[#Headers],0),FALSE),"CHECK")</f>
        <v>0.14000000000000001</v>
      </c>
      <c r="J157" t="str">
        <f>IFERROR(VLOOKUP(OrderLines[[#This Row],[OrderID]],Orders[],MATCH(OrderLines[[#Headers],[Shift]],Orders[#Headers],0),FALSE),"CHECK")</f>
        <v>Lunch</v>
      </c>
      <c r="K157" s="11">
        <f>OrderLines[[#This Row],[Qty]] * OrderLines[[#This Row],[UnitPrice]] * (1-OrderLines[[#This Row],[DiscountPct]])</f>
        <v>441.88520000000005</v>
      </c>
      <c r="L157">
        <f>OrderLines[[#This Row],[Qty]]*OrderLines[[#This Row],[UnitCost]]</f>
        <v>242.48</v>
      </c>
    </row>
    <row r="158" spans="1:12" x14ac:dyDescent="0.25">
      <c r="A158" t="s">
        <v>102</v>
      </c>
      <c r="B158" t="s">
        <v>408</v>
      </c>
      <c r="C158">
        <v>2</v>
      </c>
      <c r="D158" s="9">
        <f>IFERROR(VLOOKUP($B158,Menu[],MATCH(D$1,Menu[#Headers],0),FALSE),"CHECK")</f>
        <v>70.540000000000006</v>
      </c>
      <c r="E158" s="9">
        <f>IFERROR(VLOOKUP($B158,Menu[],MATCH(E$1,Menu[#Headers],0),FALSE),"CHECK")</f>
        <v>35.81</v>
      </c>
      <c r="F158" t="str">
        <f>IFERROR(VLOOKUP($B158,Menu[],MATCH(F$1,Menu[#Headers],0),FALSE),"CHECK")</f>
        <v>Snack</v>
      </c>
      <c r="G158" s="7">
        <f>IFERROR(INT(VLOOKUP($A158,Orders[],MATCH("OrderDateTime",Orders[#Headers],0),FALSE)),"CHECK")</f>
        <v>45858</v>
      </c>
      <c r="H158" s="7" t="str">
        <f>IFERROR(VLOOKUP($A158,Orders[],MATCH(H$1,Orders[#Headers],0),FALSE),"CHECK")</f>
        <v>Plant 1 Canteen</v>
      </c>
      <c r="I158">
        <f>IFERROR(VLOOKUP(OrderLines[[#This Row],[OrderID]],Orders[],MATCH(OrderLines[[#Headers],[DiscountPct]],Orders[#Headers],0),FALSE),"CHECK")</f>
        <v>0.14000000000000001</v>
      </c>
      <c r="J158" t="str">
        <f>IFERROR(VLOOKUP(OrderLines[[#This Row],[OrderID]],Orders[],MATCH(OrderLines[[#Headers],[Shift]],Orders[#Headers],0),FALSE),"CHECK")</f>
        <v>Lunch</v>
      </c>
      <c r="K158" s="11">
        <f>OrderLines[[#This Row],[Qty]] * OrderLines[[#This Row],[UnitPrice]] * (1-OrderLines[[#This Row],[DiscountPct]])</f>
        <v>121.32880000000002</v>
      </c>
      <c r="L158">
        <f>OrderLines[[#This Row],[Qty]]*OrderLines[[#This Row],[UnitCost]]</f>
        <v>71.62</v>
      </c>
    </row>
    <row r="159" spans="1:12" x14ac:dyDescent="0.25">
      <c r="A159" t="s">
        <v>102</v>
      </c>
      <c r="B159" t="s">
        <v>409</v>
      </c>
      <c r="C159">
        <v>1</v>
      </c>
      <c r="D159" s="9">
        <f>IFERROR(VLOOKUP($B159,Menu[],MATCH(D$1,Menu[#Headers],0),FALSE),"CHECK")</f>
        <v>28.43</v>
      </c>
      <c r="E159" s="9">
        <f>IFERROR(VLOOKUP($B159,Menu[],MATCH(E$1,Menu[#Headers],0),FALSE),"CHECK")</f>
        <v>13.89</v>
      </c>
      <c r="F159" t="str">
        <f>IFERROR(VLOOKUP($B159,Menu[],MATCH(F$1,Menu[#Headers],0),FALSE),"CHECK")</f>
        <v>Beverage</v>
      </c>
      <c r="G159" s="7">
        <f>IFERROR(INT(VLOOKUP($A159,Orders[],MATCH("OrderDateTime",Orders[#Headers],0),FALSE)),"CHECK")</f>
        <v>45858</v>
      </c>
      <c r="H159" s="7" t="str">
        <f>IFERROR(VLOOKUP($A159,Orders[],MATCH(H$1,Orders[#Headers],0),FALSE),"CHECK")</f>
        <v>Plant 1 Canteen</v>
      </c>
      <c r="I159">
        <f>IFERROR(VLOOKUP(OrderLines[[#This Row],[OrderID]],Orders[],MATCH(OrderLines[[#Headers],[DiscountPct]],Orders[#Headers],0),FALSE),"CHECK")</f>
        <v>0.14000000000000001</v>
      </c>
      <c r="J159" t="str">
        <f>IFERROR(VLOOKUP(OrderLines[[#This Row],[OrderID]],Orders[],MATCH(OrderLines[[#Headers],[Shift]],Orders[#Headers],0),FALSE),"CHECK")</f>
        <v>Lunch</v>
      </c>
      <c r="K159" s="11">
        <f>OrderLines[[#This Row],[Qty]] * OrderLines[[#This Row],[UnitPrice]] * (1-OrderLines[[#This Row],[DiscountPct]])</f>
        <v>24.4498</v>
      </c>
      <c r="L159">
        <f>OrderLines[[#This Row],[Qty]]*OrderLines[[#This Row],[UnitCost]]</f>
        <v>13.89</v>
      </c>
    </row>
    <row r="160" spans="1:12" x14ac:dyDescent="0.25">
      <c r="A160" t="s">
        <v>103</v>
      </c>
      <c r="B160" t="s">
        <v>406</v>
      </c>
      <c r="C160">
        <v>1</v>
      </c>
      <c r="D160" s="9">
        <f>IFERROR(VLOOKUP($B160,Menu[],MATCH(D$1,Menu[#Headers],0),FALSE),"CHECK")</f>
        <v>38.06</v>
      </c>
      <c r="E160" s="9">
        <f>IFERROR(VLOOKUP($B160,Menu[],MATCH(E$1,Menu[#Headers],0),FALSE),"CHECK")</f>
        <v>19.55</v>
      </c>
      <c r="F160" t="str">
        <f>IFERROR(VLOOKUP($B160,Menu[],MATCH(F$1,Menu[#Headers],0),FALSE),"CHECK")</f>
        <v>Snack</v>
      </c>
      <c r="G160" s="7">
        <f>IFERROR(INT(VLOOKUP($A160,Orders[],MATCH("OrderDateTime",Orders[#Headers],0),FALSE)),"CHECK")</f>
        <v>45885</v>
      </c>
      <c r="H160" s="7" t="str">
        <f>IFERROR(VLOOKUP($A160,Orders[],MATCH(H$1,Orders[#Headers],0),FALSE),"CHECK")</f>
        <v>Head Office Café</v>
      </c>
      <c r="I160">
        <f>IFERROR(VLOOKUP(OrderLines[[#This Row],[OrderID]],Orders[],MATCH(OrderLines[[#Headers],[DiscountPct]],Orders[#Headers],0),FALSE),"CHECK")</f>
        <v>7.0000000000000007E-2</v>
      </c>
      <c r="J160" t="str">
        <f>IFERROR(VLOOKUP(OrderLines[[#This Row],[OrderID]],Orders[],MATCH(OrderLines[[#Headers],[Shift]],Orders[#Headers],0),FALSE),"CHECK")</f>
        <v>Breakfast</v>
      </c>
      <c r="K160" s="11">
        <f>OrderLines[[#This Row],[Qty]] * OrderLines[[#This Row],[UnitPrice]] * (1-OrderLines[[#This Row],[DiscountPct]])</f>
        <v>35.395800000000001</v>
      </c>
      <c r="L160">
        <f>OrderLines[[#This Row],[Qty]]*OrderLines[[#This Row],[UnitCost]]</f>
        <v>19.55</v>
      </c>
    </row>
    <row r="161" spans="1:12" x14ac:dyDescent="0.25">
      <c r="A161" t="s">
        <v>103</v>
      </c>
      <c r="B161" t="s">
        <v>417</v>
      </c>
      <c r="C161">
        <v>3</v>
      </c>
      <c r="D161" s="9">
        <f>IFERROR(VLOOKUP($B161,Menu[],MATCH(D$1,Menu[#Headers],0),FALSE),"CHECK")</f>
        <v>146.4</v>
      </c>
      <c r="E161" s="9">
        <f>IFERROR(VLOOKUP($B161,Menu[],MATCH(E$1,Menu[#Headers],0),FALSE),"CHECK")</f>
        <v>80.92</v>
      </c>
      <c r="F161" t="str">
        <f>IFERROR(VLOOKUP($B161,Menu[],MATCH(F$1,Menu[#Headers],0),FALSE),"CHECK")</f>
        <v>Hot Meal</v>
      </c>
      <c r="G161" s="7">
        <f>IFERROR(INT(VLOOKUP($A161,Orders[],MATCH("OrderDateTime",Orders[#Headers],0),FALSE)),"CHECK")</f>
        <v>45885</v>
      </c>
      <c r="H161" s="7" t="str">
        <f>IFERROR(VLOOKUP($A161,Orders[],MATCH(H$1,Orders[#Headers],0),FALSE),"CHECK")</f>
        <v>Head Office Café</v>
      </c>
      <c r="I161">
        <f>IFERROR(VLOOKUP(OrderLines[[#This Row],[OrderID]],Orders[],MATCH(OrderLines[[#Headers],[DiscountPct]],Orders[#Headers],0),FALSE),"CHECK")</f>
        <v>7.0000000000000007E-2</v>
      </c>
      <c r="J161" t="str">
        <f>IFERROR(VLOOKUP(OrderLines[[#This Row],[OrderID]],Orders[],MATCH(OrderLines[[#Headers],[Shift]],Orders[#Headers],0),FALSE),"CHECK")</f>
        <v>Breakfast</v>
      </c>
      <c r="K161" s="11">
        <f>OrderLines[[#This Row],[Qty]] * OrderLines[[#This Row],[UnitPrice]] * (1-OrderLines[[#This Row],[DiscountPct]])</f>
        <v>408.45600000000002</v>
      </c>
      <c r="L161">
        <f>OrderLines[[#This Row],[Qty]]*OrderLines[[#This Row],[UnitCost]]</f>
        <v>242.76</v>
      </c>
    </row>
    <row r="162" spans="1:12" x14ac:dyDescent="0.25">
      <c r="A162" t="s">
        <v>103</v>
      </c>
      <c r="B162" t="s">
        <v>403</v>
      </c>
      <c r="C162">
        <v>2</v>
      </c>
      <c r="D162" s="9">
        <f>IFERROR(VLOOKUP($B162,Menu[],MATCH(D$1,Menu[#Headers],0),FALSE),"CHECK")</f>
        <v>76.55</v>
      </c>
      <c r="E162" s="9">
        <f>IFERROR(VLOOKUP($B162,Menu[],MATCH(E$1,Menu[#Headers],0),FALSE),"CHECK")</f>
        <v>38.229999999999997</v>
      </c>
      <c r="F162" t="str">
        <f>IFERROR(VLOOKUP($B162,Menu[],MATCH(F$1,Menu[#Headers],0),FALSE),"CHECK")</f>
        <v>Dessert</v>
      </c>
      <c r="G162" s="7">
        <f>IFERROR(INT(VLOOKUP($A162,Orders[],MATCH("OrderDateTime",Orders[#Headers],0),FALSE)),"CHECK")</f>
        <v>45885</v>
      </c>
      <c r="H162" s="7" t="str">
        <f>IFERROR(VLOOKUP($A162,Orders[],MATCH(H$1,Orders[#Headers],0),FALSE),"CHECK")</f>
        <v>Head Office Café</v>
      </c>
      <c r="I162">
        <f>IFERROR(VLOOKUP(OrderLines[[#This Row],[OrderID]],Orders[],MATCH(OrderLines[[#Headers],[DiscountPct]],Orders[#Headers],0),FALSE),"CHECK")</f>
        <v>7.0000000000000007E-2</v>
      </c>
      <c r="J162" t="str">
        <f>IFERROR(VLOOKUP(OrderLines[[#This Row],[OrderID]],Orders[],MATCH(OrderLines[[#Headers],[Shift]],Orders[#Headers],0),FALSE),"CHECK")</f>
        <v>Breakfast</v>
      </c>
      <c r="K162" s="11">
        <f>OrderLines[[#This Row],[Qty]] * OrderLines[[#This Row],[UnitPrice]] * (1-OrderLines[[#This Row],[DiscountPct]])</f>
        <v>142.38299999999998</v>
      </c>
      <c r="L162">
        <f>OrderLines[[#This Row],[Qty]]*OrderLines[[#This Row],[UnitCost]]</f>
        <v>76.459999999999994</v>
      </c>
    </row>
    <row r="163" spans="1:12" x14ac:dyDescent="0.25">
      <c r="A163" t="s">
        <v>103</v>
      </c>
      <c r="B163" t="s">
        <v>416</v>
      </c>
      <c r="C163">
        <v>2</v>
      </c>
      <c r="D163" s="9">
        <f>IFERROR(VLOOKUP($B163,Menu[],MATCH(D$1,Menu[#Headers],0),FALSE),"CHECK")</f>
        <v>227.61</v>
      </c>
      <c r="E163" s="9">
        <f>IFERROR(VLOOKUP($B163,Menu[],MATCH(E$1,Menu[#Headers],0),FALSE),"CHECK")</f>
        <v>96.22</v>
      </c>
      <c r="F163" t="str">
        <f>IFERROR(VLOOKUP($B163,Menu[],MATCH(F$1,Menu[#Headers],0),FALSE),"CHECK")</f>
        <v>Hot Meal</v>
      </c>
      <c r="G163" s="7">
        <f>IFERROR(INT(VLOOKUP($A163,Orders[],MATCH("OrderDateTime",Orders[#Headers],0),FALSE)),"CHECK")</f>
        <v>45885</v>
      </c>
      <c r="H163" s="7" t="str">
        <f>IFERROR(VLOOKUP($A163,Orders[],MATCH(H$1,Orders[#Headers],0),FALSE),"CHECK")</f>
        <v>Head Office Café</v>
      </c>
      <c r="I163">
        <f>IFERROR(VLOOKUP(OrderLines[[#This Row],[OrderID]],Orders[],MATCH(OrderLines[[#Headers],[DiscountPct]],Orders[#Headers],0),FALSE),"CHECK")</f>
        <v>7.0000000000000007E-2</v>
      </c>
      <c r="J163" t="str">
        <f>IFERROR(VLOOKUP(OrderLines[[#This Row],[OrderID]],Orders[],MATCH(OrderLines[[#Headers],[Shift]],Orders[#Headers],0),FALSE),"CHECK")</f>
        <v>Breakfast</v>
      </c>
      <c r="K163" s="11">
        <f>OrderLines[[#This Row],[Qty]] * OrderLines[[#This Row],[UnitPrice]] * (1-OrderLines[[#This Row],[DiscountPct]])</f>
        <v>423.3546</v>
      </c>
      <c r="L163">
        <f>OrderLines[[#This Row],[Qty]]*OrderLines[[#This Row],[UnitCost]]</f>
        <v>192.44</v>
      </c>
    </row>
    <row r="164" spans="1:12" x14ac:dyDescent="0.25">
      <c r="A164" t="s">
        <v>104</v>
      </c>
      <c r="B164" t="s">
        <v>408</v>
      </c>
      <c r="C164">
        <v>1</v>
      </c>
      <c r="D164" s="9">
        <f>IFERROR(VLOOKUP($B164,Menu[],MATCH(D$1,Menu[#Headers],0),FALSE),"CHECK")</f>
        <v>70.540000000000006</v>
      </c>
      <c r="E164" s="9">
        <f>IFERROR(VLOOKUP($B164,Menu[],MATCH(E$1,Menu[#Headers],0),FALSE),"CHECK")</f>
        <v>35.81</v>
      </c>
      <c r="F164" t="str">
        <f>IFERROR(VLOOKUP($B164,Menu[],MATCH(F$1,Menu[#Headers],0),FALSE),"CHECK")</f>
        <v>Snack</v>
      </c>
      <c r="G164" s="7">
        <f>IFERROR(INT(VLOOKUP($A164,Orders[],MATCH("OrderDateTime",Orders[#Headers],0),FALSE)),"CHECK")</f>
        <v>45895</v>
      </c>
      <c r="H164" s="7" t="str">
        <f>IFERROR(VLOOKUP($A164,Orders[],MATCH(H$1,Orders[#Headers],0),FALSE),"CHECK")</f>
        <v>Plant 1 Canteen</v>
      </c>
      <c r="I164">
        <f>IFERROR(VLOOKUP(OrderLines[[#This Row],[OrderID]],Orders[],MATCH(OrderLines[[#Headers],[DiscountPct]],Orders[#Headers],0),FALSE),"CHECK")</f>
        <v>7.0000000000000007E-2</v>
      </c>
      <c r="J164" t="str">
        <f>IFERROR(VLOOKUP(OrderLines[[#This Row],[OrderID]],Orders[],MATCH(OrderLines[[#Headers],[Shift]],Orders[#Headers],0),FALSE),"CHECK")</f>
        <v>Breakfast</v>
      </c>
      <c r="K164" s="11">
        <f>OrderLines[[#This Row],[Qty]] * OrderLines[[#This Row],[UnitPrice]] * (1-OrderLines[[#This Row],[DiscountPct]])</f>
        <v>65.602199999999996</v>
      </c>
      <c r="L164">
        <f>OrderLines[[#This Row],[Qty]]*OrderLines[[#This Row],[UnitCost]]</f>
        <v>35.81</v>
      </c>
    </row>
    <row r="165" spans="1:12" x14ac:dyDescent="0.25">
      <c r="A165" t="s">
        <v>104</v>
      </c>
      <c r="B165" t="s">
        <v>409</v>
      </c>
      <c r="C165">
        <v>1</v>
      </c>
      <c r="D165" s="9">
        <f>IFERROR(VLOOKUP($B165,Menu[],MATCH(D$1,Menu[#Headers],0),FALSE),"CHECK")</f>
        <v>28.43</v>
      </c>
      <c r="E165" s="9">
        <f>IFERROR(VLOOKUP($B165,Menu[],MATCH(E$1,Menu[#Headers],0),FALSE),"CHECK")</f>
        <v>13.89</v>
      </c>
      <c r="F165" t="str">
        <f>IFERROR(VLOOKUP($B165,Menu[],MATCH(F$1,Menu[#Headers],0),FALSE),"CHECK")</f>
        <v>Beverage</v>
      </c>
      <c r="G165" s="7">
        <f>IFERROR(INT(VLOOKUP($A165,Orders[],MATCH("OrderDateTime",Orders[#Headers],0),FALSE)),"CHECK")</f>
        <v>45895</v>
      </c>
      <c r="H165" s="7" t="str">
        <f>IFERROR(VLOOKUP($A165,Orders[],MATCH(H$1,Orders[#Headers],0),FALSE),"CHECK")</f>
        <v>Plant 1 Canteen</v>
      </c>
      <c r="I165">
        <f>IFERROR(VLOOKUP(OrderLines[[#This Row],[OrderID]],Orders[],MATCH(OrderLines[[#Headers],[DiscountPct]],Orders[#Headers],0),FALSE),"CHECK")</f>
        <v>7.0000000000000007E-2</v>
      </c>
      <c r="J165" t="str">
        <f>IFERROR(VLOOKUP(OrderLines[[#This Row],[OrderID]],Orders[],MATCH(OrderLines[[#Headers],[Shift]],Orders[#Headers],0),FALSE),"CHECK")</f>
        <v>Breakfast</v>
      </c>
      <c r="K165" s="11">
        <f>OrderLines[[#This Row],[Qty]] * OrderLines[[#This Row],[UnitPrice]] * (1-OrderLines[[#This Row],[DiscountPct]])</f>
        <v>26.439899999999998</v>
      </c>
      <c r="L165">
        <f>OrderLines[[#This Row],[Qty]]*OrderLines[[#This Row],[UnitCost]]</f>
        <v>13.89</v>
      </c>
    </row>
    <row r="166" spans="1:12" x14ac:dyDescent="0.25">
      <c r="A166" t="s">
        <v>104</v>
      </c>
      <c r="B166" t="s">
        <v>402</v>
      </c>
      <c r="C166">
        <v>1</v>
      </c>
      <c r="D166" s="9">
        <f>IFERROR(VLOOKUP($B166,Menu[],MATCH(D$1,Menu[#Headers],0),FALSE),"CHECK")</f>
        <v>30.34</v>
      </c>
      <c r="E166" s="9">
        <f>IFERROR(VLOOKUP($B166,Menu[],MATCH(E$1,Menu[#Headers],0),FALSE),"CHECK")</f>
        <v>14.18</v>
      </c>
      <c r="F166" t="str">
        <f>IFERROR(VLOOKUP($B166,Menu[],MATCH(F$1,Menu[#Headers],0),FALSE),"CHECK")</f>
        <v>Beverage</v>
      </c>
      <c r="G166" s="7">
        <f>IFERROR(INT(VLOOKUP($A166,Orders[],MATCH("OrderDateTime",Orders[#Headers],0),FALSE)),"CHECK")</f>
        <v>45895</v>
      </c>
      <c r="H166" s="7" t="str">
        <f>IFERROR(VLOOKUP($A166,Orders[],MATCH(H$1,Orders[#Headers],0),FALSE),"CHECK")</f>
        <v>Plant 1 Canteen</v>
      </c>
      <c r="I166">
        <f>IFERROR(VLOOKUP(OrderLines[[#This Row],[OrderID]],Orders[],MATCH(OrderLines[[#Headers],[DiscountPct]],Orders[#Headers],0),FALSE),"CHECK")</f>
        <v>7.0000000000000007E-2</v>
      </c>
      <c r="J166" t="str">
        <f>IFERROR(VLOOKUP(OrderLines[[#This Row],[OrderID]],Orders[],MATCH(OrderLines[[#Headers],[Shift]],Orders[#Headers],0),FALSE),"CHECK")</f>
        <v>Breakfast</v>
      </c>
      <c r="K166" s="11">
        <f>OrderLines[[#This Row],[Qty]] * OrderLines[[#This Row],[UnitPrice]] * (1-OrderLines[[#This Row],[DiscountPct]])</f>
        <v>28.216199999999997</v>
      </c>
      <c r="L166">
        <f>OrderLines[[#This Row],[Qty]]*OrderLines[[#This Row],[UnitCost]]</f>
        <v>14.18</v>
      </c>
    </row>
    <row r="167" spans="1:12" x14ac:dyDescent="0.25">
      <c r="A167" t="s">
        <v>104</v>
      </c>
      <c r="B167" t="s">
        <v>414</v>
      </c>
      <c r="C167">
        <v>2</v>
      </c>
      <c r="D167" s="9">
        <f>IFERROR(VLOOKUP($B167,Menu[],MATCH(D$1,Menu[#Headers],0),FALSE),"CHECK")</f>
        <v>116.8</v>
      </c>
      <c r="E167" s="9">
        <f>IFERROR(VLOOKUP($B167,Menu[],MATCH(E$1,Menu[#Headers],0),FALSE),"CHECK")</f>
        <v>48.97</v>
      </c>
      <c r="F167" t="str">
        <f>IFERROR(VLOOKUP($B167,Menu[],MATCH(F$1,Menu[#Headers],0),FALSE),"CHECK")</f>
        <v>Dessert</v>
      </c>
      <c r="G167" s="7">
        <f>IFERROR(INT(VLOOKUP($A167,Orders[],MATCH("OrderDateTime",Orders[#Headers],0),FALSE)),"CHECK")</f>
        <v>45895</v>
      </c>
      <c r="H167" s="7" t="str">
        <f>IFERROR(VLOOKUP($A167,Orders[],MATCH(H$1,Orders[#Headers],0),FALSE),"CHECK")</f>
        <v>Plant 1 Canteen</v>
      </c>
      <c r="I167">
        <f>IFERROR(VLOOKUP(OrderLines[[#This Row],[OrderID]],Orders[],MATCH(OrderLines[[#Headers],[DiscountPct]],Orders[#Headers],0),FALSE),"CHECK")</f>
        <v>7.0000000000000007E-2</v>
      </c>
      <c r="J167" t="str">
        <f>IFERROR(VLOOKUP(OrderLines[[#This Row],[OrderID]],Orders[],MATCH(OrderLines[[#Headers],[Shift]],Orders[#Headers],0),FALSE),"CHECK")</f>
        <v>Breakfast</v>
      </c>
      <c r="K167" s="11">
        <f>OrderLines[[#This Row],[Qty]] * OrderLines[[#This Row],[UnitPrice]] * (1-OrderLines[[#This Row],[DiscountPct]])</f>
        <v>217.24799999999999</v>
      </c>
      <c r="L167">
        <f>OrderLines[[#This Row],[Qty]]*OrderLines[[#This Row],[UnitCost]]</f>
        <v>97.94</v>
      </c>
    </row>
    <row r="168" spans="1:12" x14ac:dyDescent="0.25">
      <c r="A168" t="s">
        <v>105</v>
      </c>
      <c r="B168" t="s">
        <v>405</v>
      </c>
      <c r="C168">
        <v>1</v>
      </c>
      <c r="D168" s="9">
        <f>IFERROR(VLOOKUP($B168,Menu[],MATCH(D$1,Menu[#Headers],0),FALSE),"CHECK")</f>
        <v>170.83</v>
      </c>
      <c r="E168" s="9">
        <f>IFERROR(VLOOKUP($B168,Menu[],MATCH(E$1,Menu[#Headers],0),FALSE),"CHECK")</f>
        <v>74.069999999999993</v>
      </c>
      <c r="F168" t="str">
        <f>IFERROR(VLOOKUP($B168,Menu[],MATCH(F$1,Menu[#Headers],0),FALSE),"CHECK")</f>
        <v>Hot Meal</v>
      </c>
      <c r="G168" s="7">
        <f>IFERROR(INT(VLOOKUP($A168,Orders[],MATCH("OrderDateTime",Orders[#Headers],0),FALSE)),"CHECK")</f>
        <v>45887</v>
      </c>
      <c r="H168" s="7" t="str">
        <f>IFERROR(VLOOKUP($A168,Orders[],MATCH(H$1,Orders[#Headers],0),FALSE),"CHECK")</f>
        <v>Plant 2 Canteen</v>
      </c>
      <c r="I168">
        <f>IFERROR(VLOOKUP(OrderLines[[#This Row],[OrderID]],Orders[],MATCH(OrderLines[[#Headers],[DiscountPct]],Orders[#Headers],0),FALSE),"CHECK")</f>
        <v>0.06</v>
      </c>
      <c r="J168" t="str">
        <f>IFERROR(VLOOKUP(OrderLines[[#This Row],[OrderID]],Orders[],MATCH(OrderLines[[#Headers],[Shift]],Orders[#Headers],0),FALSE),"CHECK")</f>
        <v>Breakfast</v>
      </c>
      <c r="K168" s="11">
        <f>OrderLines[[#This Row],[Qty]] * OrderLines[[#This Row],[UnitPrice]] * (1-OrderLines[[#This Row],[DiscountPct]])</f>
        <v>160.58019999999999</v>
      </c>
      <c r="L168">
        <f>OrderLines[[#This Row],[Qty]]*OrderLines[[#This Row],[UnitCost]]</f>
        <v>74.069999999999993</v>
      </c>
    </row>
    <row r="169" spans="1:12" x14ac:dyDescent="0.25">
      <c r="A169" t="s">
        <v>105</v>
      </c>
      <c r="B169" t="s">
        <v>419</v>
      </c>
      <c r="C169">
        <v>1</v>
      </c>
      <c r="D169" s="9">
        <f>IFERROR(VLOOKUP($B169,Menu[],MATCH(D$1,Menu[#Headers],0),FALSE),"CHECK")</f>
        <v>50.19</v>
      </c>
      <c r="E169" s="9">
        <f>IFERROR(VLOOKUP($B169,Menu[],MATCH(E$1,Menu[#Headers],0),FALSE),"CHECK")</f>
        <v>22.61</v>
      </c>
      <c r="F169" t="str">
        <f>IFERROR(VLOOKUP($B169,Menu[],MATCH(F$1,Menu[#Headers],0),FALSE),"CHECK")</f>
        <v>Snack</v>
      </c>
      <c r="G169" s="7">
        <f>IFERROR(INT(VLOOKUP($A169,Orders[],MATCH("OrderDateTime",Orders[#Headers],0),FALSE)),"CHECK")</f>
        <v>45887</v>
      </c>
      <c r="H169" s="7" t="str">
        <f>IFERROR(VLOOKUP($A169,Orders[],MATCH(H$1,Orders[#Headers],0),FALSE),"CHECK")</f>
        <v>Plant 2 Canteen</v>
      </c>
      <c r="I169">
        <f>IFERROR(VLOOKUP(OrderLines[[#This Row],[OrderID]],Orders[],MATCH(OrderLines[[#Headers],[DiscountPct]],Orders[#Headers],0),FALSE),"CHECK")</f>
        <v>0.06</v>
      </c>
      <c r="J169" t="str">
        <f>IFERROR(VLOOKUP(OrderLines[[#This Row],[OrderID]],Orders[],MATCH(OrderLines[[#Headers],[Shift]],Orders[#Headers],0),FALSE),"CHECK")</f>
        <v>Breakfast</v>
      </c>
      <c r="K169" s="11">
        <f>OrderLines[[#This Row],[Qty]] * OrderLines[[#This Row],[UnitPrice]] * (1-OrderLines[[#This Row],[DiscountPct]])</f>
        <v>47.178599999999996</v>
      </c>
      <c r="L169">
        <f>OrderLines[[#This Row],[Qty]]*OrderLines[[#This Row],[UnitCost]]</f>
        <v>22.61</v>
      </c>
    </row>
    <row r="170" spans="1:12" x14ac:dyDescent="0.25">
      <c r="A170" t="s">
        <v>105</v>
      </c>
      <c r="B170" t="s">
        <v>402</v>
      </c>
      <c r="C170">
        <v>1</v>
      </c>
      <c r="D170" s="9">
        <f>IFERROR(VLOOKUP($B170,Menu[],MATCH(D$1,Menu[#Headers],0),FALSE),"CHECK")</f>
        <v>30.34</v>
      </c>
      <c r="E170" s="9">
        <f>IFERROR(VLOOKUP($B170,Menu[],MATCH(E$1,Menu[#Headers],0),FALSE),"CHECK")</f>
        <v>14.18</v>
      </c>
      <c r="F170" t="str">
        <f>IFERROR(VLOOKUP($B170,Menu[],MATCH(F$1,Menu[#Headers],0),FALSE),"CHECK")</f>
        <v>Beverage</v>
      </c>
      <c r="G170" s="7">
        <f>IFERROR(INT(VLOOKUP($A170,Orders[],MATCH("OrderDateTime",Orders[#Headers],0),FALSE)),"CHECK")</f>
        <v>45887</v>
      </c>
      <c r="H170" s="7" t="str">
        <f>IFERROR(VLOOKUP($A170,Orders[],MATCH(H$1,Orders[#Headers],0),FALSE),"CHECK")</f>
        <v>Plant 2 Canteen</v>
      </c>
      <c r="I170">
        <f>IFERROR(VLOOKUP(OrderLines[[#This Row],[OrderID]],Orders[],MATCH(OrderLines[[#Headers],[DiscountPct]],Orders[#Headers],0),FALSE),"CHECK")</f>
        <v>0.06</v>
      </c>
      <c r="J170" t="str">
        <f>IFERROR(VLOOKUP(OrderLines[[#This Row],[OrderID]],Orders[],MATCH(OrderLines[[#Headers],[Shift]],Orders[#Headers],0),FALSE),"CHECK")</f>
        <v>Breakfast</v>
      </c>
      <c r="K170" s="11">
        <f>OrderLines[[#This Row],[Qty]] * OrderLines[[#This Row],[UnitPrice]] * (1-OrderLines[[#This Row],[DiscountPct]])</f>
        <v>28.519599999999997</v>
      </c>
      <c r="L170">
        <f>OrderLines[[#This Row],[Qty]]*OrderLines[[#This Row],[UnitCost]]</f>
        <v>14.18</v>
      </c>
    </row>
    <row r="171" spans="1:12" x14ac:dyDescent="0.25">
      <c r="A171" t="s">
        <v>105</v>
      </c>
      <c r="B171" t="s">
        <v>417</v>
      </c>
      <c r="C171">
        <v>1</v>
      </c>
      <c r="D171" s="9">
        <f>IFERROR(VLOOKUP($B171,Menu[],MATCH(D$1,Menu[#Headers],0),FALSE),"CHECK")</f>
        <v>146.4</v>
      </c>
      <c r="E171" s="9">
        <f>IFERROR(VLOOKUP($B171,Menu[],MATCH(E$1,Menu[#Headers],0),FALSE),"CHECK")</f>
        <v>80.92</v>
      </c>
      <c r="F171" t="str">
        <f>IFERROR(VLOOKUP($B171,Menu[],MATCH(F$1,Menu[#Headers],0),FALSE),"CHECK")</f>
        <v>Hot Meal</v>
      </c>
      <c r="G171" s="7">
        <f>IFERROR(INT(VLOOKUP($A171,Orders[],MATCH("OrderDateTime",Orders[#Headers],0),FALSE)),"CHECK")</f>
        <v>45887</v>
      </c>
      <c r="H171" s="7" t="str">
        <f>IFERROR(VLOOKUP($A171,Orders[],MATCH(H$1,Orders[#Headers],0),FALSE),"CHECK")</f>
        <v>Plant 2 Canteen</v>
      </c>
      <c r="I171">
        <f>IFERROR(VLOOKUP(OrderLines[[#This Row],[OrderID]],Orders[],MATCH(OrderLines[[#Headers],[DiscountPct]],Orders[#Headers],0),FALSE),"CHECK")</f>
        <v>0.06</v>
      </c>
      <c r="J171" t="str">
        <f>IFERROR(VLOOKUP(OrderLines[[#This Row],[OrderID]],Orders[],MATCH(OrderLines[[#Headers],[Shift]],Orders[#Headers],0),FALSE),"CHECK")</f>
        <v>Breakfast</v>
      </c>
      <c r="K171" s="11">
        <f>OrderLines[[#This Row],[Qty]] * OrderLines[[#This Row],[UnitPrice]] * (1-OrderLines[[#This Row],[DiscountPct]])</f>
        <v>137.61599999999999</v>
      </c>
      <c r="L171">
        <f>OrderLines[[#This Row],[Qty]]*OrderLines[[#This Row],[UnitCost]]</f>
        <v>80.92</v>
      </c>
    </row>
    <row r="172" spans="1:12" x14ac:dyDescent="0.25">
      <c r="A172" t="s">
        <v>106</v>
      </c>
      <c r="B172" t="s">
        <v>407</v>
      </c>
      <c r="C172">
        <v>3</v>
      </c>
      <c r="D172" s="9">
        <f>IFERROR(VLOOKUP($B172,Menu[],MATCH(D$1,Menu[#Headers],0),FALSE),"CHECK")</f>
        <v>246.09</v>
      </c>
      <c r="E172" s="9">
        <f>IFERROR(VLOOKUP($B172,Menu[],MATCH(E$1,Menu[#Headers],0),FALSE),"CHECK")</f>
        <v>112.08</v>
      </c>
      <c r="F172" t="str">
        <f>IFERROR(VLOOKUP($B172,Menu[],MATCH(F$1,Menu[#Headers],0),FALSE),"CHECK")</f>
        <v>Hot Meal</v>
      </c>
      <c r="G172" s="7">
        <f>IFERROR(INT(VLOOKUP($A172,Orders[],MATCH("OrderDateTime",Orders[#Headers],0),FALSE)),"CHECK")</f>
        <v>45849</v>
      </c>
      <c r="H172" s="7" t="str">
        <f>IFERROR(VLOOKUP($A172,Orders[],MATCH(H$1,Orders[#Headers],0),FALSE),"CHECK")</f>
        <v>Plant 2 Canteen</v>
      </c>
      <c r="I172">
        <f>IFERROR(VLOOKUP(OrderLines[[#This Row],[OrderID]],Orders[],MATCH(OrderLines[[#Headers],[DiscountPct]],Orders[#Headers],0),FALSE),"CHECK")</f>
        <v>0</v>
      </c>
      <c r="J172" t="str">
        <f>IFERROR(VLOOKUP(OrderLines[[#This Row],[OrderID]],Orders[],MATCH(OrderLines[[#Headers],[Shift]],Orders[#Headers],0),FALSE),"CHECK")</f>
        <v>Lunch</v>
      </c>
      <c r="K172" s="11">
        <f>OrderLines[[#This Row],[Qty]] * OrderLines[[#This Row],[UnitPrice]] * (1-OrderLines[[#This Row],[DiscountPct]])</f>
        <v>738.27</v>
      </c>
      <c r="L172">
        <f>OrderLines[[#This Row],[Qty]]*OrderLines[[#This Row],[UnitCost]]</f>
        <v>336.24</v>
      </c>
    </row>
    <row r="173" spans="1:12" x14ac:dyDescent="0.25">
      <c r="A173" t="s">
        <v>106</v>
      </c>
      <c r="B173" t="s">
        <v>415</v>
      </c>
      <c r="C173">
        <v>2</v>
      </c>
      <c r="D173" s="9">
        <f>IFERROR(VLOOKUP($B173,Menu[],MATCH(D$1,Menu[#Headers],0),FALSE),"CHECK")</f>
        <v>256.91000000000003</v>
      </c>
      <c r="E173" s="9">
        <f>IFERROR(VLOOKUP($B173,Menu[],MATCH(E$1,Menu[#Headers],0),FALSE),"CHECK")</f>
        <v>121.24</v>
      </c>
      <c r="F173" t="str">
        <f>IFERROR(VLOOKUP($B173,Menu[],MATCH(F$1,Menu[#Headers],0),FALSE),"CHECK")</f>
        <v>Hot Meal</v>
      </c>
      <c r="G173" s="7">
        <f>IFERROR(INT(VLOOKUP($A173,Orders[],MATCH("OrderDateTime",Orders[#Headers],0),FALSE)),"CHECK")</f>
        <v>45849</v>
      </c>
      <c r="H173" s="7" t="str">
        <f>IFERROR(VLOOKUP($A173,Orders[],MATCH(H$1,Orders[#Headers],0),FALSE),"CHECK")</f>
        <v>Plant 2 Canteen</v>
      </c>
      <c r="I173">
        <f>IFERROR(VLOOKUP(OrderLines[[#This Row],[OrderID]],Orders[],MATCH(OrderLines[[#Headers],[DiscountPct]],Orders[#Headers],0),FALSE),"CHECK")</f>
        <v>0</v>
      </c>
      <c r="J173" t="str">
        <f>IFERROR(VLOOKUP(OrderLines[[#This Row],[OrderID]],Orders[],MATCH(OrderLines[[#Headers],[Shift]],Orders[#Headers],0),FALSE),"CHECK")</f>
        <v>Lunch</v>
      </c>
      <c r="K173" s="11">
        <f>OrderLines[[#This Row],[Qty]] * OrderLines[[#This Row],[UnitPrice]] * (1-OrderLines[[#This Row],[DiscountPct]])</f>
        <v>513.82000000000005</v>
      </c>
      <c r="L173">
        <f>OrderLines[[#This Row],[Qty]]*OrderLines[[#This Row],[UnitCost]]</f>
        <v>242.48</v>
      </c>
    </row>
    <row r="174" spans="1:12" x14ac:dyDescent="0.25">
      <c r="A174" t="s">
        <v>106</v>
      </c>
      <c r="B174" t="s">
        <v>408</v>
      </c>
      <c r="C174">
        <v>2</v>
      </c>
      <c r="D174" s="9">
        <f>IFERROR(VLOOKUP($B174,Menu[],MATCH(D$1,Menu[#Headers],0),FALSE),"CHECK")</f>
        <v>70.540000000000006</v>
      </c>
      <c r="E174" s="9">
        <f>IFERROR(VLOOKUP($B174,Menu[],MATCH(E$1,Menu[#Headers],0),FALSE),"CHECK")</f>
        <v>35.81</v>
      </c>
      <c r="F174" t="str">
        <f>IFERROR(VLOOKUP($B174,Menu[],MATCH(F$1,Menu[#Headers],0),FALSE),"CHECK")</f>
        <v>Snack</v>
      </c>
      <c r="G174" s="7">
        <f>IFERROR(INT(VLOOKUP($A174,Orders[],MATCH("OrderDateTime",Orders[#Headers],0),FALSE)),"CHECK")</f>
        <v>45849</v>
      </c>
      <c r="H174" s="7" t="str">
        <f>IFERROR(VLOOKUP($A174,Orders[],MATCH(H$1,Orders[#Headers],0),FALSE),"CHECK")</f>
        <v>Plant 2 Canteen</v>
      </c>
      <c r="I174">
        <f>IFERROR(VLOOKUP(OrderLines[[#This Row],[OrderID]],Orders[],MATCH(OrderLines[[#Headers],[DiscountPct]],Orders[#Headers],0),FALSE),"CHECK")</f>
        <v>0</v>
      </c>
      <c r="J174" t="str">
        <f>IFERROR(VLOOKUP(OrderLines[[#This Row],[OrderID]],Orders[],MATCH(OrderLines[[#Headers],[Shift]],Orders[#Headers],0),FALSE),"CHECK")</f>
        <v>Lunch</v>
      </c>
      <c r="K174" s="11">
        <f>OrderLines[[#This Row],[Qty]] * OrderLines[[#This Row],[UnitPrice]] * (1-OrderLines[[#This Row],[DiscountPct]])</f>
        <v>141.08000000000001</v>
      </c>
      <c r="L174">
        <f>OrderLines[[#This Row],[Qty]]*OrderLines[[#This Row],[UnitCost]]</f>
        <v>71.62</v>
      </c>
    </row>
    <row r="175" spans="1:12" x14ac:dyDescent="0.25">
      <c r="A175" t="s">
        <v>106</v>
      </c>
      <c r="B175" t="s">
        <v>417</v>
      </c>
      <c r="C175">
        <v>1</v>
      </c>
      <c r="D175" s="9">
        <f>IFERROR(VLOOKUP($B175,Menu[],MATCH(D$1,Menu[#Headers],0),FALSE),"CHECK")</f>
        <v>146.4</v>
      </c>
      <c r="E175" s="9">
        <f>IFERROR(VLOOKUP($B175,Menu[],MATCH(E$1,Menu[#Headers],0),FALSE),"CHECK")</f>
        <v>80.92</v>
      </c>
      <c r="F175" t="str">
        <f>IFERROR(VLOOKUP($B175,Menu[],MATCH(F$1,Menu[#Headers],0),FALSE),"CHECK")</f>
        <v>Hot Meal</v>
      </c>
      <c r="G175" s="7">
        <f>IFERROR(INT(VLOOKUP($A175,Orders[],MATCH("OrderDateTime",Orders[#Headers],0),FALSE)),"CHECK")</f>
        <v>45849</v>
      </c>
      <c r="H175" s="7" t="str">
        <f>IFERROR(VLOOKUP($A175,Orders[],MATCH(H$1,Orders[#Headers],0),FALSE),"CHECK")</f>
        <v>Plant 2 Canteen</v>
      </c>
      <c r="I175">
        <f>IFERROR(VLOOKUP(OrderLines[[#This Row],[OrderID]],Orders[],MATCH(OrderLines[[#Headers],[DiscountPct]],Orders[#Headers],0),FALSE),"CHECK")</f>
        <v>0</v>
      </c>
      <c r="J175" t="str">
        <f>IFERROR(VLOOKUP(OrderLines[[#This Row],[OrderID]],Orders[],MATCH(OrderLines[[#Headers],[Shift]],Orders[#Headers],0),FALSE),"CHECK")</f>
        <v>Lunch</v>
      </c>
      <c r="K175" s="11">
        <f>OrderLines[[#This Row],[Qty]] * OrderLines[[#This Row],[UnitPrice]] * (1-OrderLines[[#This Row],[DiscountPct]])</f>
        <v>146.4</v>
      </c>
      <c r="L175">
        <f>OrderLines[[#This Row],[Qty]]*OrderLines[[#This Row],[UnitCost]]</f>
        <v>80.92</v>
      </c>
    </row>
    <row r="176" spans="1:12" x14ac:dyDescent="0.25">
      <c r="A176" t="s">
        <v>107</v>
      </c>
      <c r="B176" t="s">
        <v>410</v>
      </c>
      <c r="C176">
        <v>3</v>
      </c>
      <c r="D176" s="9">
        <f>IFERROR(VLOOKUP($B176,Menu[],MATCH(D$1,Menu[#Headers],0),FALSE),"CHECK")</f>
        <v>20.11</v>
      </c>
      <c r="E176" s="9">
        <f>IFERROR(VLOOKUP($B176,Menu[],MATCH(E$1,Menu[#Headers],0),FALSE),"CHECK")</f>
        <v>8</v>
      </c>
      <c r="F176" t="str">
        <f>IFERROR(VLOOKUP($B176,Menu[],MATCH(F$1,Menu[#Headers],0),FALSE),"CHECK")</f>
        <v>Beverage</v>
      </c>
      <c r="G176" s="7">
        <f>IFERROR(INT(VLOOKUP($A176,Orders[],MATCH("OrderDateTime",Orders[#Headers],0),FALSE)),"CHECK")</f>
        <v>45884</v>
      </c>
      <c r="H176" s="7" t="str">
        <f>IFERROR(VLOOKUP($A176,Orders[],MATCH(H$1,Orders[#Headers],0),FALSE),"CHECK")</f>
        <v>Plant 1 Canteen</v>
      </c>
      <c r="I176">
        <f>IFERROR(VLOOKUP(OrderLines[[#This Row],[OrderID]],Orders[],MATCH(OrderLines[[#Headers],[DiscountPct]],Orders[#Headers],0),FALSE),"CHECK")</f>
        <v>0.06</v>
      </c>
      <c r="J176" t="str">
        <f>IFERROR(VLOOKUP(OrderLines[[#This Row],[OrderID]],Orders[],MATCH(OrderLines[[#Headers],[Shift]],Orders[#Headers],0),FALSE),"CHECK")</f>
        <v>Breakfast</v>
      </c>
      <c r="K176" s="11">
        <f>OrderLines[[#This Row],[Qty]] * OrderLines[[#This Row],[UnitPrice]] * (1-OrderLines[[#This Row],[DiscountPct]])</f>
        <v>56.710199999999993</v>
      </c>
      <c r="L176">
        <f>OrderLines[[#This Row],[Qty]]*OrderLines[[#This Row],[UnitCost]]</f>
        <v>24</v>
      </c>
    </row>
    <row r="177" spans="1:12" x14ac:dyDescent="0.25">
      <c r="A177" t="s">
        <v>108</v>
      </c>
      <c r="B177" t="s">
        <v>405</v>
      </c>
      <c r="C177">
        <v>1</v>
      </c>
      <c r="D177" s="9">
        <f>IFERROR(VLOOKUP($B177,Menu[],MATCH(D$1,Menu[#Headers],0),FALSE),"CHECK")</f>
        <v>170.83</v>
      </c>
      <c r="E177" s="9">
        <f>IFERROR(VLOOKUP($B177,Menu[],MATCH(E$1,Menu[#Headers],0),FALSE),"CHECK")</f>
        <v>74.069999999999993</v>
      </c>
      <c r="F177" t="str">
        <f>IFERROR(VLOOKUP($B177,Menu[],MATCH(F$1,Menu[#Headers],0),FALSE),"CHECK")</f>
        <v>Hot Meal</v>
      </c>
      <c r="G177" s="7">
        <f>IFERROR(INT(VLOOKUP($A177,Orders[],MATCH("OrderDateTime",Orders[#Headers],0),FALSE)),"CHECK")</f>
        <v>45883</v>
      </c>
      <c r="H177" s="7" t="str">
        <f>IFERROR(VLOOKUP($A177,Orders[],MATCH(H$1,Orders[#Headers],0),FALSE),"CHECK")</f>
        <v>Plant 1 Canteen</v>
      </c>
      <c r="I177">
        <f>IFERROR(VLOOKUP(OrderLines[[#This Row],[OrderID]],Orders[],MATCH(OrderLines[[#Headers],[DiscountPct]],Orders[#Headers],0),FALSE),"CHECK")</f>
        <v>0.06</v>
      </c>
      <c r="J177" t="str">
        <f>IFERROR(VLOOKUP(OrderLines[[#This Row],[OrderID]],Orders[],MATCH(OrderLines[[#Headers],[Shift]],Orders[#Headers],0),FALSE),"CHECK")</f>
        <v>Lunch</v>
      </c>
      <c r="K177" s="11">
        <f>OrderLines[[#This Row],[Qty]] * OrderLines[[#This Row],[UnitPrice]] * (1-OrderLines[[#This Row],[DiscountPct]])</f>
        <v>160.58019999999999</v>
      </c>
      <c r="L177">
        <f>OrderLines[[#This Row],[Qty]]*OrderLines[[#This Row],[UnitCost]]</f>
        <v>74.069999999999993</v>
      </c>
    </row>
    <row r="178" spans="1:12" x14ac:dyDescent="0.25">
      <c r="A178" t="s">
        <v>108</v>
      </c>
      <c r="B178" t="s">
        <v>403</v>
      </c>
      <c r="C178">
        <v>2</v>
      </c>
      <c r="D178" s="9">
        <f>IFERROR(VLOOKUP($B178,Menu[],MATCH(D$1,Menu[#Headers],0),FALSE),"CHECK")</f>
        <v>76.55</v>
      </c>
      <c r="E178" s="9">
        <f>IFERROR(VLOOKUP($B178,Menu[],MATCH(E$1,Menu[#Headers],0),FALSE),"CHECK")</f>
        <v>38.229999999999997</v>
      </c>
      <c r="F178" t="str">
        <f>IFERROR(VLOOKUP($B178,Menu[],MATCH(F$1,Menu[#Headers],0),FALSE),"CHECK")</f>
        <v>Dessert</v>
      </c>
      <c r="G178" s="7">
        <f>IFERROR(INT(VLOOKUP($A178,Orders[],MATCH("OrderDateTime",Orders[#Headers],0),FALSE)),"CHECK")</f>
        <v>45883</v>
      </c>
      <c r="H178" s="7" t="str">
        <f>IFERROR(VLOOKUP($A178,Orders[],MATCH(H$1,Orders[#Headers],0),FALSE),"CHECK")</f>
        <v>Plant 1 Canteen</v>
      </c>
      <c r="I178">
        <f>IFERROR(VLOOKUP(OrderLines[[#This Row],[OrderID]],Orders[],MATCH(OrderLines[[#Headers],[DiscountPct]],Orders[#Headers],0),FALSE),"CHECK")</f>
        <v>0.06</v>
      </c>
      <c r="J178" t="str">
        <f>IFERROR(VLOOKUP(OrderLines[[#This Row],[OrderID]],Orders[],MATCH(OrderLines[[#Headers],[Shift]],Orders[#Headers],0),FALSE),"CHECK")</f>
        <v>Lunch</v>
      </c>
      <c r="K178" s="11">
        <f>OrderLines[[#This Row],[Qty]] * OrderLines[[#This Row],[UnitPrice]] * (1-OrderLines[[#This Row],[DiscountPct]])</f>
        <v>143.91399999999999</v>
      </c>
      <c r="L178">
        <f>OrderLines[[#This Row],[Qty]]*OrderLines[[#This Row],[UnitCost]]</f>
        <v>76.459999999999994</v>
      </c>
    </row>
    <row r="179" spans="1:12" x14ac:dyDescent="0.25">
      <c r="A179" t="s">
        <v>109</v>
      </c>
      <c r="B179" t="s">
        <v>405</v>
      </c>
      <c r="C179">
        <v>2</v>
      </c>
      <c r="D179" s="9">
        <f>IFERROR(VLOOKUP($B179,Menu[],MATCH(D$1,Menu[#Headers],0),FALSE),"CHECK")</f>
        <v>170.83</v>
      </c>
      <c r="E179" s="9">
        <f>IFERROR(VLOOKUP($B179,Menu[],MATCH(E$1,Menu[#Headers],0),FALSE),"CHECK")</f>
        <v>74.069999999999993</v>
      </c>
      <c r="F179" t="str">
        <f>IFERROR(VLOOKUP($B179,Menu[],MATCH(F$1,Menu[#Headers],0),FALSE),"CHECK")</f>
        <v>Hot Meal</v>
      </c>
      <c r="G179" s="7">
        <f>IFERROR(INT(VLOOKUP($A179,Orders[],MATCH("OrderDateTime",Orders[#Headers],0),FALSE)),"CHECK")</f>
        <v>45893</v>
      </c>
      <c r="H179" s="7" t="str">
        <f>IFERROR(VLOOKUP($A179,Orders[],MATCH(H$1,Orders[#Headers],0),FALSE),"CHECK")</f>
        <v>Head Office Café</v>
      </c>
      <c r="I179">
        <f>IFERROR(VLOOKUP(OrderLines[[#This Row],[OrderID]],Orders[],MATCH(OrderLines[[#Headers],[DiscountPct]],Orders[#Headers],0),FALSE),"CHECK")</f>
        <v>0.16</v>
      </c>
      <c r="J179" t="str">
        <f>IFERROR(VLOOKUP(OrderLines[[#This Row],[OrderID]],Orders[],MATCH(OrderLines[[#Headers],[Shift]],Orders[#Headers],0),FALSE),"CHECK")</f>
        <v>Lunch</v>
      </c>
      <c r="K179" s="11">
        <f>OrderLines[[#This Row],[Qty]] * OrderLines[[#This Row],[UnitPrice]] * (1-OrderLines[[#This Row],[DiscountPct]])</f>
        <v>286.99439999999998</v>
      </c>
      <c r="L179">
        <f>OrderLines[[#This Row],[Qty]]*OrderLines[[#This Row],[UnitCost]]</f>
        <v>148.13999999999999</v>
      </c>
    </row>
    <row r="180" spans="1:12" x14ac:dyDescent="0.25">
      <c r="A180" t="s">
        <v>109</v>
      </c>
      <c r="B180" t="s">
        <v>402</v>
      </c>
      <c r="C180">
        <v>1</v>
      </c>
      <c r="D180" s="9">
        <f>IFERROR(VLOOKUP($B180,Menu[],MATCH(D$1,Menu[#Headers],0),FALSE),"CHECK")</f>
        <v>30.34</v>
      </c>
      <c r="E180" s="9">
        <f>IFERROR(VLOOKUP($B180,Menu[],MATCH(E$1,Menu[#Headers],0),FALSE),"CHECK")</f>
        <v>14.18</v>
      </c>
      <c r="F180" t="str">
        <f>IFERROR(VLOOKUP($B180,Menu[],MATCH(F$1,Menu[#Headers],0),FALSE),"CHECK")</f>
        <v>Beverage</v>
      </c>
      <c r="G180" s="7">
        <f>IFERROR(INT(VLOOKUP($A180,Orders[],MATCH("OrderDateTime",Orders[#Headers],0),FALSE)),"CHECK")</f>
        <v>45893</v>
      </c>
      <c r="H180" s="7" t="str">
        <f>IFERROR(VLOOKUP($A180,Orders[],MATCH(H$1,Orders[#Headers],0),FALSE),"CHECK")</f>
        <v>Head Office Café</v>
      </c>
      <c r="I180">
        <f>IFERROR(VLOOKUP(OrderLines[[#This Row],[OrderID]],Orders[],MATCH(OrderLines[[#Headers],[DiscountPct]],Orders[#Headers],0),FALSE),"CHECK")</f>
        <v>0.16</v>
      </c>
      <c r="J180" t="str">
        <f>IFERROR(VLOOKUP(OrderLines[[#This Row],[OrderID]],Orders[],MATCH(OrderLines[[#Headers],[Shift]],Orders[#Headers],0),FALSE),"CHECK")</f>
        <v>Lunch</v>
      </c>
      <c r="K180" s="11">
        <f>OrderLines[[#This Row],[Qty]] * OrderLines[[#This Row],[UnitPrice]] * (1-OrderLines[[#This Row],[DiscountPct]])</f>
        <v>25.485599999999998</v>
      </c>
      <c r="L180">
        <f>OrderLines[[#This Row],[Qty]]*OrderLines[[#This Row],[UnitCost]]</f>
        <v>14.18</v>
      </c>
    </row>
    <row r="181" spans="1:12" x14ac:dyDescent="0.25">
      <c r="A181" t="s">
        <v>109</v>
      </c>
      <c r="B181" t="s">
        <v>409</v>
      </c>
      <c r="C181">
        <v>1</v>
      </c>
      <c r="D181" s="9">
        <f>IFERROR(VLOOKUP($B181,Menu[],MATCH(D$1,Menu[#Headers],0),FALSE),"CHECK")</f>
        <v>28.43</v>
      </c>
      <c r="E181" s="9">
        <f>IFERROR(VLOOKUP($B181,Menu[],MATCH(E$1,Menu[#Headers],0),FALSE),"CHECK")</f>
        <v>13.89</v>
      </c>
      <c r="F181" t="str">
        <f>IFERROR(VLOOKUP($B181,Menu[],MATCH(F$1,Menu[#Headers],0),FALSE),"CHECK")</f>
        <v>Beverage</v>
      </c>
      <c r="G181" s="7">
        <f>IFERROR(INT(VLOOKUP($A181,Orders[],MATCH("OrderDateTime",Orders[#Headers],0),FALSE)),"CHECK")</f>
        <v>45893</v>
      </c>
      <c r="H181" s="7" t="str">
        <f>IFERROR(VLOOKUP($A181,Orders[],MATCH(H$1,Orders[#Headers],0),FALSE),"CHECK")</f>
        <v>Head Office Café</v>
      </c>
      <c r="I181">
        <f>IFERROR(VLOOKUP(OrderLines[[#This Row],[OrderID]],Orders[],MATCH(OrderLines[[#Headers],[DiscountPct]],Orders[#Headers],0),FALSE),"CHECK")</f>
        <v>0.16</v>
      </c>
      <c r="J181" t="str">
        <f>IFERROR(VLOOKUP(OrderLines[[#This Row],[OrderID]],Orders[],MATCH(OrderLines[[#Headers],[Shift]],Orders[#Headers],0),FALSE),"CHECK")</f>
        <v>Lunch</v>
      </c>
      <c r="K181" s="11">
        <f>OrderLines[[#This Row],[Qty]] * OrderLines[[#This Row],[UnitPrice]] * (1-OrderLines[[#This Row],[DiscountPct]])</f>
        <v>23.8812</v>
      </c>
      <c r="L181">
        <f>OrderLines[[#This Row],[Qty]]*OrderLines[[#This Row],[UnitCost]]</f>
        <v>13.89</v>
      </c>
    </row>
    <row r="182" spans="1:12" x14ac:dyDescent="0.25">
      <c r="A182" t="s">
        <v>110</v>
      </c>
      <c r="B182" t="s">
        <v>419</v>
      </c>
      <c r="C182">
        <v>2</v>
      </c>
      <c r="D182" s="9">
        <f>IFERROR(VLOOKUP($B182,Menu[],MATCH(D$1,Menu[#Headers],0),FALSE),"CHECK")</f>
        <v>50.19</v>
      </c>
      <c r="E182" s="9">
        <f>IFERROR(VLOOKUP($B182,Menu[],MATCH(E$1,Menu[#Headers],0),FALSE),"CHECK")</f>
        <v>22.61</v>
      </c>
      <c r="F182" t="str">
        <f>IFERROR(VLOOKUP($B182,Menu[],MATCH(F$1,Menu[#Headers],0),FALSE),"CHECK")</f>
        <v>Snack</v>
      </c>
      <c r="G182" s="7">
        <f>IFERROR(INT(VLOOKUP($A182,Orders[],MATCH("OrderDateTime",Orders[#Headers],0),FALSE)),"CHECK")</f>
        <v>45880</v>
      </c>
      <c r="H182" s="7" t="str">
        <f>IFERROR(VLOOKUP($A182,Orders[],MATCH(H$1,Orders[#Headers],0),FALSE),"CHECK")</f>
        <v>Head Office Café</v>
      </c>
      <c r="I182">
        <f>IFERROR(VLOOKUP(OrderLines[[#This Row],[OrderID]],Orders[],MATCH(OrderLines[[#Headers],[DiscountPct]],Orders[#Headers],0),FALSE),"CHECK")</f>
        <v>0.05</v>
      </c>
      <c r="J182" t="str">
        <f>IFERROR(VLOOKUP(OrderLines[[#This Row],[OrderID]],Orders[],MATCH(OrderLines[[#Headers],[Shift]],Orders[#Headers],0),FALSE),"CHECK")</f>
        <v>Dinner</v>
      </c>
      <c r="K182" s="11">
        <f>OrderLines[[#This Row],[Qty]] * OrderLines[[#This Row],[UnitPrice]] * (1-OrderLines[[#This Row],[DiscountPct]])</f>
        <v>95.36099999999999</v>
      </c>
      <c r="L182">
        <f>OrderLines[[#This Row],[Qty]]*OrderLines[[#This Row],[UnitCost]]</f>
        <v>45.22</v>
      </c>
    </row>
    <row r="183" spans="1:12" x14ac:dyDescent="0.25">
      <c r="A183" t="s">
        <v>111</v>
      </c>
      <c r="B183" t="s">
        <v>411</v>
      </c>
      <c r="C183">
        <v>1</v>
      </c>
      <c r="D183" s="9">
        <f>IFERROR(VLOOKUP($B183,Menu[],MATCH(D$1,Menu[#Headers],0),FALSE),"CHECK")</f>
        <v>22.2</v>
      </c>
      <c r="E183" s="9">
        <f>IFERROR(VLOOKUP($B183,Menu[],MATCH(E$1,Menu[#Headers],0),FALSE),"CHECK")</f>
        <v>9.3800000000000008</v>
      </c>
      <c r="F183" t="str">
        <f>IFERROR(VLOOKUP($B183,Menu[],MATCH(F$1,Menu[#Headers],0),FALSE),"CHECK")</f>
        <v>Beverage</v>
      </c>
      <c r="G183" s="7">
        <f>IFERROR(INT(VLOOKUP($A183,Orders[],MATCH("OrderDateTime",Orders[#Headers],0),FALSE)),"CHECK")</f>
        <v>45882</v>
      </c>
      <c r="H183" s="7" t="str">
        <f>IFERROR(VLOOKUP($A183,Orders[],MATCH(H$1,Orders[#Headers],0),FALSE),"CHECK")</f>
        <v>Plant 2 Canteen</v>
      </c>
      <c r="I183">
        <f>IFERROR(VLOOKUP(OrderLines[[#This Row],[OrderID]],Orders[],MATCH(OrderLines[[#Headers],[DiscountPct]],Orders[#Headers],0),FALSE),"CHECK")</f>
        <v>7.0000000000000007E-2</v>
      </c>
      <c r="J183" t="str">
        <f>IFERROR(VLOOKUP(OrderLines[[#This Row],[OrderID]],Orders[],MATCH(OrderLines[[#Headers],[Shift]],Orders[#Headers],0),FALSE),"CHECK")</f>
        <v>Dinner</v>
      </c>
      <c r="K183" s="11">
        <f>OrderLines[[#This Row],[Qty]] * OrderLines[[#This Row],[UnitPrice]] * (1-OrderLines[[#This Row],[DiscountPct]])</f>
        <v>20.645999999999997</v>
      </c>
      <c r="L183">
        <f>OrderLines[[#This Row],[Qty]]*OrderLines[[#This Row],[UnitCost]]</f>
        <v>9.3800000000000008</v>
      </c>
    </row>
    <row r="184" spans="1:12" x14ac:dyDescent="0.25">
      <c r="A184" t="s">
        <v>111</v>
      </c>
      <c r="B184" t="s">
        <v>401</v>
      </c>
      <c r="C184">
        <v>1</v>
      </c>
      <c r="D184" s="9">
        <f>IFERROR(VLOOKUP($B184,Menu[],MATCH(D$1,Menu[#Headers],0),FALSE),"CHECK")</f>
        <v>52.45</v>
      </c>
      <c r="E184" s="9">
        <f>IFERROR(VLOOKUP($B184,Menu[],MATCH(E$1,Menu[#Headers],0),FALSE),"CHECK")</f>
        <v>25.8</v>
      </c>
      <c r="F184" t="str">
        <f>IFERROR(VLOOKUP($B184,Menu[],MATCH(F$1,Menu[#Headers],0),FALSE),"CHECK")</f>
        <v>Snack</v>
      </c>
      <c r="G184" s="7">
        <f>IFERROR(INT(VLOOKUP($A184,Orders[],MATCH("OrderDateTime",Orders[#Headers],0),FALSE)),"CHECK")</f>
        <v>45882</v>
      </c>
      <c r="H184" s="7" t="str">
        <f>IFERROR(VLOOKUP($A184,Orders[],MATCH(H$1,Orders[#Headers],0),FALSE),"CHECK")</f>
        <v>Plant 2 Canteen</v>
      </c>
      <c r="I184">
        <f>IFERROR(VLOOKUP(OrderLines[[#This Row],[OrderID]],Orders[],MATCH(OrderLines[[#Headers],[DiscountPct]],Orders[#Headers],0),FALSE),"CHECK")</f>
        <v>7.0000000000000007E-2</v>
      </c>
      <c r="J184" t="str">
        <f>IFERROR(VLOOKUP(OrderLines[[#This Row],[OrderID]],Orders[],MATCH(OrderLines[[#Headers],[Shift]],Orders[#Headers],0),FALSE),"CHECK")</f>
        <v>Dinner</v>
      </c>
      <c r="K184" s="11">
        <f>OrderLines[[#This Row],[Qty]] * OrderLines[[#This Row],[UnitPrice]] * (1-OrderLines[[#This Row],[DiscountPct]])</f>
        <v>48.778500000000001</v>
      </c>
      <c r="L184">
        <f>OrderLines[[#This Row],[Qty]]*OrderLines[[#This Row],[UnitCost]]</f>
        <v>25.8</v>
      </c>
    </row>
    <row r="185" spans="1:12" x14ac:dyDescent="0.25">
      <c r="A185" t="s">
        <v>111</v>
      </c>
      <c r="B185" t="s">
        <v>408</v>
      </c>
      <c r="C185">
        <v>2</v>
      </c>
      <c r="D185" s="9">
        <f>IFERROR(VLOOKUP($B185,Menu[],MATCH(D$1,Menu[#Headers],0),FALSE),"CHECK")</f>
        <v>70.540000000000006</v>
      </c>
      <c r="E185" s="9">
        <f>IFERROR(VLOOKUP($B185,Menu[],MATCH(E$1,Menu[#Headers],0),FALSE),"CHECK")</f>
        <v>35.81</v>
      </c>
      <c r="F185" t="str">
        <f>IFERROR(VLOOKUP($B185,Menu[],MATCH(F$1,Menu[#Headers],0),FALSE),"CHECK")</f>
        <v>Snack</v>
      </c>
      <c r="G185" s="7">
        <f>IFERROR(INT(VLOOKUP($A185,Orders[],MATCH("OrderDateTime",Orders[#Headers],0),FALSE)),"CHECK")</f>
        <v>45882</v>
      </c>
      <c r="H185" s="7" t="str">
        <f>IFERROR(VLOOKUP($A185,Orders[],MATCH(H$1,Orders[#Headers],0),FALSE),"CHECK")</f>
        <v>Plant 2 Canteen</v>
      </c>
      <c r="I185">
        <f>IFERROR(VLOOKUP(OrderLines[[#This Row],[OrderID]],Orders[],MATCH(OrderLines[[#Headers],[DiscountPct]],Orders[#Headers],0),FALSE),"CHECK")</f>
        <v>7.0000000000000007E-2</v>
      </c>
      <c r="J185" t="str">
        <f>IFERROR(VLOOKUP(OrderLines[[#This Row],[OrderID]],Orders[],MATCH(OrderLines[[#Headers],[Shift]],Orders[#Headers],0),FALSE),"CHECK")</f>
        <v>Dinner</v>
      </c>
      <c r="K185" s="11">
        <f>OrderLines[[#This Row],[Qty]] * OrderLines[[#This Row],[UnitPrice]] * (1-OrderLines[[#This Row],[DiscountPct]])</f>
        <v>131.20439999999999</v>
      </c>
      <c r="L185">
        <f>OrderLines[[#This Row],[Qty]]*OrderLines[[#This Row],[UnitCost]]</f>
        <v>71.62</v>
      </c>
    </row>
    <row r="186" spans="1:12" x14ac:dyDescent="0.25">
      <c r="A186" t="s">
        <v>111</v>
      </c>
      <c r="B186" t="s">
        <v>416</v>
      </c>
      <c r="C186">
        <v>3</v>
      </c>
      <c r="D186" s="9">
        <f>IFERROR(VLOOKUP($B186,Menu[],MATCH(D$1,Menu[#Headers],0),FALSE),"CHECK")</f>
        <v>227.61</v>
      </c>
      <c r="E186" s="9">
        <f>IFERROR(VLOOKUP($B186,Menu[],MATCH(E$1,Menu[#Headers],0),FALSE),"CHECK")</f>
        <v>96.22</v>
      </c>
      <c r="F186" t="str">
        <f>IFERROR(VLOOKUP($B186,Menu[],MATCH(F$1,Menu[#Headers],0),FALSE),"CHECK")</f>
        <v>Hot Meal</v>
      </c>
      <c r="G186" s="7">
        <f>IFERROR(INT(VLOOKUP($A186,Orders[],MATCH("OrderDateTime",Orders[#Headers],0),FALSE)),"CHECK")</f>
        <v>45882</v>
      </c>
      <c r="H186" s="7" t="str">
        <f>IFERROR(VLOOKUP($A186,Orders[],MATCH(H$1,Orders[#Headers],0),FALSE),"CHECK")</f>
        <v>Plant 2 Canteen</v>
      </c>
      <c r="I186">
        <f>IFERROR(VLOOKUP(OrderLines[[#This Row],[OrderID]],Orders[],MATCH(OrderLines[[#Headers],[DiscountPct]],Orders[#Headers],0),FALSE),"CHECK")</f>
        <v>7.0000000000000007E-2</v>
      </c>
      <c r="J186" t="str">
        <f>IFERROR(VLOOKUP(OrderLines[[#This Row],[OrderID]],Orders[],MATCH(OrderLines[[#Headers],[Shift]],Orders[#Headers],0),FALSE),"CHECK")</f>
        <v>Dinner</v>
      </c>
      <c r="K186" s="11">
        <f>OrderLines[[#This Row],[Qty]] * OrderLines[[#This Row],[UnitPrice]] * (1-OrderLines[[#This Row],[DiscountPct]])</f>
        <v>635.03189999999995</v>
      </c>
      <c r="L186">
        <f>OrderLines[[#This Row],[Qty]]*OrderLines[[#This Row],[UnitCost]]</f>
        <v>288.65999999999997</v>
      </c>
    </row>
    <row r="187" spans="1:12" x14ac:dyDescent="0.25">
      <c r="A187" t="s">
        <v>112</v>
      </c>
      <c r="B187" t="s">
        <v>409</v>
      </c>
      <c r="C187">
        <v>2</v>
      </c>
      <c r="D187" s="9">
        <f>IFERROR(VLOOKUP($B187,Menu[],MATCH(D$1,Menu[#Headers],0),FALSE),"CHECK")</f>
        <v>28.43</v>
      </c>
      <c r="E187" s="9">
        <f>IFERROR(VLOOKUP($B187,Menu[],MATCH(E$1,Menu[#Headers],0),FALSE),"CHECK")</f>
        <v>13.89</v>
      </c>
      <c r="F187" t="str">
        <f>IFERROR(VLOOKUP($B187,Menu[],MATCH(F$1,Menu[#Headers],0),FALSE),"CHECK")</f>
        <v>Beverage</v>
      </c>
      <c r="G187" s="7">
        <f>IFERROR(INT(VLOOKUP($A187,Orders[],MATCH("OrderDateTime",Orders[#Headers],0),FALSE)),"CHECK")</f>
        <v>45889</v>
      </c>
      <c r="H187" s="7" t="str">
        <f>IFERROR(VLOOKUP($A187,Orders[],MATCH(H$1,Orders[#Headers],0),FALSE),"CHECK")</f>
        <v>Plant 2 Canteen</v>
      </c>
      <c r="I187">
        <f>IFERROR(VLOOKUP(OrderLines[[#This Row],[OrderID]],Orders[],MATCH(OrderLines[[#Headers],[DiscountPct]],Orders[#Headers],0),FALSE),"CHECK")</f>
        <v>0.06</v>
      </c>
      <c r="J187" t="str">
        <f>IFERROR(VLOOKUP(OrderLines[[#This Row],[OrderID]],Orders[],MATCH(OrderLines[[#Headers],[Shift]],Orders[#Headers],0),FALSE),"CHECK")</f>
        <v>Dinner</v>
      </c>
      <c r="K187" s="11">
        <f>OrderLines[[#This Row],[Qty]] * OrderLines[[#This Row],[UnitPrice]] * (1-OrderLines[[#This Row],[DiscountPct]])</f>
        <v>53.448399999999999</v>
      </c>
      <c r="L187">
        <f>OrderLines[[#This Row],[Qty]]*OrderLines[[#This Row],[UnitCost]]</f>
        <v>27.78</v>
      </c>
    </row>
    <row r="188" spans="1:12" x14ac:dyDescent="0.25">
      <c r="A188" t="s">
        <v>112</v>
      </c>
      <c r="B188" t="s">
        <v>417</v>
      </c>
      <c r="C188">
        <v>2</v>
      </c>
      <c r="D188" s="9">
        <f>IFERROR(VLOOKUP($B188,Menu[],MATCH(D$1,Menu[#Headers],0),FALSE),"CHECK")</f>
        <v>146.4</v>
      </c>
      <c r="E188" s="9">
        <f>IFERROR(VLOOKUP($B188,Menu[],MATCH(E$1,Menu[#Headers],0),FALSE),"CHECK")</f>
        <v>80.92</v>
      </c>
      <c r="F188" t="str">
        <f>IFERROR(VLOOKUP($B188,Menu[],MATCH(F$1,Menu[#Headers],0),FALSE),"CHECK")</f>
        <v>Hot Meal</v>
      </c>
      <c r="G188" s="7">
        <f>IFERROR(INT(VLOOKUP($A188,Orders[],MATCH("OrderDateTime",Orders[#Headers],0),FALSE)),"CHECK")</f>
        <v>45889</v>
      </c>
      <c r="H188" s="7" t="str">
        <f>IFERROR(VLOOKUP($A188,Orders[],MATCH(H$1,Orders[#Headers],0),FALSE),"CHECK")</f>
        <v>Plant 2 Canteen</v>
      </c>
      <c r="I188">
        <f>IFERROR(VLOOKUP(OrderLines[[#This Row],[OrderID]],Orders[],MATCH(OrderLines[[#Headers],[DiscountPct]],Orders[#Headers],0),FALSE),"CHECK")</f>
        <v>0.06</v>
      </c>
      <c r="J188" t="str">
        <f>IFERROR(VLOOKUP(OrderLines[[#This Row],[OrderID]],Orders[],MATCH(OrderLines[[#Headers],[Shift]],Orders[#Headers],0),FALSE),"CHECK")</f>
        <v>Dinner</v>
      </c>
      <c r="K188" s="11">
        <f>OrderLines[[#This Row],[Qty]] * OrderLines[[#This Row],[UnitPrice]] * (1-OrderLines[[#This Row],[DiscountPct]])</f>
        <v>275.23199999999997</v>
      </c>
      <c r="L188">
        <f>OrderLines[[#This Row],[Qty]]*OrderLines[[#This Row],[UnitCost]]</f>
        <v>161.84</v>
      </c>
    </row>
    <row r="189" spans="1:12" x14ac:dyDescent="0.25">
      <c r="A189" t="s">
        <v>112</v>
      </c>
      <c r="B189" t="s">
        <v>406</v>
      </c>
      <c r="C189">
        <v>2</v>
      </c>
      <c r="D189" s="9">
        <f>IFERROR(VLOOKUP($B189,Menu[],MATCH(D$1,Menu[#Headers],0),FALSE),"CHECK")</f>
        <v>38.06</v>
      </c>
      <c r="E189" s="9">
        <f>IFERROR(VLOOKUP($B189,Menu[],MATCH(E$1,Menu[#Headers],0),FALSE),"CHECK")</f>
        <v>19.55</v>
      </c>
      <c r="F189" t="str">
        <f>IFERROR(VLOOKUP($B189,Menu[],MATCH(F$1,Menu[#Headers],0),FALSE),"CHECK")</f>
        <v>Snack</v>
      </c>
      <c r="G189" s="7">
        <f>IFERROR(INT(VLOOKUP($A189,Orders[],MATCH("OrderDateTime",Orders[#Headers],0),FALSE)),"CHECK")</f>
        <v>45889</v>
      </c>
      <c r="H189" s="7" t="str">
        <f>IFERROR(VLOOKUP($A189,Orders[],MATCH(H$1,Orders[#Headers],0),FALSE),"CHECK")</f>
        <v>Plant 2 Canteen</v>
      </c>
      <c r="I189">
        <f>IFERROR(VLOOKUP(OrderLines[[#This Row],[OrderID]],Orders[],MATCH(OrderLines[[#Headers],[DiscountPct]],Orders[#Headers],0),FALSE),"CHECK")</f>
        <v>0.06</v>
      </c>
      <c r="J189" t="str">
        <f>IFERROR(VLOOKUP(OrderLines[[#This Row],[OrderID]],Orders[],MATCH(OrderLines[[#Headers],[Shift]],Orders[#Headers],0),FALSE),"CHECK")</f>
        <v>Dinner</v>
      </c>
      <c r="K189" s="11">
        <f>OrderLines[[#This Row],[Qty]] * OrderLines[[#This Row],[UnitPrice]] * (1-OrderLines[[#This Row],[DiscountPct]])</f>
        <v>71.552800000000005</v>
      </c>
      <c r="L189">
        <f>OrderLines[[#This Row],[Qty]]*OrderLines[[#This Row],[UnitCost]]</f>
        <v>39.1</v>
      </c>
    </row>
    <row r="190" spans="1:12" x14ac:dyDescent="0.25">
      <c r="A190" t="s">
        <v>112</v>
      </c>
      <c r="B190" t="s">
        <v>418</v>
      </c>
      <c r="C190">
        <v>3</v>
      </c>
      <c r="D190" s="9">
        <f>IFERROR(VLOOKUP($B190,Menu[],MATCH(D$1,Menu[#Headers],0),FALSE),"CHECK")</f>
        <v>39.950000000000003</v>
      </c>
      <c r="E190" s="9">
        <f>IFERROR(VLOOKUP($B190,Menu[],MATCH(E$1,Menu[#Headers],0),FALSE),"CHECK")</f>
        <v>15.51</v>
      </c>
      <c r="F190" t="str">
        <f>IFERROR(VLOOKUP($B190,Menu[],MATCH(F$1,Menu[#Headers],0),FALSE),"CHECK")</f>
        <v>Snack</v>
      </c>
      <c r="G190" s="7">
        <f>IFERROR(INT(VLOOKUP($A190,Orders[],MATCH("OrderDateTime",Orders[#Headers],0),FALSE)),"CHECK")</f>
        <v>45889</v>
      </c>
      <c r="H190" s="7" t="str">
        <f>IFERROR(VLOOKUP($A190,Orders[],MATCH(H$1,Orders[#Headers],0),FALSE),"CHECK")</f>
        <v>Plant 2 Canteen</v>
      </c>
      <c r="I190">
        <f>IFERROR(VLOOKUP(OrderLines[[#This Row],[OrderID]],Orders[],MATCH(OrderLines[[#Headers],[DiscountPct]],Orders[#Headers],0),FALSE),"CHECK")</f>
        <v>0.06</v>
      </c>
      <c r="J190" t="str">
        <f>IFERROR(VLOOKUP(OrderLines[[#This Row],[OrderID]],Orders[],MATCH(OrderLines[[#Headers],[Shift]],Orders[#Headers],0),FALSE),"CHECK")</f>
        <v>Dinner</v>
      </c>
      <c r="K190" s="11">
        <f>OrderLines[[#This Row],[Qty]] * OrderLines[[#This Row],[UnitPrice]] * (1-OrderLines[[#This Row],[DiscountPct]])</f>
        <v>112.65900000000001</v>
      </c>
      <c r="L190">
        <f>OrderLines[[#This Row],[Qty]]*OrderLines[[#This Row],[UnitCost]]</f>
        <v>46.53</v>
      </c>
    </row>
    <row r="191" spans="1:12" x14ac:dyDescent="0.25">
      <c r="A191" t="s">
        <v>113</v>
      </c>
      <c r="B191" t="s">
        <v>413</v>
      </c>
      <c r="C191">
        <v>1</v>
      </c>
      <c r="D191" s="9">
        <f>IFERROR(VLOOKUP($B191,Menu[],MATCH(D$1,Menu[#Headers],0),FALSE),"CHECK")</f>
        <v>54.2</v>
      </c>
      <c r="E191" s="9">
        <f>IFERROR(VLOOKUP($B191,Menu[],MATCH(E$1,Menu[#Headers],0),FALSE),"CHECK")</f>
        <v>21.95</v>
      </c>
      <c r="F191" t="str">
        <f>IFERROR(VLOOKUP($B191,Menu[],MATCH(F$1,Menu[#Headers],0),FALSE),"CHECK")</f>
        <v>Dessert</v>
      </c>
      <c r="G191" s="7">
        <f>IFERROR(INT(VLOOKUP($A191,Orders[],MATCH("OrderDateTime",Orders[#Headers],0),FALSE)),"CHECK")</f>
        <v>45881</v>
      </c>
      <c r="H191" s="7" t="str">
        <f>IFERROR(VLOOKUP($A191,Orders[],MATCH(H$1,Orders[#Headers],0),FALSE),"CHECK")</f>
        <v>Plant 1 Canteen</v>
      </c>
      <c r="I191">
        <f>IFERROR(VLOOKUP(OrderLines[[#This Row],[OrderID]],Orders[],MATCH(OrderLines[[#Headers],[DiscountPct]],Orders[#Headers],0),FALSE),"CHECK")</f>
        <v>0.01</v>
      </c>
      <c r="J191" t="str">
        <f>IFERROR(VLOOKUP(OrderLines[[#This Row],[OrderID]],Orders[],MATCH(OrderLines[[#Headers],[Shift]],Orders[#Headers],0),FALSE),"CHECK")</f>
        <v>Dinner</v>
      </c>
      <c r="K191" s="11">
        <f>OrderLines[[#This Row],[Qty]] * OrderLines[[#This Row],[UnitPrice]] * (1-OrderLines[[#This Row],[DiscountPct]])</f>
        <v>53.658000000000001</v>
      </c>
      <c r="L191">
        <f>OrderLines[[#This Row],[Qty]]*OrderLines[[#This Row],[UnitCost]]</f>
        <v>21.95</v>
      </c>
    </row>
    <row r="192" spans="1:12" x14ac:dyDescent="0.25">
      <c r="A192" t="s">
        <v>113</v>
      </c>
      <c r="B192" t="s">
        <v>419</v>
      </c>
      <c r="C192">
        <v>1</v>
      </c>
      <c r="D192" s="9">
        <f>IFERROR(VLOOKUP($B192,Menu[],MATCH(D$1,Menu[#Headers],0),FALSE),"CHECK")</f>
        <v>50.19</v>
      </c>
      <c r="E192" s="9">
        <f>IFERROR(VLOOKUP($B192,Menu[],MATCH(E$1,Menu[#Headers],0),FALSE),"CHECK")</f>
        <v>22.61</v>
      </c>
      <c r="F192" t="str">
        <f>IFERROR(VLOOKUP($B192,Menu[],MATCH(F$1,Menu[#Headers],0),FALSE),"CHECK")</f>
        <v>Snack</v>
      </c>
      <c r="G192" s="7">
        <f>IFERROR(INT(VLOOKUP($A192,Orders[],MATCH("OrderDateTime",Orders[#Headers],0),FALSE)),"CHECK")</f>
        <v>45881</v>
      </c>
      <c r="H192" s="7" t="str">
        <f>IFERROR(VLOOKUP($A192,Orders[],MATCH(H$1,Orders[#Headers],0),FALSE),"CHECK")</f>
        <v>Plant 1 Canteen</v>
      </c>
      <c r="I192">
        <f>IFERROR(VLOOKUP(OrderLines[[#This Row],[OrderID]],Orders[],MATCH(OrderLines[[#Headers],[DiscountPct]],Orders[#Headers],0),FALSE),"CHECK")</f>
        <v>0.01</v>
      </c>
      <c r="J192" t="str">
        <f>IFERROR(VLOOKUP(OrderLines[[#This Row],[OrderID]],Orders[],MATCH(OrderLines[[#Headers],[Shift]],Orders[#Headers],0),FALSE),"CHECK")</f>
        <v>Dinner</v>
      </c>
      <c r="K192" s="11">
        <f>OrderLines[[#This Row],[Qty]] * OrderLines[[#This Row],[UnitPrice]] * (1-OrderLines[[#This Row],[DiscountPct]])</f>
        <v>49.688099999999999</v>
      </c>
      <c r="L192">
        <f>OrderLines[[#This Row],[Qty]]*OrderLines[[#This Row],[UnitCost]]</f>
        <v>22.61</v>
      </c>
    </row>
    <row r="193" spans="1:12" x14ac:dyDescent="0.25">
      <c r="A193" t="s">
        <v>113</v>
      </c>
      <c r="B193" t="s">
        <v>417</v>
      </c>
      <c r="C193">
        <v>2</v>
      </c>
      <c r="D193" s="9">
        <f>IFERROR(VLOOKUP($B193,Menu[],MATCH(D$1,Menu[#Headers],0),FALSE),"CHECK")</f>
        <v>146.4</v>
      </c>
      <c r="E193" s="9">
        <f>IFERROR(VLOOKUP($B193,Menu[],MATCH(E$1,Menu[#Headers],0),FALSE),"CHECK")</f>
        <v>80.92</v>
      </c>
      <c r="F193" t="str">
        <f>IFERROR(VLOOKUP($B193,Menu[],MATCH(F$1,Menu[#Headers],0),FALSE),"CHECK")</f>
        <v>Hot Meal</v>
      </c>
      <c r="G193" s="7">
        <f>IFERROR(INT(VLOOKUP($A193,Orders[],MATCH("OrderDateTime",Orders[#Headers],0),FALSE)),"CHECK")</f>
        <v>45881</v>
      </c>
      <c r="H193" s="7" t="str">
        <f>IFERROR(VLOOKUP($A193,Orders[],MATCH(H$1,Orders[#Headers],0),FALSE),"CHECK")</f>
        <v>Plant 1 Canteen</v>
      </c>
      <c r="I193">
        <f>IFERROR(VLOOKUP(OrderLines[[#This Row],[OrderID]],Orders[],MATCH(OrderLines[[#Headers],[DiscountPct]],Orders[#Headers],0),FALSE),"CHECK")</f>
        <v>0.01</v>
      </c>
      <c r="J193" t="str">
        <f>IFERROR(VLOOKUP(OrderLines[[#This Row],[OrderID]],Orders[],MATCH(OrderLines[[#Headers],[Shift]],Orders[#Headers],0),FALSE),"CHECK")</f>
        <v>Dinner</v>
      </c>
      <c r="K193" s="11">
        <f>OrderLines[[#This Row],[Qty]] * OrderLines[[#This Row],[UnitPrice]] * (1-OrderLines[[#This Row],[DiscountPct]])</f>
        <v>289.87200000000001</v>
      </c>
      <c r="L193">
        <f>OrderLines[[#This Row],[Qty]]*OrderLines[[#This Row],[UnitCost]]</f>
        <v>161.84</v>
      </c>
    </row>
    <row r="194" spans="1:12" x14ac:dyDescent="0.25">
      <c r="A194" t="s">
        <v>114</v>
      </c>
      <c r="B194" t="s">
        <v>404</v>
      </c>
      <c r="C194">
        <v>1</v>
      </c>
      <c r="D194" s="9">
        <f>IFERROR(VLOOKUP($B194,Menu[],MATCH(D$1,Menu[#Headers],0),FALSE),"CHECK")</f>
        <v>32.979999999999997</v>
      </c>
      <c r="E194" s="9">
        <f>IFERROR(VLOOKUP($B194,Menu[],MATCH(E$1,Menu[#Headers],0),FALSE),"CHECK")</f>
        <v>11.84</v>
      </c>
      <c r="F194" t="str">
        <f>IFERROR(VLOOKUP($B194,Menu[],MATCH(F$1,Menu[#Headers],0),FALSE),"CHECK")</f>
        <v>Beverage</v>
      </c>
      <c r="G194" s="7">
        <f>IFERROR(INT(VLOOKUP($A194,Orders[],MATCH("OrderDateTime",Orders[#Headers],0),FALSE)),"CHECK")</f>
        <v>45865</v>
      </c>
      <c r="H194" s="7" t="str">
        <f>IFERROR(VLOOKUP($A194,Orders[],MATCH(H$1,Orders[#Headers],0),FALSE),"CHECK")</f>
        <v>Plant 2 Canteen</v>
      </c>
      <c r="I194">
        <f>IFERROR(VLOOKUP(OrderLines[[#This Row],[OrderID]],Orders[],MATCH(OrderLines[[#Headers],[DiscountPct]],Orders[#Headers],0),FALSE),"CHECK")</f>
        <v>0.11</v>
      </c>
      <c r="J194" t="str">
        <f>IFERROR(VLOOKUP(OrderLines[[#This Row],[OrderID]],Orders[],MATCH(OrderLines[[#Headers],[Shift]],Orders[#Headers],0),FALSE),"CHECK")</f>
        <v>Lunch</v>
      </c>
      <c r="K194" s="11">
        <f>OrderLines[[#This Row],[Qty]] * OrderLines[[#This Row],[UnitPrice]] * (1-OrderLines[[#This Row],[DiscountPct]])</f>
        <v>29.352199999999996</v>
      </c>
      <c r="L194">
        <f>OrderLines[[#This Row],[Qty]]*OrderLines[[#This Row],[UnitCost]]</f>
        <v>11.84</v>
      </c>
    </row>
    <row r="195" spans="1:12" x14ac:dyDescent="0.25">
      <c r="A195" t="s">
        <v>114</v>
      </c>
      <c r="B195" t="s">
        <v>408</v>
      </c>
      <c r="C195">
        <v>1</v>
      </c>
      <c r="D195" s="9">
        <f>IFERROR(VLOOKUP($B195,Menu[],MATCH(D$1,Menu[#Headers],0),FALSE),"CHECK")</f>
        <v>70.540000000000006</v>
      </c>
      <c r="E195" s="9">
        <f>IFERROR(VLOOKUP($B195,Menu[],MATCH(E$1,Menu[#Headers],0),FALSE),"CHECK")</f>
        <v>35.81</v>
      </c>
      <c r="F195" t="str">
        <f>IFERROR(VLOOKUP($B195,Menu[],MATCH(F$1,Menu[#Headers],0),FALSE),"CHECK")</f>
        <v>Snack</v>
      </c>
      <c r="G195" s="7">
        <f>IFERROR(INT(VLOOKUP($A195,Orders[],MATCH("OrderDateTime",Orders[#Headers],0),FALSE)),"CHECK")</f>
        <v>45865</v>
      </c>
      <c r="H195" s="7" t="str">
        <f>IFERROR(VLOOKUP($A195,Orders[],MATCH(H$1,Orders[#Headers],0),FALSE),"CHECK")</f>
        <v>Plant 2 Canteen</v>
      </c>
      <c r="I195">
        <f>IFERROR(VLOOKUP(OrderLines[[#This Row],[OrderID]],Orders[],MATCH(OrderLines[[#Headers],[DiscountPct]],Orders[#Headers],0),FALSE),"CHECK")</f>
        <v>0.11</v>
      </c>
      <c r="J195" t="str">
        <f>IFERROR(VLOOKUP(OrderLines[[#This Row],[OrderID]],Orders[],MATCH(OrderLines[[#Headers],[Shift]],Orders[#Headers],0),FALSE),"CHECK")</f>
        <v>Lunch</v>
      </c>
      <c r="K195" s="11">
        <f>OrderLines[[#This Row],[Qty]] * OrderLines[[#This Row],[UnitPrice]] * (1-OrderLines[[#This Row],[DiscountPct]])</f>
        <v>62.780600000000007</v>
      </c>
      <c r="L195">
        <f>OrderLines[[#This Row],[Qty]]*OrderLines[[#This Row],[UnitCost]]</f>
        <v>35.81</v>
      </c>
    </row>
    <row r="196" spans="1:12" x14ac:dyDescent="0.25">
      <c r="A196" t="s">
        <v>115</v>
      </c>
      <c r="B196" t="s">
        <v>419</v>
      </c>
      <c r="C196">
        <v>1</v>
      </c>
      <c r="D196" s="9">
        <f>IFERROR(VLOOKUP($B196,Menu[],MATCH(D$1,Menu[#Headers],0),FALSE),"CHECK")</f>
        <v>50.19</v>
      </c>
      <c r="E196" s="9">
        <f>IFERROR(VLOOKUP($B196,Menu[],MATCH(E$1,Menu[#Headers],0),FALSE),"CHECK")</f>
        <v>22.61</v>
      </c>
      <c r="F196" t="str">
        <f>IFERROR(VLOOKUP($B196,Menu[],MATCH(F$1,Menu[#Headers],0),FALSE),"CHECK")</f>
        <v>Snack</v>
      </c>
      <c r="G196" s="7">
        <f>IFERROR(INT(VLOOKUP($A196,Orders[],MATCH("OrderDateTime",Orders[#Headers],0),FALSE)),"CHECK")</f>
        <v>45852</v>
      </c>
      <c r="H196" s="7" t="str">
        <f>IFERROR(VLOOKUP($A196,Orders[],MATCH(H$1,Orders[#Headers],0),FALSE),"CHECK")</f>
        <v>Plant 1 Canteen</v>
      </c>
      <c r="I196">
        <f>IFERROR(VLOOKUP(OrderLines[[#This Row],[OrderID]],Orders[],MATCH(OrderLines[[#Headers],[DiscountPct]],Orders[#Headers],0),FALSE),"CHECK")</f>
        <v>0.09</v>
      </c>
      <c r="J196" t="str">
        <f>IFERROR(VLOOKUP(OrderLines[[#This Row],[OrderID]],Orders[],MATCH(OrderLines[[#Headers],[Shift]],Orders[#Headers],0),FALSE),"CHECK")</f>
        <v>Dinner</v>
      </c>
      <c r="K196" s="11">
        <f>OrderLines[[#This Row],[Qty]] * OrderLines[[#This Row],[UnitPrice]] * (1-OrderLines[[#This Row],[DiscountPct]])</f>
        <v>45.672899999999998</v>
      </c>
      <c r="L196">
        <f>OrderLines[[#This Row],[Qty]]*OrderLines[[#This Row],[UnitCost]]</f>
        <v>22.61</v>
      </c>
    </row>
    <row r="197" spans="1:12" x14ac:dyDescent="0.25">
      <c r="A197" t="s">
        <v>115</v>
      </c>
      <c r="B197" t="s">
        <v>404</v>
      </c>
      <c r="C197">
        <v>3</v>
      </c>
      <c r="D197" s="9">
        <f>IFERROR(VLOOKUP($B197,Menu[],MATCH(D$1,Menu[#Headers],0),FALSE),"CHECK")</f>
        <v>32.979999999999997</v>
      </c>
      <c r="E197" s="9">
        <f>IFERROR(VLOOKUP($B197,Menu[],MATCH(E$1,Menu[#Headers],0),FALSE),"CHECK")</f>
        <v>11.84</v>
      </c>
      <c r="F197" t="str">
        <f>IFERROR(VLOOKUP($B197,Menu[],MATCH(F$1,Menu[#Headers],0),FALSE),"CHECK")</f>
        <v>Beverage</v>
      </c>
      <c r="G197" s="7">
        <f>IFERROR(INT(VLOOKUP($A197,Orders[],MATCH("OrderDateTime",Orders[#Headers],0),FALSE)),"CHECK")</f>
        <v>45852</v>
      </c>
      <c r="H197" s="7" t="str">
        <f>IFERROR(VLOOKUP($A197,Orders[],MATCH(H$1,Orders[#Headers],0),FALSE),"CHECK")</f>
        <v>Plant 1 Canteen</v>
      </c>
      <c r="I197">
        <f>IFERROR(VLOOKUP(OrderLines[[#This Row],[OrderID]],Orders[],MATCH(OrderLines[[#Headers],[DiscountPct]],Orders[#Headers],0),FALSE),"CHECK")</f>
        <v>0.09</v>
      </c>
      <c r="J197" t="str">
        <f>IFERROR(VLOOKUP(OrderLines[[#This Row],[OrderID]],Orders[],MATCH(OrderLines[[#Headers],[Shift]],Orders[#Headers],0),FALSE),"CHECK")</f>
        <v>Dinner</v>
      </c>
      <c r="K197" s="11">
        <f>OrderLines[[#This Row],[Qty]] * OrderLines[[#This Row],[UnitPrice]] * (1-OrderLines[[#This Row],[DiscountPct]])</f>
        <v>90.035399999999996</v>
      </c>
      <c r="L197">
        <f>OrderLines[[#This Row],[Qty]]*OrderLines[[#This Row],[UnitCost]]</f>
        <v>35.519999999999996</v>
      </c>
    </row>
    <row r="198" spans="1:12" x14ac:dyDescent="0.25">
      <c r="A198" t="s">
        <v>116</v>
      </c>
      <c r="B198" t="s">
        <v>406</v>
      </c>
      <c r="C198">
        <v>1</v>
      </c>
      <c r="D198" s="9">
        <f>IFERROR(VLOOKUP($B198,Menu[],MATCH(D$1,Menu[#Headers],0),FALSE),"CHECK")</f>
        <v>38.06</v>
      </c>
      <c r="E198" s="9">
        <f>IFERROR(VLOOKUP($B198,Menu[],MATCH(E$1,Menu[#Headers],0),FALSE),"CHECK")</f>
        <v>19.55</v>
      </c>
      <c r="F198" t="str">
        <f>IFERROR(VLOOKUP($B198,Menu[],MATCH(F$1,Menu[#Headers],0),FALSE),"CHECK")</f>
        <v>Snack</v>
      </c>
      <c r="G198" s="7">
        <f>IFERROR(INT(VLOOKUP($A198,Orders[],MATCH("OrderDateTime",Orders[#Headers],0),FALSE)),"CHECK")</f>
        <v>45860</v>
      </c>
      <c r="H198" s="7" t="str">
        <f>IFERROR(VLOOKUP($A198,Orders[],MATCH(H$1,Orders[#Headers],0),FALSE),"CHECK")</f>
        <v>Plant 1 Canteen</v>
      </c>
      <c r="I198">
        <f>IFERROR(VLOOKUP(OrderLines[[#This Row],[OrderID]],Orders[],MATCH(OrderLines[[#Headers],[DiscountPct]],Orders[#Headers],0),FALSE),"CHECK")</f>
        <v>0.09</v>
      </c>
      <c r="J198" t="str">
        <f>IFERROR(VLOOKUP(OrderLines[[#This Row],[OrderID]],Orders[],MATCH(OrderLines[[#Headers],[Shift]],Orders[#Headers],0),FALSE),"CHECK")</f>
        <v>Breakfast</v>
      </c>
      <c r="K198" s="11">
        <f>OrderLines[[#This Row],[Qty]] * OrderLines[[#This Row],[UnitPrice]] * (1-OrderLines[[#This Row],[DiscountPct]])</f>
        <v>34.634600000000006</v>
      </c>
      <c r="L198">
        <f>OrderLines[[#This Row],[Qty]]*OrderLines[[#This Row],[UnitCost]]</f>
        <v>19.55</v>
      </c>
    </row>
    <row r="199" spans="1:12" x14ac:dyDescent="0.25">
      <c r="A199" t="s">
        <v>116</v>
      </c>
      <c r="B199" t="s">
        <v>409</v>
      </c>
      <c r="C199">
        <v>2</v>
      </c>
      <c r="D199" s="9">
        <f>IFERROR(VLOOKUP($B199,Menu[],MATCH(D$1,Menu[#Headers],0),FALSE),"CHECK")</f>
        <v>28.43</v>
      </c>
      <c r="E199" s="9">
        <f>IFERROR(VLOOKUP($B199,Menu[],MATCH(E$1,Menu[#Headers],0),FALSE),"CHECK")</f>
        <v>13.89</v>
      </c>
      <c r="F199" t="str">
        <f>IFERROR(VLOOKUP($B199,Menu[],MATCH(F$1,Menu[#Headers],0),FALSE),"CHECK")</f>
        <v>Beverage</v>
      </c>
      <c r="G199" s="7">
        <f>IFERROR(INT(VLOOKUP($A199,Orders[],MATCH("OrderDateTime",Orders[#Headers],0),FALSE)),"CHECK")</f>
        <v>45860</v>
      </c>
      <c r="H199" s="7" t="str">
        <f>IFERROR(VLOOKUP($A199,Orders[],MATCH(H$1,Orders[#Headers],0),FALSE),"CHECK")</f>
        <v>Plant 1 Canteen</v>
      </c>
      <c r="I199">
        <f>IFERROR(VLOOKUP(OrderLines[[#This Row],[OrderID]],Orders[],MATCH(OrderLines[[#Headers],[DiscountPct]],Orders[#Headers],0),FALSE),"CHECK")</f>
        <v>0.09</v>
      </c>
      <c r="J199" t="str">
        <f>IFERROR(VLOOKUP(OrderLines[[#This Row],[OrderID]],Orders[],MATCH(OrderLines[[#Headers],[Shift]],Orders[#Headers],0),FALSE),"CHECK")</f>
        <v>Breakfast</v>
      </c>
      <c r="K199" s="11">
        <f>OrderLines[[#This Row],[Qty]] * OrderLines[[#This Row],[UnitPrice]] * (1-OrderLines[[#This Row],[DiscountPct]])</f>
        <v>51.742600000000003</v>
      </c>
      <c r="L199">
        <f>OrderLines[[#This Row],[Qty]]*OrderLines[[#This Row],[UnitCost]]</f>
        <v>27.78</v>
      </c>
    </row>
    <row r="200" spans="1:12" x14ac:dyDescent="0.25">
      <c r="A200" t="s">
        <v>117</v>
      </c>
      <c r="B200" t="s">
        <v>411</v>
      </c>
      <c r="C200">
        <v>2</v>
      </c>
      <c r="D200" s="9">
        <f>IFERROR(VLOOKUP($B200,Menu[],MATCH(D$1,Menu[#Headers],0),FALSE),"CHECK")</f>
        <v>22.2</v>
      </c>
      <c r="E200" s="9">
        <f>IFERROR(VLOOKUP($B200,Menu[],MATCH(E$1,Menu[#Headers],0),FALSE),"CHECK")</f>
        <v>9.3800000000000008</v>
      </c>
      <c r="F200" t="str">
        <f>IFERROR(VLOOKUP($B200,Menu[],MATCH(F$1,Menu[#Headers],0),FALSE),"CHECK")</f>
        <v>Beverage</v>
      </c>
      <c r="G200" s="7">
        <f>IFERROR(INT(VLOOKUP($A200,Orders[],MATCH("OrderDateTime",Orders[#Headers],0),FALSE)),"CHECK")</f>
        <v>45891</v>
      </c>
      <c r="H200" s="7" t="str">
        <f>IFERROR(VLOOKUP($A200,Orders[],MATCH(H$1,Orders[#Headers],0),FALSE),"CHECK")</f>
        <v>Plant 2 Canteen</v>
      </c>
      <c r="I200">
        <f>IFERROR(VLOOKUP(OrderLines[[#This Row],[OrderID]],Orders[],MATCH(OrderLines[[#Headers],[DiscountPct]],Orders[#Headers],0),FALSE),"CHECK")</f>
        <v>0.02</v>
      </c>
      <c r="J200" t="str">
        <f>IFERROR(VLOOKUP(OrderLines[[#This Row],[OrderID]],Orders[],MATCH(OrderLines[[#Headers],[Shift]],Orders[#Headers],0),FALSE),"CHECK")</f>
        <v>Dinner</v>
      </c>
      <c r="K200" s="11">
        <f>OrderLines[[#This Row],[Qty]] * OrderLines[[#This Row],[UnitPrice]] * (1-OrderLines[[#This Row],[DiscountPct]])</f>
        <v>43.512</v>
      </c>
      <c r="L200">
        <f>OrderLines[[#This Row],[Qty]]*OrderLines[[#This Row],[UnitCost]]</f>
        <v>18.760000000000002</v>
      </c>
    </row>
    <row r="201" spans="1:12" x14ac:dyDescent="0.25">
      <c r="A201" t="s">
        <v>117</v>
      </c>
      <c r="B201" t="s">
        <v>404</v>
      </c>
      <c r="C201">
        <v>2</v>
      </c>
      <c r="D201" s="9">
        <f>IFERROR(VLOOKUP($B201,Menu[],MATCH(D$1,Menu[#Headers],0),FALSE),"CHECK")</f>
        <v>32.979999999999997</v>
      </c>
      <c r="E201" s="9">
        <f>IFERROR(VLOOKUP($B201,Menu[],MATCH(E$1,Menu[#Headers],0),FALSE),"CHECK")</f>
        <v>11.84</v>
      </c>
      <c r="F201" t="str">
        <f>IFERROR(VLOOKUP($B201,Menu[],MATCH(F$1,Menu[#Headers],0),FALSE),"CHECK")</f>
        <v>Beverage</v>
      </c>
      <c r="G201" s="7">
        <f>IFERROR(INT(VLOOKUP($A201,Orders[],MATCH("OrderDateTime",Orders[#Headers],0),FALSE)),"CHECK")</f>
        <v>45891</v>
      </c>
      <c r="H201" s="7" t="str">
        <f>IFERROR(VLOOKUP($A201,Orders[],MATCH(H$1,Orders[#Headers],0),FALSE),"CHECK")</f>
        <v>Plant 2 Canteen</v>
      </c>
      <c r="I201">
        <f>IFERROR(VLOOKUP(OrderLines[[#This Row],[OrderID]],Orders[],MATCH(OrderLines[[#Headers],[DiscountPct]],Orders[#Headers],0),FALSE),"CHECK")</f>
        <v>0.02</v>
      </c>
      <c r="J201" t="str">
        <f>IFERROR(VLOOKUP(OrderLines[[#This Row],[OrderID]],Orders[],MATCH(OrderLines[[#Headers],[Shift]],Orders[#Headers],0),FALSE),"CHECK")</f>
        <v>Dinner</v>
      </c>
      <c r="K201" s="11">
        <f>OrderLines[[#This Row],[Qty]] * OrderLines[[#This Row],[UnitPrice]] * (1-OrderLines[[#This Row],[DiscountPct]])</f>
        <v>64.640799999999999</v>
      </c>
      <c r="L201">
        <f>OrderLines[[#This Row],[Qty]]*OrderLines[[#This Row],[UnitCost]]</f>
        <v>23.68</v>
      </c>
    </row>
    <row r="202" spans="1:12" x14ac:dyDescent="0.25">
      <c r="A202" t="s">
        <v>117</v>
      </c>
      <c r="B202" t="s">
        <v>415</v>
      </c>
      <c r="C202">
        <v>1</v>
      </c>
      <c r="D202" s="9">
        <f>IFERROR(VLOOKUP($B202,Menu[],MATCH(D$1,Menu[#Headers],0),FALSE),"CHECK")</f>
        <v>256.91000000000003</v>
      </c>
      <c r="E202" s="9">
        <f>IFERROR(VLOOKUP($B202,Menu[],MATCH(E$1,Menu[#Headers],0),FALSE),"CHECK")</f>
        <v>121.24</v>
      </c>
      <c r="F202" t="str">
        <f>IFERROR(VLOOKUP($B202,Menu[],MATCH(F$1,Menu[#Headers],0),FALSE),"CHECK")</f>
        <v>Hot Meal</v>
      </c>
      <c r="G202" s="7">
        <f>IFERROR(INT(VLOOKUP($A202,Orders[],MATCH("OrderDateTime",Orders[#Headers],0),FALSE)),"CHECK")</f>
        <v>45891</v>
      </c>
      <c r="H202" s="7" t="str">
        <f>IFERROR(VLOOKUP($A202,Orders[],MATCH(H$1,Orders[#Headers],0),FALSE),"CHECK")</f>
        <v>Plant 2 Canteen</v>
      </c>
      <c r="I202">
        <f>IFERROR(VLOOKUP(OrderLines[[#This Row],[OrderID]],Orders[],MATCH(OrderLines[[#Headers],[DiscountPct]],Orders[#Headers],0),FALSE),"CHECK")</f>
        <v>0.02</v>
      </c>
      <c r="J202" t="str">
        <f>IFERROR(VLOOKUP(OrderLines[[#This Row],[OrderID]],Orders[],MATCH(OrderLines[[#Headers],[Shift]],Orders[#Headers],0),FALSE),"CHECK")</f>
        <v>Dinner</v>
      </c>
      <c r="K202" s="11">
        <f>OrderLines[[#This Row],[Qty]] * OrderLines[[#This Row],[UnitPrice]] * (1-OrderLines[[#This Row],[DiscountPct]])</f>
        <v>251.77180000000001</v>
      </c>
      <c r="L202">
        <f>OrderLines[[#This Row],[Qty]]*OrderLines[[#This Row],[UnitCost]]</f>
        <v>121.24</v>
      </c>
    </row>
    <row r="203" spans="1:12" x14ac:dyDescent="0.25">
      <c r="A203" t="s">
        <v>117</v>
      </c>
      <c r="B203" t="s">
        <v>402</v>
      </c>
      <c r="C203">
        <v>2</v>
      </c>
      <c r="D203" s="9">
        <f>IFERROR(VLOOKUP($B203,Menu[],MATCH(D$1,Menu[#Headers],0),FALSE),"CHECK")</f>
        <v>30.34</v>
      </c>
      <c r="E203" s="9">
        <f>IFERROR(VLOOKUP($B203,Menu[],MATCH(E$1,Menu[#Headers],0),FALSE),"CHECK")</f>
        <v>14.18</v>
      </c>
      <c r="F203" t="str">
        <f>IFERROR(VLOOKUP($B203,Menu[],MATCH(F$1,Menu[#Headers],0),FALSE),"CHECK")</f>
        <v>Beverage</v>
      </c>
      <c r="G203" s="7">
        <f>IFERROR(INT(VLOOKUP($A203,Orders[],MATCH("OrderDateTime",Orders[#Headers],0),FALSE)),"CHECK")</f>
        <v>45891</v>
      </c>
      <c r="H203" s="7" t="str">
        <f>IFERROR(VLOOKUP($A203,Orders[],MATCH(H$1,Orders[#Headers],0),FALSE),"CHECK")</f>
        <v>Plant 2 Canteen</v>
      </c>
      <c r="I203">
        <f>IFERROR(VLOOKUP(OrderLines[[#This Row],[OrderID]],Orders[],MATCH(OrderLines[[#Headers],[DiscountPct]],Orders[#Headers],0),FALSE),"CHECK")</f>
        <v>0.02</v>
      </c>
      <c r="J203" t="str">
        <f>IFERROR(VLOOKUP(OrderLines[[#This Row],[OrderID]],Orders[],MATCH(OrderLines[[#Headers],[Shift]],Orders[#Headers],0),FALSE),"CHECK")</f>
        <v>Dinner</v>
      </c>
      <c r="K203" s="11">
        <f>OrderLines[[#This Row],[Qty]] * OrderLines[[#This Row],[UnitPrice]] * (1-OrderLines[[#This Row],[DiscountPct]])</f>
        <v>59.4664</v>
      </c>
      <c r="L203">
        <f>OrderLines[[#This Row],[Qty]]*OrderLines[[#This Row],[UnitCost]]</f>
        <v>28.36</v>
      </c>
    </row>
    <row r="204" spans="1:12" x14ac:dyDescent="0.25">
      <c r="A204" t="s">
        <v>118</v>
      </c>
      <c r="B204" t="s">
        <v>419</v>
      </c>
      <c r="C204">
        <v>1</v>
      </c>
      <c r="D204" s="9">
        <f>IFERROR(VLOOKUP($B204,Menu[],MATCH(D$1,Menu[#Headers],0),FALSE),"CHECK")</f>
        <v>50.19</v>
      </c>
      <c r="E204" s="9">
        <f>IFERROR(VLOOKUP($B204,Menu[],MATCH(E$1,Menu[#Headers],0),FALSE),"CHECK")</f>
        <v>22.61</v>
      </c>
      <c r="F204" t="str">
        <f>IFERROR(VLOOKUP($B204,Menu[],MATCH(F$1,Menu[#Headers],0),FALSE),"CHECK")</f>
        <v>Snack</v>
      </c>
      <c r="G204" s="7">
        <f>IFERROR(INT(VLOOKUP($A204,Orders[],MATCH("OrderDateTime",Orders[#Headers],0),FALSE)),"CHECK")</f>
        <v>45880</v>
      </c>
      <c r="H204" s="7" t="str">
        <f>IFERROR(VLOOKUP($A204,Orders[],MATCH(H$1,Orders[#Headers],0),FALSE),"CHECK")</f>
        <v>Plant 2 Canteen</v>
      </c>
      <c r="I204">
        <f>IFERROR(VLOOKUP(OrderLines[[#This Row],[OrderID]],Orders[],MATCH(OrderLines[[#Headers],[DiscountPct]],Orders[#Headers],0),FALSE),"CHECK")</f>
        <v>0.12</v>
      </c>
      <c r="J204" t="str">
        <f>IFERROR(VLOOKUP(OrderLines[[#This Row],[OrderID]],Orders[],MATCH(OrderLines[[#Headers],[Shift]],Orders[#Headers],0),FALSE),"CHECK")</f>
        <v>Breakfast</v>
      </c>
      <c r="K204" s="11">
        <f>OrderLines[[#This Row],[Qty]] * OrderLines[[#This Row],[UnitPrice]] * (1-OrderLines[[#This Row],[DiscountPct]])</f>
        <v>44.167200000000001</v>
      </c>
      <c r="L204">
        <f>OrderLines[[#This Row],[Qty]]*OrderLines[[#This Row],[UnitCost]]</f>
        <v>22.61</v>
      </c>
    </row>
    <row r="205" spans="1:12" x14ac:dyDescent="0.25">
      <c r="A205" t="s">
        <v>119</v>
      </c>
      <c r="B205" t="s">
        <v>418</v>
      </c>
      <c r="C205">
        <v>3</v>
      </c>
      <c r="D205" s="9">
        <f>IFERROR(VLOOKUP($B205,Menu[],MATCH(D$1,Menu[#Headers],0),FALSE),"CHECK")</f>
        <v>39.950000000000003</v>
      </c>
      <c r="E205" s="9">
        <f>IFERROR(VLOOKUP($B205,Menu[],MATCH(E$1,Menu[#Headers],0),FALSE),"CHECK")</f>
        <v>15.51</v>
      </c>
      <c r="F205" t="str">
        <f>IFERROR(VLOOKUP($B205,Menu[],MATCH(F$1,Menu[#Headers],0),FALSE),"CHECK")</f>
        <v>Snack</v>
      </c>
      <c r="G205" s="7">
        <f>IFERROR(INT(VLOOKUP($A205,Orders[],MATCH("OrderDateTime",Orders[#Headers],0),FALSE)),"CHECK")</f>
        <v>45895</v>
      </c>
      <c r="H205" s="7" t="str">
        <f>IFERROR(VLOOKUP($A205,Orders[],MATCH(H$1,Orders[#Headers],0),FALSE),"CHECK")</f>
        <v>Plant 2 Canteen</v>
      </c>
      <c r="I205">
        <f>IFERROR(VLOOKUP(OrderLines[[#This Row],[OrderID]],Orders[],MATCH(OrderLines[[#Headers],[DiscountPct]],Orders[#Headers],0),FALSE),"CHECK")</f>
        <v>0</v>
      </c>
      <c r="J205" t="str">
        <f>IFERROR(VLOOKUP(OrderLines[[#This Row],[OrderID]],Orders[],MATCH(OrderLines[[#Headers],[Shift]],Orders[#Headers],0),FALSE),"CHECK")</f>
        <v>Breakfast</v>
      </c>
      <c r="K205" s="11">
        <f>OrderLines[[#This Row],[Qty]] * OrderLines[[#This Row],[UnitPrice]] * (1-OrderLines[[#This Row],[DiscountPct]])</f>
        <v>119.85000000000001</v>
      </c>
      <c r="L205">
        <f>OrderLines[[#This Row],[Qty]]*OrderLines[[#This Row],[UnitCost]]</f>
        <v>46.53</v>
      </c>
    </row>
    <row r="206" spans="1:12" x14ac:dyDescent="0.25">
      <c r="A206" t="s">
        <v>120</v>
      </c>
      <c r="B206" t="s">
        <v>402</v>
      </c>
      <c r="C206">
        <v>1</v>
      </c>
      <c r="D206" s="9">
        <f>IFERROR(VLOOKUP($B206,Menu[],MATCH(D$1,Menu[#Headers],0),FALSE),"CHECK")</f>
        <v>30.34</v>
      </c>
      <c r="E206" s="9">
        <f>IFERROR(VLOOKUP($B206,Menu[],MATCH(E$1,Menu[#Headers],0),FALSE),"CHECK")</f>
        <v>14.18</v>
      </c>
      <c r="F206" t="str">
        <f>IFERROR(VLOOKUP($B206,Menu[],MATCH(F$1,Menu[#Headers],0),FALSE),"CHECK")</f>
        <v>Beverage</v>
      </c>
      <c r="G206" s="7">
        <f>IFERROR(INT(VLOOKUP($A206,Orders[],MATCH("OrderDateTime",Orders[#Headers],0),FALSE)),"CHECK")</f>
        <v>45868</v>
      </c>
      <c r="H206" s="7" t="str">
        <f>IFERROR(VLOOKUP($A206,Orders[],MATCH(H$1,Orders[#Headers],0),FALSE),"CHECK")</f>
        <v>Plant 2 Canteen</v>
      </c>
      <c r="I206">
        <f>IFERROR(VLOOKUP(OrderLines[[#This Row],[OrderID]],Orders[],MATCH(OrderLines[[#Headers],[DiscountPct]],Orders[#Headers],0),FALSE),"CHECK")</f>
        <v>0.08</v>
      </c>
      <c r="J206" t="str">
        <f>IFERROR(VLOOKUP(OrderLines[[#This Row],[OrderID]],Orders[],MATCH(OrderLines[[#Headers],[Shift]],Orders[#Headers],0),FALSE),"CHECK")</f>
        <v>Breakfast</v>
      </c>
      <c r="K206" s="11">
        <f>OrderLines[[#This Row],[Qty]] * OrderLines[[#This Row],[UnitPrice]] * (1-OrderLines[[#This Row],[DiscountPct]])</f>
        <v>27.912800000000001</v>
      </c>
      <c r="L206">
        <f>OrderLines[[#This Row],[Qty]]*OrderLines[[#This Row],[UnitCost]]</f>
        <v>14.18</v>
      </c>
    </row>
    <row r="207" spans="1:12" x14ac:dyDescent="0.25">
      <c r="A207" t="s">
        <v>120</v>
      </c>
      <c r="B207" t="s">
        <v>417</v>
      </c>
      <c r="C207">
        <v>2</v>
      </c>
      <c r="D207" s="9">
        <f>IFERROR(VLOOKUP($B207,Menu[],MATCH(D$1,Menu[#Headers],0),FALSE),"CHECK")</f>
        <v>146.4</v>
      </c>
      <c r="E207" s="9">
        <f>IFERROR(VLOOKUP($B207,Menu[],MATCH(E$1,Menu[#Headers],0),FALSE),"CHECK")</f>
        <v>80.92</v>
      </c>
      <c r="F207" t="str">
        <f>IFERROR(VLOOKUP($B207,Menu[],MATCH(F$1,Menu[#Headers],0),FALSE),"CHECK")</f>
        <v>Hot Meal</v>
      </c>
      <c r="G207" s="7">
        <f>IFERROR(INT(VLOOKUP($A207,Orders[],MATCH("OrderDateTime",Orders[#Headers],0),FALSE)),"CHECK")</f>
        <v>45868</v>
      </c>
      <c r="H207" s="7" t="str">
        <f>IFERROR(VLOOKUP($A207,Orders[],MATCH(H$1,Orders[#Headers],0),FALSE),"CHECK")</f>
        <v>Plant 2 Canteen</v>
      </c>
      <c r="I207">
        <f>IFERROR(VLOOKUP(OrderLines[[#This Row],[OrderID]],Orders[],MATCH(OrderLines[[#Headers],[DiscountPct]],Orders[#Headers],0),FALSE),"CHECK")</f>
        <v>0.08</v>
      </c>
      <c r="J207" t="str">
        <f>IFERROR(VLOOKUP(OrderLines[[#This Row],[OrderID]],Orders[],MATCH(OrderLines[[#Headers],[Shift]],Orders[#Headers],0),FALSE),"CHECK")</f>
        <v>Breakfast</v>
      </c>
      <c r="K207" s="11">
        <f>OrderLines[[#This Row],[Qty]] * OrderLines[[#This Row],[UnitPrice]] * (1-OrderLines[[#This Row],[DiscountPct]])</f>
        <v>269.37600000000003</v>
      </c>
      <c r="L207">
        <f>OrderLines[[#This Row],[Qty]]*OrderLines[[#This Row],[UnitCost]]</f>
        <v>161.84</v>
      </c>
    </row>
    <row r="208" spans="1:12" x14ac:dyDescent="0.25">
      <c r="A208" t="s">
        <v>121</v>
      </c>
      <c r="B208" t="s">
        <v>402</v>
      </c>
      <c r="C208">
        <v>1</v>
      </c>
      <c r="D208" s="9">
        <f>IFERROR(VLOOKUP($B208,Menu[],MATCH(D$1,Menu[#Headers],0),FALSE),"CHECK")</f>
        <v>30.34</v>
      </c>
      <c r="E208" s="9">
        <f>IFERROR(VLOOKUP($B208,Menu[],MATCH(E$1,Menu[#Headers],0),FALSE),"CHECK")</f>
        <v>14.18</v>
      </c>
      <c r="F208" t="str">
        <f>IFERROR(VLOOKUP($B208,Menu[],MATCH(F$1,Menu[#Headers],0),FALSE),"CHECK")</f>
        <v>Beverage</v>
      </c>
      <c r="G208" s="7">
        <f>IFERROR(INT(VLOOKUP($A208,Orders[],MATCH("OrderDateTime",Orders[#Headers],0),FALSE)),"CHECK")</f>
        <v>45897</v>
      </c>
      <c r="H208" s="7" t="str">
        <f>IFERROR(VLOOKUP($A208,Orders[],MATCH(H$1,Orders[#Headers],0),FALSE),"CHECK")</f>
        <v>Plant 1 Canteen</v>
      </c>
      <c r="I208">
        <f>IFERROR(VLOOKUP(OrderLines[[#This Row],[OrderID]],Orders[],MATCH(OrderLines[[#Headers],[DiscountPct]],Orders[#Headers],0),FALSE),"CHECK")</f>
        <v>0.15</v>
      </c>
      <c r="J208" t="str">
        <f>IFERROR(VLOOKUP(OrderLines[[#This Row],[OrderID]],Orders[],MATCH(OrderLines[[#Headers],[Shift]],Orders[#Headers],0),FALSE),"CHECK")</f>
        <v>Dinner</v>
      </c>
      <c r="K208" s="11">
        <f>OrderLines[[#This Row],[Qty]] * OrderLines[[#This Row],[UnitPrice]] * (1-OrderLines[[#This Row],[DiscountPct]])</f>
        <v>25.788999999999998</v>
      </c>
      <c r="L208">
        <f>OrderLines[[#This Row],[Qty]]*OrderLines[[#This Row],[UnitCost]]</f>
        <v>14.18</v>
      </c>
    </row>
    <row r="209" spans="1:12" x14ac:dyDescent="0.25">
      <c r="A209" t="s">
        <v>121</v>
      </c>
      <c r="B209" t="s">
        <v>403</v>
      </c>
      <c r="C209">
        <v>2</v>
      </c>
      <c r="D209" s="9">
        <f>IFERROR(VLOOKUP($B209,Menu[],MATCH(D$1,Menu[#Headers],0),FALSE),"CHECK")</f>
        <v>76.55</v>
      </c>
      <c r="E209" s="9">
        <f>IFERROR(VLOOKUP($B209,Menu[],MATCH(E$1,Menu[#Headers],0),FALSE),"CHECK")</f>
        <v>38.229999999999997</v>
      </c>
      <c r="F209" t="str">
        <f>IFERROR(VLOOKUP($B209,Menu[],MATCH(F$1,Menu[#Headers],0),FALSE),"CHECK")</f>
        <v>Dessert</v>
      </c>
      <c r="G209" s="7">
        <f>IFERROR(INT(VLOOKUP($A209,Orders[],MATCH("OrderDateTime",Orders[#Headers],0),FALSE)),"CHECK")</f>
        <v>45897</v>
      </c>
      <c r="H209" s="7" t="str">
        <f>IFERROR(VLOOKUP($A209,Orders[],MATCH(H$1,Orders[#Headers],0),FALSE),"CHECK")</f>
        <v>Plant 1 Canteen</v>
      </c>
      <c r="I209">
        <f>IFERROR(VLOOKUP(OrderLines[[#This Row],[OrderID]],Orders[],MATCH(OrderLines[[#Headers],[DiscountPct]],Orders[#Headers],0),FALSE),"CHECK")</f>
        <v>0.15</v>
      </c>
      <c r="J209" t="str">
        <f>IFERROR(VLOOKUP(OrderLines[[#This Row],[OrderID]],Orders[],MATCH(OrderLines[[#Headers],[Shift]],Orders[#Headers],0),FALSE),"CHECK")</f>
        <v>Dinner</v>
      </c>
      <c r="K209" s="11">
        <f>OrderLines[[#This Row],[Qty]] * OrderLines[[#This Row],[UnitPrice]] * (1-OrderLines[[#This Row],[DiscountPct]])</f>
        <v>130.13499999999999</v>
      </c>
      <c r="L209">
        <f>OrderLines[[#This Row],[Qty]]*OrderLines[[#This Row],[UnitCost]]</f>
        <v>76.459999999999994</v>
      </c>
    </row>
    <row r="210" spans="1:12" x14ac:dyDescent="0.25">
      <c r="A210" t="s">
        <v>121</v>
      </c>
      <c r="B210" t="s">
        <v>401</v>
      </c>
      <c r="C210">
        <v>1</v>
      </c>
      <c r="D210" s="9">
        <f>IFERROR(VLOOKUP($B210,Menu[],MATCH(D$1,Menu[#Headers],0),FALSE),"CHECK")</f>
        <v>52.45</v>
      </c>
      <c r="E210" s="9">
        <f>IFERROR(VLOOKUP($B210,Menu[],MATCH(E$1,Menu[#Headers],0),FALSE),"CHECK")</f>
        <v>25.8</v>
      </c>
      <c r="F210" t="str">
        <f>IFERROR(VLOOKUP($B210,Menu[],MATCH(F$1,Menu[#Headers],0),FALSE),"CHECK")</f>
        <v>Snack</v>
      </c>
      <c r="G210" s="7">
        <f>IFERROR(INT(VLOOKUP($A210,Orders[],MATCH("OrderDateTime",Orders[#Headers],0),FALSE)),"CHECK")</f>
        <v>45897</v>
      </c>
      <c r="H210" s="7" t="str">
        <f>IFERROR(VLOOKUP($A210,Orders[],MATCH(H$1,Orders[#Headers],0),FALSE),"CHECK")</f>
        <v>Plant 1 Canteen</v>
      </c>
      <c r="I210">
        <f>IFERROR(VLOOKUP(OrderLines[[#This Row],[OrderID]],Orders[],MATCH(OrderLines[[#Headers],[DiscountPct]],Orders[#Headers],0),FALSE),"CHECK")</f>
        <v>0.15</v>
      </c>
      <c r="J210" t="str">
        <f>IFERROR(VLOOKUP(OrderLines[[#This Row],[OrderID]],Orders[],MATCH(OrderLines[[#Headers],[Shift]],Orders[#Headers],0),FALSE),"CHECK")</f>
        <v>Dinner</v>
      </c>
      <c r="K210" s="11">
        <f>OrderLines[[#This Row],[Qty]] * OrderLines[[#This Row],[UnitPrice]] * (1-OrderLines[[#This Row],[DiscountPct]])</f>
        <v>44.582500000000003</v>
      </c>
      <c r="L210">
        <f>OrderLines[[#This Row],[Qty]]*OrderLines[[#This Row],[UnitCost]]</f>
        <v>25.8</v>
      </c>
    </row>
    <row r="211" spans="1:12" x14ac:dyDescent="0.25">
      <c r="A211" t="s">
        <v>122</v>
      </c>
      <c r="B211" t="s">
        <v>413</v>
      </c>
      <c r="C211">
        <v>1</v>
      </c>
      <c r="D211" s="9">
        <f>IFERROR(VLOOKUP($B211,Menu[],MATCH(D$1,Menu[#Headers],0),FALSE),"CHECK")</f>
        <v>54.2</v>
      </c>
      <c r="E211" s="9">
        <f>IFERROR(VLOOKUP($B211,Menu[],MATCH(E$1,Menu[#Headers],0),FALSE),"CHECK")</f>
        <v>21.95</v>
      </c>
      <c r="F211" t="str">
        <f>IFERROR(VLOOKUP($B211,Menu[],MATCH(F$1,Menu[#Headers],0),FALSE),"CHECK")</f>
        <v>Dessert</v>
      </c>
      <c r="G211" s="7">
        <f>IFERROR(INT(VLOOKUP($A211,Orders[],MATCH("OrderDateTime",Orders[#Headers],0),FALSE)),"CHECK")</f>
        <v>45881</v>
      </c>
      <c r="H211" s="7" t="str">
        <f>IFERROR(VLOOKUP($A211,Orders[],MATCH(H$1,Orders[#Headers],0),FALSE),"CHECK")</f>
        <v>Plant 2 Canteen</v>
      </c>
      <c r="I211">
        <f>IFERROR(VLOOKUP(OrderLines[[#This Row],[OrderID]],Orders[],MATCH(OrderLines[[#Headers],[DiscountPct]],Orders[#Headers],0),FALSE),"CHECK")</f>
        <v>0.02</v>
      </c>
      <c r="J211" t="str">
        <f>IFERROR(VLOOKUP(OrderLines[[#This Row],[OrderID]],Orders[],MATCH(OrderLines[[#Headers],[Shift]],Orders[#Headers],0),FALSE),"CHECK")</f>
        <v>Lunch</v>
      </c>
      <c r="K211" s="11">
        <f>OrderLines[[#This Row],[Qty]] * OrderLines[[#This Row],[UnitPrice]] * (1-OrderLines[[#This Row],[DiscountPct]])</f>
        <v>53.116</v>
      </c>
      <c r="L211">
        <f>OrderLines[[#This Row],[Qty]]*OrderLines[[#This Row],[UnitCost]]</f>
        <v>21.95</v>
      </c>
    </row>
    <row r="212" spans="1:12" x14ac:dyDescent="0.25">
      <c r="A212" t="s">
        <v>122</v>
      </c>
      <c r="B212" t="s">
        <v>419</v>
      </c>
      <c r="C212">
        <v>2</v>
      </c>
      <c r="D212" s="9">
        <f>IFERROR(VLOOKUP($B212,Menu[],MATCH(D$1,Menu[#Headers],0),FALSE),"CHECK")</f>
        <v>50.19</v>
      </c>
      <c r="E212" s="9">
        <f>IFERROR(VLOOKUP($B212,Menu[],MATCH(E$1,Menu[#Headers],0),FALSE),"CHECK")</f>
        <v>22.61</v>
      </c>
      <c r="F212" t="str">
        <f>IFERROR(VLOOKUP($B212,Menu[],MATCH(F$1,Menu[#Headers],0),FALSE),"CHECK")</f>
        <v>Snack</v>
      </c>
      <c r="G212" s="7">
        <f>IFERROR(INT(VLOOKUP($A212,Orders[],MATCH("OrderDateTime",Orders[#Headers],0),FALSE)),"CHECK")</f>
        <v>45881</v>
      </c>
      <c r="H212" s="7" t="str">
        <f>IFERROR(VLOOKUP($A212,Orders[],MATCH(H$1,Orders[#Headers],0),FALSE),"CHECK")</f>
        <v>Plant 2 Canteen</v>
      </c>
      <c r="I212">
        <f>IFERROR(VLOOKUP(OrderLines[[#This Row],[OrderID]],Orders[],MATCH(OrderLines[[#Headers],[DiscountPct]],Orders[#Headers],0),FALSE),"CHECK")</f>
        <v>0.02</v>
      </c>
      <c r="J212" t="str">
        <f>IFERROR(VLOOKUP(OrderLines[[#This Row],[OrderID]],Orders[],MATCH(OrderLines[[#Headers],[Shift]],Orders[#Headers],0),FALSE),"CHECK")</f>
        <v>Lunch</v>
      </c>
      <c r="K212" s="11">
        <f>OrderLines[[#This Row],[Qty]] * OrderLines[[#This Row],[UnitPrice]] * (1-OrderLines[[#This Row],[DiscountPct]])</f>
        <v>98.372399999999999</v>
      </c>
      <c r="L212">
        <f>OrderLines[[#This Row],[Qty]]*OrderLines[[#This Row],[UnitCost]]</f>
        <v>45.22</v>
      </c>
    </row>
    <row r="213" spans="1:12" x14ac:dyDescent="0.25">
      <c r="A213" t="s">
        <v>123</v>
      </c>
      <c r="B213" t="s">
        <v>404</v>
      </c>
      <c r="C213">
        <v>1</v>
      </c>
      <c r="D213" s="9">
        <f>IFERROR(VLOOKUP($B213,Menu[],MATCH(D$1,Menu[#Headers],0),FALSE),"CHECK")</f>
        <v>32.979999999999997</v>
      </c>
      <c r="E213" s="9">
        <f>IFERROR(VLOOKUP($B213,Menu[],MATCH(E$1,Menu[#Headers],0),FALSE),"CHECK")</f>
        <v>11.84</v>
      </c>
      <c r="F213" t="str">
        <f>IFERROR(VLOOKUP($B213,Menu[],MATCH(F$1,Menu[#Headers],0),FALSE),"CHECK")</f>
        <v>Beverage</v>
      </c>
      <c r="G213" s="7">
        <f>IFERROR(INT(VLOOKUP($A213,Orders[],MATCH("OrderDateTime",Orders[#Headers],0),FALSE)),"CHECK")</f>
        <v>45878</v>
      </c>
      <c r="H213" s="7" t="str">
        <f>IFERROR(VLOOKUP($A213,Orders[],MATCH(H$1,Orders[#Headers],0),FALSE),"CHECK")</f>
        <v>Head Office Café</v>
      </c>
      <c r="I213">
        <f>IFERROR(VLOOKUP(OrderLines[[#This Row],[OrderID]],Orders[],MATCH(OrderLines[[#Headers],[DiscountPct]],Orders[#Headers],0),FALSE),"CHECK")</f>
        <v>0.04</v>
      </c>
      <c r="J213" t="str">
        <f>IFERROR(VLOOKUP(OrderLines[[#This Row],[OrderID]],Orders[],MATCH(OrderLines[[#Headers],[Shift]],Orders[#Headers],0),FALSE),"CHECK")</f>
        <v>Lunch</v>
      </c>
      <c r="K213" s="11">
        <f>OrderLines[[#This Row],[Qty]] * OrderLines[[#This Row],[UnitPrice]] * (1-OrderLines[[#This Row],[DiscountPct]])</f>
        <v>31.660799999999995</v>
      </c>
      <c r="L213">
        <f>OrderLines[[#This Row],[Qty]]*OrderLines[[#This Row],[UnitCost]]</f>
        <v>11.84</v>
      </c>
    </row>
    <row r="214" spans="1:12" x14ac:dyDescent="0.25">
      <c r="A214" t="s">
        <v>123</v>
      </c>
      <c r="B214" t="s">
        <v>403</v>
      </c>
      <c r="C214">
        <v>2</v>
      </c>
      <c r="D214" s="9">
        <f>IFERROR(VLOOKUP($B214,Menu[],MATCH(D$1,Menu[#Headers],0),FALSE),"CHECK")</f>
        <v>76.55</v>
      </c>
      <c r="E214" s="9">
        <f>IFERROR(VLOOKUP($B214,Menu[],MATCH(E$1,Menu[#Headers],0),FALSE),"CHECK")</f>
        <v>38.229999999999997</v>
      </c>
      <c r="F214" t="str">
        <f>IFERROR(VLOOKUP($B214,Menu[],MATCH(F$1,Menu[#Headers],0),FALSE),"CHECK")</f>
        <v>Dessert</v>
      </c>
      <c r="G214" s="7">
        <f>IFERROR(INT(VLOOKUP($A214,Orders[],MATCH("OrderDateTime",Orders[#Headers],0),FALSE)),"CHECK")</f>
        <v>45878</v>
      </c>
      <c r="H214" s="7" t="str">
        <f>IFERROR(VLOOKUP($A214,Orders[],MATCH(H$1,Orders[#Headers],0),FALSE),"CHECK")</f>
        <v>Head Office Café</v>
      </c>
      <c r="I214">
        <f>IFERROR(VLOOKUP(OrderLines[[#This Row],[OrderID]],Orders[],MATCH(OrderLines[[#Headers],[DiscountPct]],Orders[#Headers],0),FALSE),"CHECK")</f>
        <v>0.04</v>
      </c>
      <c r="J214" t="str">
        <f>IFERROR(VLOOKUP(OrderLines[[#This Row],[OrderID]],Orders[],MATCH(OrderLines[[#Headers],[Shift]],Orders[#Headers],0),FALSE),"CHECK")</f>
        <v>Lunch</v>
      </c>
      <c r="K214" s="11">
        <f>OrderLines[[#This Row],[Qty]] * OrderLines[[#This Row],[UnitPrice]] * (1-OrderLines[[#This Row],[DiscountPct]])</f>
        <v>146.976</v>
      </c>
      <c r="L214">
        <f>OrderLines[[#This Row],[Qty]]*OrderLines[[#This Row],[UnitCost]]</f>
        <v>76.459999999999994</v>
      </c>
    </row>
    <row r="215" spans="1:12" x14ac:dyDescent="0.25">
      <c r="A215" t="s">
        <v>124</v>
      </c>
      <c r="B215" t="s">
        <v>401</v>
      </c>
      <c r="C215">
        <v>2</v>
      </c>
      <c r="D215" s="9">
        <f>IFERROR(VLOOKUP($B215,Menu[],MATCH(D$1,Menu[#Headers],0),FALSE),"CHECK")</f>
        <v>52.45</v>
      </c>
      <c r="E215" s="9">
        <f>IFERROR(VLOOKUP($B215,Menu[],MATCH(E$1,Menu[#Headers],0),FALSE),"CHECK")</f>
        <v>25.8</v>
      </c>
      <c r="F215" t="str">
        <f>IFERROR(VLOOKUP($B215,Menu[],MATCH(F$1,Menu[#Headers],0),FALSE),"CHECK")</f>
        <v>Snack</v>
      </c>
      <c r="G215" s="7">
        <f>IFERROR(INT(VLOOKUP($A215,Orders[],MATCH("OrderDateTime",Orders[#Headers],0),FALSE)),"CHECK")</f>
        <v>45891</v>
      </c>
      <c r="H215" s="7" t="str">
        <f>IFERROR(VLOOKUP($A215,Orders[],MATCH(H$1,Orders[#Headers],0),FALSE),"CHECK")</f>
        <v>Plant 1 Canteen</v>
      </c>
      <c r="I215">
        <f>IFERROR(VLOOKUP(OrderLines[[#This Row],[OrderID]],Orders[],MATCH(OrderLines[[#Headers],[DiscountPct]],Orders[#Headers],0),FALSE),"CHECK")</f>
        <v>0.06</v>
      </c>
      <c r="J215" t="str">
        <f>IFERROR(VLOOKUP(OrderLines[[#This Row],[OrderID]],Orders[],MATCH(OrderLines[[#Headers],[Shift]],Orders[#Headers],0),FALSE),"CHECK")</f>
        <v>Breakfast</v>
      </c>
      <c r="K215" s="11">
        <f>OrderLines[[#This Row],[Qty]] * OrderLines[[#This Row],[UnitPrice]] * (1-OrderLines[[#This Row],[DiscountPct]])</f>
        <v>98.605999999999995</v>
      </c>
      <c r="L215">
        <f>OrderLines[[#This Row],[Qty]]*OrderLines[[#This Row],[UnitCost]]</f>
        <v>51.6</v>
      </c>
    </row>
    <row r="216" spans="1:12" x14ac:dyDescent="0.25">
      <c r="A216" t="s">
        <v>124</v>
      </c>
      <c r="B216" t="s">
        <v>411</v>
      </c>
      <c r="C216">
        <v>1</v>
      </c>
      <c r="D216" s="9">
        <f>IFERROR(VLOOKUP($B216,Menu[],MATCH(D$1,Menu[#Headers],0),FALSE),"CHECK")</f>
        <v>22.2</v>
      </c>
      <c r="E216" s="9">
        <f>IFERROR(VLOOKUP($B216,Menu[],MATCH(E$1,Menu[#Headers],0),FALSE),"CHECK")</f>
        <v>9.3800000000000008</v>
      </c>
      <c r="F216" t="str">
        <f>IFERROR(VLOOKUP($B216,Menu[],MATCH(F$1,Menu[#Headers],0),FALSE),"CHECK")</f>
        <v>Beverage</v>
      </c>
      <c r="G216" s="7">
        <f>IFERROR(INT(VLOOKUP($A216,Orders[],MATCH("OrderDateTime",Orders[#Headers],0),FALSE)),"CHECK")</f>
        <v>45891</v>
      </c>
      <c r="H216" s="7" t="str">
        <f>IFERROR(VLOOKUP($A216,Orders[],MATCH(H$1,Orders[#Headers],0),FALSE),"CHECK")</f>
        <v>Plant 1 Canteen</v>
      </c>
      <c r="I216">
        <f>IFERROR(VLOOKUP(OrderLines[[#This Row],[OrderID]],Orders[],MATCH(OrderLines[[#Headers],[DiscountPct]],Orders[#Headers],0),FALSE),"CHECK")</f>
        <v>0.06</v>
      </c>
      <c r="J216" t="str">
        <f>IFERROR(VLOOKUP(OrderLines[[#This Row],[OrderID]],Orders[],MATCH(OrderLines[[#Headers],[Shift]],Orders[#Headers],0),FALSE),"CHECK")</f>
        <v>Breakfast</v>
      </c>
      <c r="K216" s="11">
        <f>OrderLines[[#This Row],[Qty]] * OrderLines[[#This Row],[UnitPrice]] * (1-OrderLines[[#This Row],[DiscountPct]])</f>
        <v>20.867999999999999</v>
      </c>
      <c r="L216">
        <f>OrderLines[[#This Row],[Qty]]*OrderLines[[#This Row],[UnitCost]]</f>
        <v>9.3800000000000008</v>
      </c>
    </row>
    <row r="217" spans="1:12" x14ac:dyDescent="0.25">
      <c r="A217" t="s">
        <v>124</v>
      </c>
      <c r="B217" t="s">
        <v>408</v>
      </c>
      <c r="C217">
        <v>2</v>
      </c>
      <c r="D217" s="9">
        <f>IFERROR(VLOOKUP($B217,Menu[],MATCH(D$1,Menu[#Headers],0),FALSE),"CHECK")</f>
        <v>70.540000000000006</v>
      </c>
      <c r="E217" s="9">
        <f>IFERROR(VLOOKUP($B217,Menu[],MATCH(E$1,Menu[#Headers],0),FALSE),"CHECK")</f>
        <v>35.81</v>
      </c>
      <c r="F217" t="str">
        <f>IFERROR(VLOOKUP($B217,Menu[],MATCH(F$1,Menu[#Headers],0),FALSE),"CHECK")</f>
        <v>Snack</v>
      </c>
      <c r="G217" s="7">
        <f>IFERROR(INT(VLOOKUP($A217,Orders[],MATCH("OrderDateTime",Orders[#Headers],0),FALSE)),"CHECK")</f>
        <v>45891</v>
      </c>
      <c r="H217" s="7" t="str">
        <f>IFERROR(VLOOKUP($A217,Orders[],MATCH(H$1,Orders[#Headers],0),FALSE),"CHECK")</f>
        <v>Plant 1 Canteen</v>
      </c>
      <c r="I217">
        <f>IFERROR(VLOOKUP(OrderLines[[#This Row],[OrderID]],Orders[],MATCH(OrderLines[[#Headers],[DiscountPct]],Orders[#Headers],0),FALSE),"CHECK")</f>
        <v>0.06</v>
      </c>
      <c r="J217" t="str">
        <f>IFERROR(VLOOKUP(OrderLines[[#This Row],[OrderID]],Orders[],MATCH(OrderLines[[#Headers],[Shift]],Orders[#Headers],0),FALSE),"CHECK")</f>
        <v>Breakfast</v>
      </c>
      <c r="K217" s="11">
        <f>OrderLines[[#This Row],[Qty]] * OrderLines[[#This Row],[UnitPrice]] * (1-OrderLines[[#This Row],[DiscountPct]])</f>
        <v>132.61520000000002</v>
      </c>
      <c r="L217">
        <f>OrderLines[[#This Row],[Qty]]*OrderLines[[#This Row],[UnitCost]]</f>
        <v>71.62</v>
      </c>
    </row>
    <row r="218" spans="1:12" x14ac:dyDescent="0.25">
      <c r="A218" t="s">
        <v>125</v>
      </c>
      <c r="B218" t="s">
        <v>416</v>
      </c>
      <c r="C218">
        <v>1</v>
      </c>
      <c r="D218" s="9">
        <f>IFERROR(VLOOKUP($B218,Menu[],MATCH(D$1,Menu[#Headers],0),FALSE),"CHECK")</f>
        <v>227.61</v>
      </c>
      <c r="E218" s="9">
        <f>IFERROR(VLOOKUP($B218,Menu[],MATCH(E$1,Menu[#Headers],0),FALSE),"CHECK")</f>
        <v>96.22</v>
      </c>
      <c r="F218" t="str">
        <f>IFERROR(VLOOKUP($B218,Menu[],MATCH(F$1,Menu[#Headers],0),FALSE),"CHECK")</f>
        <v>Hot Meal</v>
      </c>
      <c r="G218" s="7">
        <f>IFERROR(INT(VLOOKUP($A218,Orders[],MATCH("OrderDateTime",Orders[#Headers],0),FALSE)),"CHECK")</f>
        <v>45847</v>
      </c>
      <c r="H218" s="7" t="str">
        <f>IFERROR(VLOOKUP($A218,Orders[],MATCH(H$1,Orders[#Headers],0),FALSE),"CHECK")</f>
        <v>Head Office Café</v>
      </c>
      <c r="I218">
        <f>IFERROR(VLOOKUP(OrderLines[[#This Row],[OrderID]],Orders[],MATCH(OrderLines[[#Headers],[DiscountPct]],Orders[#Headers],0),FALSE),"CHECK")</f>
        <v>0.04</v>
      </c>
      <c r="J218" t="str">
        <f>IFERROR(VLOOKUP(OrderLines[[#This Row],[OrderID]],Orders[],MATCH(OrderLines[[#Headers],[Shift]],Orders[#Headers],0),FALSE),"CHECK")</f>
        <v>Breakfast</v>
      </c>
      <c r="K218" s="11">
        <f>OrderLines[[#This Row],[Qty]] * OrderLines[[#This Row],[UnitPrice]] * (1-OrderLines[[#This Row],[DiscountPct]])</f>
        <v>218.50560000000002</v>
      </c>
      <c r="L218">
        <f>OrderLines[[#This Row],[Qty]]*OrderLines[[#This Row],[UnitCost]]</f>
        <v>96.22</v>
      </c>
    </row>
    <row r="219" spans="1:12" x14ac:dyDescent="0.25">
      <c r="A219" t="s">
        <v>125</v>
      </c>
      <c r="B219" t="s">
        <v>403</v>
      </c>
      <c r="C219">
        <v>1</v>
      </c>
      <c r="D219" s="9">
        <f>IFERROR(VLOOKUP($B219,Menu[],MATCH(D$1,Menu[#Headers],0),FALSE),"CHECK")</f>
        <v>76.55</v>
      </c>
      <c r="E219" s="9">
        <f>IFERROR(VLOOKUP($B219,Menu[],MATCH(E$1,Menu[#Headers],0),FALSE),"CHECK")</f>
        <v>38.229999999999997</v>
      </c>
      <c r="F219" t="str">
        <f>IFERROR(VLOOKUP($B219,Menu[],MATCH(F$1,Menu[#Headers],0),FALSE),"CHECK")</f>
        <v>Dessert</v>
      </c>
      <c r="G219" s="7">
        <f>IFERROR(INT(VLOOKUP($A219,Orders[],MATCH("OrderDateTime",Orders[#Headers],0),FALSE)),"CHECK")</f>
        <v>45847</v>
      </c>
      <c r="H219" s="7" t="str">
        <f>IFERROR(VLOOKUP($A219,Orders[],MATCH(H$1,Orders[#Headers],0),FALSE),"CHECK")</f>
        <v>Head Office Café</v>
      </c>
      <c r="I219">
        <f>IFERROR(VLOOKUP(OrderLines[[#This Row],[OrderID]],Orders[],MATCH(OrderLines[[#Headers],[DiscountPct]],Orders[#Headers],0),FALSE),"CHECK")</f>
        <v>0.04</v>
      </c>
      <c r="J219" t="str">
        <f>IFERROR(VLOOKUP(OrderLines[[#This Row],[OrderID]],Orders[],MATCH(OrderLines[[#Headers],[Shift]],Orders[#Headers],0),FALSE),"CHECK")</f>
        <v>Breakfast</v>
      </c>
      <c r="K219" s="11">
        <f>OrderLines[[#This Row],[Qty]] * OrderLines[[#This Row],[UnitPrice]] * (1-OrderLines[[#This Row],[DiscountPct]])</f>
        <v>73.488</v>
      </c>
      <c r="L219">
        <f>OrderLines[[#This Row],[Qty]]*OrderLines[[#This Row],[UnitCost]]</f>
        <v>38.229999999999997</v>
      </c>
    </row>
    <row r="220" spans="1:12" x14ac:dyDescent="0.25">
      <c r="A220" t="s">
        <v>126</v>
      </c>
      <c r="B220" t="s">
        <v>418</v>
      </c>
      <c r="C220">
        <v>1</v>
      </c>
      <c r="D220" s="9">
        <f>IFERROR(VLOOKUP($B220,Menu[],MATCH(D$1,Menu[#Headers],0),FALSE),"CHECK")</f>
        <v>39.950000000000003</v>
      </c>
      <c r="E220" s="9">
        <f>IFERROR(VLOOKUP($B220,Menu[],MATCH(E$1,Menu[#Headers],0),FALSE),"CHECK")</f>
        <v>15.51</v>
      </c>
      <c r="F220" t="str">
        <f>IFERROR(VLOOKUP($B220,Menu[],MATCH(F$1,Menu[#Headers],0),FALSE),"CHECK")</f>
        <v>Snack</v>
      </c>
      <c r="G220" s="7">
        <f>IFERROR(INT(VLOOKUP($A220,Orders[],MATCH("OrderDateTime",Orders[#Headers],0),FALSE)),"CHECK")</f>
        <v>45856</v>
      </c>
      <c r="H220" s="7" t="str">
        <f>IFERROR(VLOOKUP($A220,Orders[],MATCH(H$1,Orders[#Headers],0),FALSE),"CHECK")</f>
        <v>Plant 1 Canteen</v>
      </c>
      <c r="I220">
        <f>IFERROR(VLOOKUP(OrderLines[[#This Row],[OrderID]],Orders[],MATCH(OrderLines[[#Headers],[DiscountPct]],Orders[#Headers],0),FALSE),"CHECK")</f>
        <v>0</v>
      </c>
      <c r="J220" t="str">
        <f>IFERROR(VLOOKUP(OrderLines[[#This Row],[OrderID]],Orders[],MATCH(OrderLines[[#Headers],[Shift]],Orders[#Headers],0),FALSE),"CHECK")</f>
        <v>Dinner</v>
      </c>
      <c r="K220" s="11">
        <f>OrderLines[[#This Row],[Qty]] * OrderLines[[#This Row],[UnitPrice]] * (1-OrderLines[[#This Row],[DiscountPct]])</f>
        <v>39.950000000000003</v>
      </c>
      <c r="L220">
        <f>OrderLines[[#This Row],[Qty]]*OrderLines[[#This Row],[UnitCost]]</f>
        <v>15.51</v>
      </c>
    </row>
    <row r="221" spans="1:12" x14ac:dyDescent="0.25">
      <c r="A221" t="s">
        <v>126</v>
      </c>
      <c r="B221" t="s">
        <v>415</v>
      </c>
      <c r="C221">
        <v>2</v>
      </c>
      <c r="D221" s="9">
        <f>IFERROR(VLOOKUP($B221,Menu[],MATCH(D$1,Menu[#Headers],0),FALSE),"CHECK")</f>
        <v>256.91000000000003</v>
      </c>
      <c r="E221" s="9">
        <f>IFERROR(VLOOKUP($B221,Menu[],MATCH(E$1,Menu[#Headers],0),FALSE),"CHECK")</f>
        <v>121.24</v>
      </c>
      <c r="F221" t="str">
        <f>IFERROR(VLOOKUP($B221,Menu[],MATCH(F$1,Menu[#Headers],0),FALSE),"CHECK")</f>
        <v>Hot Meal</v>
      </c>
      <c r="G221" s="7">
        <f>IFERROR(INT(VLOOKUP($A221,Orders[],MATCH("OrderDateTime",Orders[#Headers],0),FALSE)),"CHECK")</f>
        <v>45856</v>
      </c>
      <c r="H221" s="7" t="str">
        <f>IFERROR(VLOOKUP($A221,Orders[],MATCH(H$1,Orders[#Headers],0),FALSE),"CHECK")</f>
        <v>Plant 1 Canteen</v>
      </c>
      <c r="I221">
        <f>IFERROR(VLOOKUP(OrderLines[[#This Row],[OrderID]],Orders[],MATCH(OrderLines[[#Headers],[DiscountPct]],Orders[#Headers],0),FALSE),"CHECK")</f>
        <v>0</v>
      </c>
      <c r="J221" t="str">
        <f>IFERROR(VLOOKUP(OrderLines[[#This Row],[OrderID]],Orders[],MATCH(OrderLines[[#Headers],[Shift]],Orders[#Headers],0),FALSE),"CHECK")</f>
        <v>Dinner</v>
      </c>
      <c r="K221" s="11">
        <f>OrderLines[[#This Row],[Qty]] * OrderLines[[#This Row],[UnitPrice]] * (1-OrderLines[[#This Row],[DiscountPct]])</f>
        <v>513.82000000000005</v>
      </c>
      <c r="L221">
        <f>OrderLines[[#This Row],[Qty]]*OrderLines[[#This Row],[UnitCost]]</f>
        <v>242.48</v>
      </c>
    </row>
    <row r="222" spans="1:12" x14ac:dyDescent="0.25">
      <c r="A222" t="s">
        <v>126</v>
      </c>
      <c r="B222" t="s">
        <v>401</v>
      </c>
      <c r="C222">
        <v>2</v>
      </c>
      <c r="D222" s="9">
        <f>IFERROR(VLOOKUP($B222,Menu[],MATCH(D$1,Menu[#Headers],0),FALSE),"CHECK")</f>
        <v>52.45</v>
      </c>
      <c r="E222" s="9">
        <f>IFERROR(VLOOKUP($B222,Menu[],MATCH(E$1,Menu[#Headers],0),FALSE),"CHECK")</f>
        <v>25.8</v>
      </c>
      <c r="F222" t="str">
        <f>IFERROR(VLOOKUP($B222,Menu[],MATCH(F$1,Menu[#Headers],0),FALSE),"CHECK")</f>
        <v>Snack</v>
      </c>
      <c r="G222" s="7">
        <f>IFERROR(INT(VLOOKUP($A222,Orders[],MATCH("OrderDateTime",Orders[#Headers],0),FALSE)),"CHECK")</f>
        <v>45856</v>
      </c>
      <c r="H222" s="7" t="str">
        <f>IFERROR(VLOOKUP($A222,Orders[],MATCH(H$1,Orders[#Headers],0),FALSE),"CHECK")</f>
        <v>Plant 1 Canteen</v>
      </c>
      <c r="I222">
        <f>IFERROR(VLOOKUP(OrderLines[[#This Row],[OrderID]],Orders[],MATCH(OrderLines[[#Headers],[DiscountPct]],Orders[#Headers],0),FALSE),"CHECK")</f>
        <v>0</v>
      </c>
      <c r="J222" t="str">
        <f>IFERROR(VLOOKUP(OrderLines[[#This Row],[OrderID]],Orders[],MATCH(OrderLines[[#Headers],[Shift]],Orders[#Headers],0),FALSE),"CHECK")</f>
        <v>Dinner</v>
      </c>
      <c r="K222" s="11">
        <f>OrderLines[[#This Row],[Qty]] * OrderLines[[#This Row],[UnitPrice]] * (1-OrderLines[[#This Row],[DiscountPct]])</f>
        <v>104.9</v>
      </c>
      <c r="L222">
        <f>OrderLines[[#This Row],[Qty]]*OrderLines[[#This Row],[UnitCost]]</f>
        <v>51.6</v>
      </c>
    </row>
    <row r="223" spans="1:12" x14ac:dyDescent="0.25">
      <c r="A223" t="s">
        <v>127</v>
      </c>
      <c r="B223" t="s">
        <v>416</v>
      </c>
      <c r="C223">
        <v>3</v>
      </c>
      <c r="D223" s="9">
        <f>IFERROR(VLOOKUP($B223,Menu[],MATCH(D$1,Menu[#Headers],0),FALSE),"CHECK")</f>
        <v>227.61</v>
      </c>
      <c r="E223" s="9">
        <f>IFERROR(VLOOKUP($B223,Menu[],MATCH(E$1,Menu[#Headers],0),FALSE),"CHECK")</f>
        <v>96.22</v>
      </c>
      <c r="F223" t="str">
        <f>IFERROR(VLOOKUP($B223,Menu[],MATCH(F$1,Menu[#Headers],0),FALSE),"CHECK")</f>
        <v>Hot Meal</v>
      </c>
      <c r="G223" s="7">
        <f>IFERROR(INT(VLOOKUP($A223,Orders[],MATCH("OrderDateTime",Orders[#Headers],0),FALSE)),"CHECK")</f>
        <v>45859</v>
      </c>
      <c r="H223" s="7" t="str">
        <f>IFERROR(VLOOKUP($A223,Orders[],MATCH(H$1,Orders[#Headers],0),FALSE),"CHECK")</f>
        <v>Plant 2 Canteen</v>
      </c>
      <c r="I223">
        <f>IFERROR(VLOOKUP(OrderLines[[#This Row],[OrderID]],Orders[],MATCH(OrderLines[[#Headers],[DiscountPct]],Orders[#Headers],0),FALSE),"CHECK")</f>
        <v>0.06</v>
      </c>
      <c r="J223" t="str">
        <f>IFERROR(VLOOKUP(OrderLines[[#This Row],[OrderID]],Orders[],MATCH(OrderLines[[#Headers],[Shift]],Orders[#Headers],0),FALSE),"CHECK")</f>
        <v>Dinner</v>
      </c>
      <c r="K223" s="11">
        <f>OrderLines[[#This Row],[Qty]] * OrderLines[[#This Row],[UnitPrice]] * (1-OrderLines[[#This Row],[DiscountPct]])</f>
        <v>641.86019999999996</v>
      </c>
      <c r="L223">
        <f>OrderLines[[#This Row],[Qty]]*OrderLines[[#This Row],[UnitCost]]</f>
        <v>288.65999999999997</v>
      </c>
    </row>
    <row r="224" spans="1:12" x14ac:dyDescent="0.25">
      <c r="A224" t="s">
        <v>127</v>
      </c>
      <c r="B224" t="s">
        <v>404</v>
      </c>
      <c r="C224">
        <v>1</v>
      </c>
      <c r="D224" s="9">
        <f>IFERROR(VLOOKUP($B224,Menu[],MATCH(D$1,Menu[#Headers],0),FALSE),"CHECK")</f>
        <v>32.979999999999997</v>
      </c>
      <c r="E224" s="9">
        <f>IFERROR(VLOOKUP($B224,Menu[],MATCH(E$1,Menu[#Headers],0),FALSE),"CHECK")</f>
        <v>11.84</v>
      </c>
      <c r="F224" t="str">
        <f>IFERROR(VLOOKUP($B224,Menu[],MATCH(F$1,Menu[#Headers],0),FALSE),"CHECK")</f>
        <v>Beverage</v>
      </c>
      <c r="G224" s="7">
        <f>IFERROR(INT(VLOOKUP($A224,Orders[],MATCH("OrderDateTime",Orders[#Headers],0),FALSE)),"CHECK")</f>
        <v>45859</v>
      </c>
      <c r="H224" s="7" t="str">
        <f>IFERROR(VLOOKUP($A224,Orders[],MATCH(H$1,Orders[#Headers],0),FALSE),"CHECK")</f>
        <v>Plant 2 Canteen</v>
      </c>
      <c r="I224">
        <f>IFERROR(VLOOKUP(OrderLines[[#This Row],[OrderID]],Orders[],MATCH(OrderLines[[#Headers],[DiscountPct]],Orders[#Headers],0),FALSE),"CHECK")</f>
        <v>0.06</v>
      </c>
      <c r="J224" t="str">
        <f>IFERROR(VLOOKUP(OrderLines[[#This Row],[OrderID]],Orders[],MATCH(OrderLines[[#Headers],[Shift]],Orders[#Headers],0),FALSE),"CHECK")</f>
        <v>Dinner</v>
      </c>
      <c r="K224" s="11">
        <f>OrderLines[[#This Row],[Qty]] * OrderLines[[#This Row],[UnitPrice]] * (1-OrderLines[[#This Row],[DiscountPct]])</f>
        <v>31.001199999999994</v>
      </c>
      <c r="L224">
        <f>OrderLines[[#This Row],[Qty]]*OrderLines[[#This Row],[UnitCost]]</f>
        <v>11.84</v>
      </c>
    </row>
    <row r="225" spans="1:12" x14ac:dyDescent="0.25">
      <c r="A225" t="s">
        <v>127</v>
      </c>
      <c r="B225" t="s">
        <v>411</v>
      </c>
      <c r="C225">
        <v>2</v>
      </c>
      <c r="D225" s="9">
        <f>IFERROR(VLOOKUP($B225,Menu[],MATCH(D$1,Menu[#Headers],0),FALSE),"CHECK")</f>
        <v>22.2</v>
      </c>
      <c r="E225" s="9">
        <f>IFERROR(VLOOKUP($B225,Menu[],MATCH(E$1,Menu[#Headers],0),FALSE),"CHECK")</f>
        <v>9.3800000000000008</v>
      </c>
      <c r="F225" t="str">
        <f>IFERROR(VLOOKUP($B225,Menu[],MATCH(F$1,Menu[#Headers],0),FALSE),"CHECK")</f>
        <v>Beverage</v>
      </c>
      <c r="G225" s="7">
        <f>IFERROR(INT(VLOOKUP($A225,Orders[],MATCH("OrderDateTime",Orders[#Headers],0),FALSE)),"CHECK")</f>
        <v>45859</v>
      </c>
      <c r="H225" s="7" t="str">
        <f>IFERROR(VLOOKUP($A225,Orders[],MATCH(H$1,Orders[#Headers],0),FALSE),"CHECK")</f>
        <v>Plant 2 Canteen</v>
      </c>
      <c r="I225">
        <f>IFERROR(VLOOKUP(OrderLines[[#This Row],[OrderID]],Orders[],MATCH(OrderLines[[#Headers],[DiscountPct]],Orders[#Headers],0),FALSE),"CHECK")</f>
        <v>0.06</v>
      </c>
      <c r="J225" t="str">
        <f>IFERROR(VLOOKUP(OrderLines[[#This Row],[OrderID]],Orders[],MATCH(OrderLines[[#Headers],[Shift]],Orders[#Headers],0),FALSE),"CHECK")</f>
        <v>Dinner</v>
      </c>
      <c r="K225" s="11">
        <f>OrderLines[[#This Row],[Qty]] * OrderLines[[#This Row],[UnitPrice]] * (1-OrderLines[[#This Row],[DiscountPct]])</f>
        <v>41.735999999999997</v>
      </c>
      <c r="L225">
        <f>OrderLines[[#This Row],[Qty]]*OrderLines[[#This Row],[UnitCost]]</f>
        <v>18.760000000000002</v>
      </c>
    </row>
    <row r="226" spans="1:12" x14ac:dyDescent="0.25">
      <c r="A226" t="s">
        <v>128</v>
      </c>
      <c r="B226" t="s">
        <v>417</v>
      </c>
      <c r="C226">
        <v>2</v>
      </c>
      <c r="D226" s="9">
        <f>IFERROR(VLOOKUP($B226,Menu[],MATCH(D$1,Menu[#Headers],0),FALSE),"CHECK")</f>
        <v>146.4</v>
      </c>
      <c r="E226" s="9">
        <f>IFERROR(VLOOKUP($B226,Menu[],MATCH(E$1,Menu[#Headers],0),FALSE),"CHECK")</f>
        <v>80.92</v>
      </c>
      <c r="F226" t="str">
        <f>IFERROR(VLOOKUP($B226,Menu[],MATCH(F$1,Menu[#Headers],0),FALSE),"CHECK")</f>
        <v>Hot Meal</v>
      </c>
      <c r="G226" s="7">
        <f>IFERROR(INT(VLOOKUP($A226,Orders[],MATCH("OrderDateTime",Orders[#Headers],0),FALSE)),"CHECK")</f>
        <v>45866</v>
      </c>
      <c r="H226" s="7" t="str">
        <f>IFERROR(VLOOKUP($A226,Orders[],MATCH(H$1,Orders[#Headers],0),FALSE),"CHECK")</f>
        <v>Plant 2 Canteen</v>
      </c>
      <c r="I226">
        <f>IFERROR(VLOOKUP(OrderLines[[#This Row],[OrderID]],Orders[],MATCH(OrderLines[[#Headers],[DiscountPct]],Orders[#Headers],0),FALSE),"CHECK")</f>
        <v>0.02</v>
      </c>
      <c r="J226" t="str">
        <f>IFERROR(VLOOKUP(OrderLines[[#This Row],[OrderID]],Orders[],MATCH(OrderLines[[#Headers],[Shift]],Orders[#Headers],0),FALSE),"CHECK")</f>
        <v>Breakfast</v>
      </c>
      <c r="K226" s="11">
        <f>OrderLines[[#This Row],[Qty]] * OrderLines[[#This Row],[UnitPrice]] * (1-OrderLines[[#This Row],[DiscountPct]])</f>
        <v>286.94400000000002</v>
      </c>
      <c r="L226">
        <f>OrderLines[[#This Row],[Qty]]*OrderLines[[#This Row],[UnitCost]]</f>
        <v>161.84</v>
      </c>
    </row>
    <row r="227" spans="1:12" x14ac:dyDescent="0.25">
      <c r="A227" t="s">
        <v>129</v>
      </c>
      <c r="B227" t="s">
        <v>409</v>
      </c>
      <c r="C227">
        <v>2</v>
      </c>
      <c r="D227" s="9">
        <f>IFERROR(VLOOKUP($B227,Menu[],MATCH(D$1,Menu[#Headers],0),FALSE),"CHECK")</f>
        <v>28.43</v>
      </c>
      <c r="E227" s="9">
        <f>IFERROR(VLOOKUP($B227,Menu[],MATCH(E$1,Menu[#Headers],0),FALSE),"CHECK")</f>
        <v>13.89</v>
      </c>
      <c r="F227" t="str">
        <f>IFERROR(VLOOKUP($B227,Menu[],MATCH(F$1,Menu[#Headers],0),FALSE),"CHECK")</f>
        <v>Beverage</v>
      </c>
      <c r="G227" s="7">
        <f>IFERROR(INT(VLOOKUP($A227,Orders[],MATCH("OrderDateTime",Orders[#Headers],0),FALSE)),"CHECK")</f>
        <v>45841</v>
      </c>
      <c r="H227" s="7" t="str">
        <f>IFERROR(VLOOKUP($A227,Orders[],MATCH(H$1,Orders[#Headers],0),FALSE),"CHECK")</f>
        <v>Head Office Café</v>
      </c>
      <c r="I227">
        <f>IFERROR(VLOOKUP(OrderLines[[#This Row],[OrderID]],Orders[],MATCH(OrderLines[[#Headers],[DiscountPct]],Orders[#Headers],0),FALSE),"CHECK")</f>
        <v>0.08</v>
      </c>
      <c r="J227" t="str">
        <f>IFERROR(VLOOKUP(OrderLines[[#This Row],[OrderID]],Orders[],MATCH(OrderLines[[#Headers],[Shift]],Orders[#Headers],0),FALSE),"CHECK")</f>
        <v>Breakfast</v>
      </c>
      <c r="K227" s="11">
        <f>OrderLines[[#This Row],[Qty]] * OrderLines[[#This Row],[UnitPrice]] * (1-OrderLines[[#This Row],[DiscountPct]])</f>
        <v>52.311199999999999</v>
      </c>
      <c r="L227">
        <f>OrderLines[[#This Row],[Qty]]*OrderLines[[#This Row],[UnitCost]]</f>
        <v>27.78</v>
      </c>
    </row>
    <row r="228" spans="1:12" x14ac:dyDescent="0.25">
      <c r="A228" t="s">
        <v>129</v>
      </c>
      <c r="B228" t="s">
        <v>416</v>
      </c>
      <c r="C228">
        <v>2</v>
      </c>
      <c r="D228" s="9">
        <f>IFERROR(VLOOKUP($B228,Menu[],MATCH(D$1,Menu[#Headers],0),FALSE),"CHECK")</f>
        <v>227.61</v>
      </c>
      <c r="E228" s="9">
        <f>IFERROR(VLOOKUP($B228,Menu[],MATCH(E$1,Menu[#Headers],0),FALSE),"CHECK")</f>
        <v>96.22</v>
      </c>
      <c r="F228" t="str">
        <f>IFERROR(VLOOKUP($B228,Menu[],MATCH(F$1,Menu[#Headers],0),FALSE),"CHECK")</f>
        <v>Hot Meal</v>
      </c>
      <c r="G228" s="7">
        <f>IFERROR(INT(VLOOKUP($A228,Orders[],MATCH("OrderDateTime",Orders[#Headers],0),FALSE)),"CHECK")</f>
        <v>45841</v>
      </c>
      <c r="H228" s="7" t="str">
        <f>IFERROR(VLOOKUP($A228,Orders[],MATCH(H$1,Orders[#Headers],0),FALSE),"CHECK")</f>
        <v>Head Office Café</v>
      </c>
      <c r="I228">
        <f>IFERROR(VLOOKUP(OrderLines[[#This Row],[OrderID]],Orders[],MATCH(OrderLines[[#Headers],[DiscountPct]],Orders[#Headers],0),FALSE),"CHECK")</f>
        <v>0.08</v>
      </c>
      <c r="J228" t="str">
        <f>IFERROR(VLOOKUP(OrderLines[[#This Row],[OrderID]],Orders[],MATCH(OrderLines[[#Headers],[Shift]],Orders[#Headers],0),FALSE),"CHECK")</f>
        <v>Breakfast</v>
      </c>
      <c r="K228" s="11">
        <f>OrderLines[[#This Row],[Qty]] * OrderLines[[#This Row],[UnitPrice]] * (1-OrderLines[[#This Row],[DiscountPct]])</f>
        <v>418.80240000000003</v>
      </c>
      <c r="L228">
        <f>OrderLines[[#This Row],[Qty]]*OrderLines[[#This Row],[UnitCost]]</f>
        <v>192.44</v>
      </c>
    </row>
    <row r="229" spans="1:12" x14ac:dyDescent="0.25">
      <c r="A229" t="s">
        <v>129</v>
      </c>
      <c r="B229" t="s">
        <v>414</v>
      </c>
      <c r="C229">
        <v>2</v>
      </c>
      <c r="D229" s="9">
        <f>IFERROR(VLOOKUP($B229,Menu[],MATCH(D$1,Menu[#Headers],0),FALSE),"CHECK")</f>
        <v>116.8</v>
      </c>
      <c r="E229" s="9">
        <f>IFERROR(VLOOKUP($B229,Menu[],MATCH(E$1,Menu[#Headers],0),FALSE),"CHECK")</f>
        <v>48.97</v>
      </c>
      <c r="F229" t="str">
        <f>IFERROR(VLOOKUP($B229,Menu[],MATCH(F$1,Menu[#Headers],0),FALSE),"CHECK")</f>
        <v>Dessert</v>
      </c>
      <c r="G229" s="7">
        <f>IFERROR(INT(VLOOKUP($A229,Orders[],MATCH("OrderDateTime",Orders[#Headers],0),FALSE)),"CHECK")</f>
        <v>45841</v>
      </c>
      <c r="H229" s="7" t="str">
        <f>IFERROR(VLOOKUP($A229,Orders[],MATCH(H$1,Orders[#Headers],0),FALSE),"CHECK")</f>
        <v>Head Office Café</v>
      </c>
      <c r="I229">
        <f>IFERROR(VLOOKUP(OrderLines[[#This Row],[OrderID]],Orders[],MATCH(OrderLines[[#Headers],[DiscountPct]],Orders[#Headers],0),FALSE),"CHECK")</f>
        <v>0.08</v>
      </c>
      <c r="J229" t="str">
        <f>IFERROR(VLOOKUP(OrderLines[[#This Row],[OrderID]],Orders[],MATCH(OrderLines[[#Headers],[Shift]],Orders[#Headers],0),FALSE),"CHECK")</f>
        <v>Breakfast</v>
      </c>
      <c r="K229" s="11">
        <f>OrderLines[[#This Row],[Qty]] * OrderLines[[#This Row],[UnitPrice]] * (1-OrderLines[[#This Row],[DiscountPct]])</f>
        <v>214.91200000000001</v>
      </c>
      <c r="L229">
        <f>OrderLines[[#This Row],[Qty]]*OrderLines[[#This Row],[UnitCost]]</f>
        <v>97.94</v>
      </c>
    </row>
    <row r="230" spans="1:12" x14ac:dyDescent="0.25">
      <c r="A230" t="s">
        <v>130</v>
      </c>
      <c r="B230" t="s">
        <v>412</v>
      </c>
      <c r="C230">
        <v>2</v>
      </c>
      <c r="D230" s="9">
        <f>IFERROR(VLOOKUP($B230,Menu[],MATCH(D$1,Menu[#Headers],0),FALSE),"CHECK")</f>
        <v>57.07</v>
      </c>
      <c r="E230" s="9">
        <f>IFERROR(VLOOKUP($B230,Menu[],MATCH(E$1,Menu[#Headers],0),FALSE),"CHECK")</f>
        <v>29.14</v>
      </c>
      <c r="F230" t="str">
        <f>IFERROR(VLOOKUP($B230,Menu[],MATCH(F$1,Menu[#Headers],0),FALSE),"CHECK")</f>
        <v>Dessert</v>
      </c>
      <c r="G230" s="7">
        <f>IFERROR(INT(VLOOKUP($A230,Orders[],MATCH("OrderDateTime",Orders[#Headers],0),FALSE)),"CHECK")</f>
        <v>45861</v>
      </c>
      <c r="H230" s="7" t="str">
        <f>IFERROR(VLOOKUP($A230,Orders[],MATCH(H$1,Orders[#Headers],0),FALSE),"CHECK")</f>
        <v>Head Office Café</v>
      </c>
      <c r="I230">
        <f>IFERROR(VLOOKUP(OrderLines[[#This Row],[OrderID]],Orders[],MATCH(OrderLines[[#Headers],[DiscountPct]],Orders[#Headers],0),FALSE),"CHECK")</f>
        <v>0.02</v>
      </c>
      <c r="J230" t="str">
        <f>IFERROR(VLOOKUP(OrderLines[[#This Row],[OrderID]],Orders[],MATCH(OrderLines[[#Headers],[Shift]],Orders[#Headers],0),FALSE),"CHECK")</f>
        <v>Breakfast</v>
      </c>
      <c r="K230" s="11">
        <f>OrderLines[[#This Row],[Qty]] * OrderLines[[#This Row],[UnitPrice]] * (1-OrderLines[[#This Row],[DiscountPct]])</f>
        <v>111.85719999999999</v>
      </c>
      <c r="L230">
        <f>OrderLines[[#This Row],[Qty]]*OrderLines[[#This Row],[UnitCost]]</f>
        <v>58.28</v>
      </c>
    </row>
    <row r="231" spans="1:12" x14ac:dyDescent="0.25">
      <c r="A231" t="s">
        <v>130</v>
      </c>
      <c r="B231" t="s">
        <v>417</v>
      </c>
      <c r="C231">
        <v>2</v>
      </c>
      <c r="D231" s="9">
        <f>IFERROR(VLOOKUP($B231,Menu[],MATCH(D$1,Menu[#Headers],0),FALSE),"CHECK")</f>
        <v>146.4</v>
      </c>
      <c r="E231" s="9">
        <f>IFERROR(VLOOKUP($B231,Menu[],MATCH(E$1,Menu[#Headers],0),FALSE),"CHECK")</f>
        <v>80.92</v>
      </c>
      <c r="F231" t="str">
        <f>IFERROR(VLOOKUP($B231,Menu[],MATCH(F$1,Menu[#Headers],0),FALSE),"CHECK")</f>
        <v>Hot Meal</v>
      </c>
      <c r="G231" s="7">
        <f>IFERROR(INT(VLOOKUP($A231,Orders[],MATCH("OrderDateTime",Orders[#Headers],0),FALSE)),"CHECK")</f>
        <v>45861</v>
      </c>
      <c r="H231" s="7" t="str">
        <f>IFERROR(VLOOKUP($A231,Orders[],MATCH(H$1,Orders[#Headers],0),FALSE),"CHECK")</f>
        <v>Head Office Café</v>
      </c>
      <c r="I231">
        <f>IFERROR(VLOOKUP(OrderLines[[#This Row],[OrderID]],Orders[],MATCH(OrderLines[[#Headers],[DiscountPct]],Orders[#Headers],0),FALSE),"CHECK")</f>
        <v>0.02</v>
      </c>
      <c r="J231" t="str">
        <f>IFERROR(VLOOKUP(OrderLines[[#This Row],[OrderID]],Orders[],MATCH(OrderLines[[#Headers],[Shift]],Orders[#Headers],0),FALSE),"CHECK")</f>
        <v>Breakfast</v>
      </c>
      <c r="K231" s="11">
        <f>OrderLines[[#This Row],[Qty]] * OrderLines[[#This Row],[UnitPrice]] * (1-OrderLines[[#This Row],[DiscountPct]])</f>
        <v>286.94400000000002</v>
      </c>
      <c r="L231">
        <f>OrderLines[[#This Row],[Qty]]*OrderLines[[#This Row],[UnitCost]]</f>
        <v>161.84</v>
      </c>
    </row>
    <row r="232" spans="1:12" x14ac:dyDescent="0.25">
      <c r="A232" t="s">
        <v>131</v>
      </c>
      <c r="B232" t="s">
        <v>419</v>
      </c>
      <c r="C232">
        <v>1</v>
      </c>
      <c r="D232" s="9">
        <f>IFERROR(VLOOKUP($B232,Menu[],MATCH(D$1,Menu[#Headers],0),FALSE),"CHECK")</f>
        <v>50.19</v>
      </c>
      <c r="E232" s="9">
        <f>IFERROR(VLOOKUP($B232,Menu[],MATCH(E$1,Menu[#Headers],0),FALSE),"CHECK")</f>
        <v>22.61</v>
      </c>
      <c r="F232" t="str">
        <f>IFERROR(VLOOKUP($B232,Menu[],MATCH(F$1,Menu[#Headers],0),FALSE),"CHECK")</f>
        <v>Snack</v>
      </c>
      <c r="G232" s="7">
        <f>IFERROR(INT(VLOOKUP($A232,Orders[],MATCH("OrderDateTime",Orders[#Headers],0),FALSE)),"CHECK")</f>
        <v>45842</v>
      </c>
      <c r="H232" s="7" t="str">
        <f>IFERROR(VLOOKUP($A232,Orders[],MATCH(H$1,Orders[#Headers],0),FALSE),"CHECK")</f>
        <v>Plant 1 Canteen</v>
      </c>
      <c r="I232">
        <f>IFERROR(VLOOKUP(OrderLines[[#This Row],[OrderID]],Orders[],MATCH(OrderLines[[#Headers],[DiscountPct]],Orders[#Headers],0),FALSE),"CHECK")</f>
        <v>0.12</v>
      </c>
      <c r="J232" t="str">
        <f>IFERROR(VLOOKUP(OrderLines[[#This Row],[OrderID]],Orders[],MATCH(OrderLines[[#Headers],[Shift]],Orders[#Headers],0),FALSE),"CHECK")</f>
        <v>Breakfast</v>
      </c>
      <c r="K232" s="11">
        <f>OrderLines[[#This Row],[Qty]] * OrderLines[[#This Row],[UnitPrice]] * (1-OrderLines[[#This Row],[DiscountPct]])</f>
        <v>44.167200000000001</v>
      </c>
      <c r="L232">
        <f>OrderLines[[#This Row],[Qty]]*OrderLines[[#This Row],[UnitCost]]</f>
        <v>22.61</v>
      </c>
    </row>
    <row r="233" spans="1:12" x14ac:dyDescent="0.25">
      <c r="A233" t="s">
        <v>131</v>
      </c>
      <c r="B233" t="s">
        <v>414</v>
      </c>
      <c r="C233">
        <v>1</v>
      </c>
      <c r="D233" s="9">
        <f>IFERROR(VLOOKUP($B233,Menu[],MATCH(D$1,Menu[#Headers],0),FALSE),"CHECK")</f>
        <v>116.8</v>
      </c>
      <c r="E233" s="9">
        <f>IFERROR(VLOOKUP($B233,Menu[],MATCH(E$1,Menu[#Headers],0),FALSE),"CHECK")</f>
        <v>48.97</v>
      </c>
      <c r="F233" t="str">
        <f>IFERROR(VLOOKUP($B233,Menu[],MATCH(F$1,Menu[#Headers],0),FALSE),"CHECK")</f>
        <v>Dessert</v>
      </c>
      <c r="G233" s="7">
        <f>IFERROR(INT(VLOOKUP($A233,Orders[],MATCH("OrderDateTime",Orders[#Headers],0),FALSE)),"CHECK")</f>
        <v>45842</v>
      </c>
      <c r="H233" s="7" t="str">
        <f>IFERROR(VLOOKUP($A233,Orders[],MATCH(H$1,Orders[#Headers],0),FALSE),"CHECK")</f>
        <v>Plant 1 Canteen</v>
      </c>
      <c r="I233">
        <f>IFERROR(VLOOKUP(OrderLines[[#This Row],[OrderID]],Orders[],MATCH(OrderLines[[#Headers],[DiscountPct]],Orders[#Headers],0),FALSE),"CHECK")</f>
        <v>0.12</v>
      </c>
      <c r="J233" t="str">
        <f>IFERROR(VLOOKUP(OrderLines[[#This Row],[OrderID]],Orders[],MATCH(OrderLines[[#Headers],[Shift]],Orders[#Headers],0),FALSE),"CHECK")</f>
        <v>Breakfast</v>
      </c>
      <c r="K233" s="11">
        <f>OrderLines[[#This Row],[Qty]] * OrderLines[[#This Row],[UnitPrice]] * (1-OrderLines[[#This Row],[DiscountPct]])</f>
        <v>102.78399999999999</v>
      </c>
      <c r="L233">
        <f>OrderLines[[#This Row],[Qty]]*OrderLines[[#This Row],[UnitCost]]</f>
        <v>48.97</v>
      </c>
    </row>
    <row r="234" spans="1:12" x14ac:dyDescent="0.25">
      <c r="A234" t="s">
        <v>131</v>
      </c>
      <c r="B234" t="s">
        <v>409</v>
      </c>
      <c r="C234">
        <v>1</v>
      </c>
      <c r="D234" s="9">
        <f>IFERROR(VLOOKUP($B234,Menu[],MATCH(D$1,Menu[#Headers],0),FALSE),"CHECK")</f>
        <v>28.43</v>
      </c>
      <c r="E234" s="9">
        <f>IFERROR(VLOOKUP($B234,Menu[],MATCH(E$1,Menu[#Headers],0),FALSE),"CHECK")</f>
        <v>13.89</v>
      </c>
      <c r="F234" t="str">
        <f>IFERROR(VLOOKUP($B234,Menu[],MATCH(F$1,Menu[#Headers],0),FALSE),"CHECK")</f>
        <v>Beverage</v>
      </c>
      <c r="G234" s="7">
        <f>IFERROR(INT(VLOOKUP($A234,Orders[],MATCH("OrderDateTime",Orders[#Headers],0),FALSE)),"CHECK")</f>
        <v>45842</v>
      </c>
      <c r="H234" s="7" t="str">
        <f>IFERROR(VLOOKUP($A234,Orders[],MATCH(H$1,Orders[#Headers],0),FALSE),"CHECK")</f>
        <v>Plant 1 Canteen</v>
      </c>
      <c r="I234">
        <f>IFERROR(VLOOKUP(OrderLines[[#This Row],[OrderID]],Orders[],MATCH(OrderLines[[#Headers],[DiscountPct]],Orders[#Headers],0),FALSE),"CHECK")</f>
        <v>0.12</v>
      </c>
      <c r="J234" t="str">
        <f>IFERROR(VLOOKUP(OrderLines[[#This Row],[OrderID]],Orders[],MATCH(OrderLines[[#Headers],[Shift]],Orders[#Headers],0),FALSE),"CHECK")</f>
        <v>Breakfast</v>
      </c>
      <c r="K234" s="11">
        <f>OrderLines[[#This Row],[Qty]] * OrderLines[[#This Row],[UnitPrice]] * (1-OrderLines[[#This Row],[DiscountPct]])</f>
        <v>25.0184</v>
      </c>
      <c r="L234">
        <f>OrderLines[[#This Row],[Qty]]*OrderLines[[#This Row],[UnitCost]]</f>
        <v>13.89</v>
      </c>
    </row>
    <row r="235" spans="1:12" x14ac:dyDescent="0.25">
      <c r="A235" t="s">
        <v>132</v>
      </c>
      <c r="B235" t="s">
        <v>418</v>
      </c>
      <c r="C235">
        <v>2</v>
      </c>
      <c r="D235" s="9">
        <f>IFERROR(VLOOKUP($B235,Menu[],MATCH(D$1,Menu[#Headers],0),FALSE),"CHECK")</f>
        <v>39.950000000000003</v>
      </c>
      <c r="E235" s="9">
        <f>IFERROR(VLOOKUP($B235,Menu[],MATCH(E$1,Menu[#Headers],0),FALSE),"CHECK")</f>
        <v>15.51</v>
      </c>
      <c r="F235" t="str">
        <f>IFERROR(VLOOKUP($B235,Menu[],MATCH(F$1,Menu[#Headers],0),FALSE),"CHECK")</f>
        <v>Snack</v>
      </c>
      <c r="G235" s="7">
        <f>IFERROR(INT(VLOOKUP($A235,Orders[],MATCH("OrderDateTime",Orders[#Headers],0),FALSE)),"CHECK")</f>
        <v>45862</v>
      </c>
      <c r="H235" s="7" t="str">
        <f>IFERROR(VLOOKUP($A235,Orders[],MATCH(H$1,Orders[#Headers],0),FALSE),"CHECK")</f>
        <v>Plant 1 Canteen</v>
      </c>
      <c r="I235">
        <f>IFERROR(VLOOKUP(OrderLines[[#This Row],[OrderID]],Orders[],MATCH(OrderLines[[#Headers],[DiscountPct]],Orders[#Headers],0),FALSE),"CHECK")</f>
        <v>0.03</v>
      </c>
      <c r="J235" t="str">
        <f>IFERROR(VLOOKUP(OrderLines[[#This Row],[OrderID]],Orders[],MATCH(OrderLines[[#Headers],[Shift]],Orders[#Headers],0),FALSE),"CHECK")</f>
        <v>Breakfast</v>
      </c>
      <c r="K235" s="11">
        <f>OrderLines[[#This Row],[Qty]] * OrderLines[[#This Row],[UnitPrice]] * (1-OrderLines[[#This Row],[DiscountPct]])</f>
        <v>77.503</v>
      </c>
      <c r="L235">
        <f>OrderLines[[#This Row],[Qty]]*OrderLines[[#This Row],[UnitCost]]</f>
        <v>31.02</v>
      </c>
    </row>
    <row r="236" spans="1:12" x14ac:dyDescent="0.25">
      <c r="A236" t="s">
        <v>132</v>
      </c>
      <c r="B236" t="s">
        <v>416</v>
      </c>
      <c r="C236">
        <v>3</v>
      </c>
      <c r="D236" s="9">
        <f>IFERROR(VLOOKUP($B236,Menu[],MATCH(D$1,Menu[#Headers],0),FALSE),"CHECK")</f>
        <v>227.61</v>
      </c>
      <c r="E236" s="9">
        <f>IFERROR(VLOOKUP($B236,Menu[],MATCH(E$1,Menu[#Headers],0),FALSE),"CHECK")</f>
        <v>96.22</v>
      </c>
      <c r="F236" t="str">
        <f>IFERROR(VLOOKUP($B236,Menu[],MATCH(F$1,Menu[#Headers],0),FALSE),"CHECK")</f>
        <v>Hot Meal</v>
      </c>
      <c r="G236" s="7">
        <f>IFERROR(INT(VLOOKUP($A236,Orders[],MATCH("OrderDateTime",Orders[#Headers],0),FALSE)),"CHECK")</f>
        <v>45862</v>
      </c>
      <c r="H236" s="7" t="str">
        <f>IFERROR(VLOOKUP($A236,Orders[],MATCH(H$1,Orders[#Headers],0),FALSE),"CHECK")</f>
        <v>Plant 1 Canteen</v>
      </c>
      <c r="I236">
        <f>IFERROR(VLOOKUP(OrderLines[[#This Row],[OrderID]],Orders[],MATCH(OrderLines[[#Headers],[DiscountPct]],Orders[#Headers],0),FALSE),"CHECK")</f>
        <v>0.03</v>
      </c>
      <c r="J236" t="str">
        <f>IFERROR(VLOOKUP(OrderLines[[#This Row],[OrderID]],Orders[],MATCH(OrderLines[[#Headers],[Shift]],Orders[#Headers],0),FALSE),"CHECK")</f>
        <v>Breakfast</v>
      </c>
      <c r="K236" s="11">
        <f>OrderLines[[#This Row],[Qty]] * OrderLines[[#This Row],[UnitPrice]] * (1-OrderLines[[#This Row],[DiscountPct]])</f>
        <v>662.3451</v>
      </c>
      <c r="L236">
        <f>OrderLines[[#This Row],[Qty]]*OrderLines[[#This Row],[UnitCost]]</f>
        <v>288.65999999999997</v>
      </c>
    </row>
    <row r="237" spans="1:12" x14ac:dyDescent="0.25">
      <c r="A237" t="s">
        <v>133</v>
      </c>
      <c r="B237" t="s">
        <v>407</v>
      </c>
      <c r="C237">
        <v>3</v>
      </c>
      <c r="D237" s="9">
        <f>IFERROR(VLOOKUP($B237,Menu[],MATCH(D$1,Menu[#Headers],0),FALSE),"CHECK")</f>
        <v>246.09</v>
      </c>
      <c r="E237" s="9">
        <f>IFERROR(VLOOKUP($B237,Menu[],MATCH(E$1,Menu[#Headers],0),FALSE),"CHECK")</f>
        <v>112.08</v>
      </c>
      <c r="F237" t="str">
        <f>IFERROR(VLOOKUP($B237,Menu[],MATCH(F$1,Menu[#Headers],0),FALSE),"CHECK")</f>
        <v>Hot Meal</v>
      </c>
      <c r="G237" s="7">
        <f>IFERROR(INT(VLOOKUP($A237,Orders[],MATCH("OrderDateTime",Orders[#Headers],0),FALSE)),"CHECK")</f>
        <v>45894</v>
      </c>
      <c r="H237" s="7" t="str">
        <f>IFERROR(VLOOKUP($A237,Orders[],MATCH(H$1,Orders[#Headers],0),FALSE),"CHECK")</f>
        <v>Plant 1 Canteen</v>
      </c>
      <c r="I237">
        <f>IFERROR(VLOOKUP(OrderLines[[#This Row],[OrderID]],Orders[],MATCH(OrderLines[[#Headers],[DiscountPct]],Orders[#Headers],0),FALSE),"CHECK")</f>
        <v>0.05</v>
      </c>
      <c r="J237" t="str">
        <f>IFERROR(VLOOKUP(OrderLines[[#This Row],[OrderID]],Orders[],MATCH(OrderLines[[#Headers],[Shift]],Orders[#Headers],0),FALSE),"CHECK")</f>
        <v>Breakfast</v>
      </c>
      <c r="K237" s="11">
        <f>OrderLines[[#This Row],[Qty]] * OrderLines[[#This Row],[UnitPrice]] * (1-OrderLines[[#This Row],[DiscountPct]])</f>
        <v>701.35649999999998</v>
      </c>
      <c r="L237">
        <f>OrderLines[[#This Row],[Qty]]*OrderLines[[#This Row],[UnitCost]]</f>
        <v>336.24</v>
      </c>
    </row>
    <row r="238" spans="1:12" x14ac:dyDescent="0.25">
      <c r="A238" t="s">
        <v>133</v>
      </c>
      <c r="B238" t="s">
        <v>413</v>
      </c>
      <c r="C238">
        <v>1</v>
      </c>
      <c r="D238" s="9">
        <f>IFERROR(VLOOKUP($B238,Menu[],MATCH(D$1,Menu[#Headers],0),FALSE),"CHECK")</f>
        <v>54.2</v>
      </c>
      <c r="E238" s="9">
        <f>IFERROR(VLOOKUP($B238,Menu[],MATCH(E$1,Menu[#Headers],0),FALSE),"CHECK")</f>
        <v>21.95</v>
      </c>
      <c r="F238" t="str">
        <f>IFERROR(VLOOKUP($B238,Menu[],MATCH(F$1,Menu[#Headers],0),FALSE),"CHECK")</f>
        <v>Dessert</v>
      </c>
      <c r="G238" s="7">
        <f>IFERROR(INT(VLOOKUP($A238,Orders[],MATCH("OrderDateTime",Orders[#Headers],0),FALSE)),"CHECK")</f>
        <v>45894</v>
      </c>
      <c r="H238" s="7" t="str">
        <f>IFERROR(VLOOKUP($A238,Orders[],MATCH(H$1,Orders[#Headers],0),FALSE),"CHECK")</f>
        <v>Plant 1 Canteen</v>
      </c>
      <c r="I238">
        <f>IFERROR(VLOOKUP(OrderLines[[#This Row],[OrderID]],Orders[],MATCH(OrderLines[[#Headers],[DiscountPct]],Orders[#Headers],0),FALSE),"CHECK")</f>
        <v>0.05</v>
      </c>
      <c r="J238" t="str">
        <f>IFERROR(VLOOKUP(OrderLines[[#This Row],[OrderID]],Orders[],MATCH(OrderLines[[#Headers],[Shift]],Orders[#Headers],0),FALSE),"CHECK")</f>
        <v>Breakfast</v>
      </c>
      <c r="K238" s="11">
        <f>OrderLines[[#This Row],[Qty]] * OrderLines[[#This Row],[UnitPrice]] * (1-OrderLines[[#This Row],[DiscountPct]])</f>
        <v>51.49</v>
      </c>
      <c r="L238">
        <f>OrderLines[[#This Row],[Qty]]*OrderLines[[#This Row],[UnitCost]]</f>
        <v>21.95</v>
      </c>
    </row>
    <row r="239" spans="1:12" x14ac:dyDescent="0.25">
      <c r="A239" t="s">
        <v>133</v>
      </c>
      <c r="B239" t="s">
        <v>403</v>
      </c>
      <c r="C239">
        <v>1</v>
      </c>
      <c r="D239" s="9">
        <f>IFERROR(VLOOKUP($B239,Menu[],MATCH(D$1,Menu[#Headers],0),FALSE),"CHECK")</f>
        <v>76.55</v>
      </c>
      <c r="E239" s="9">
        <f>IFERROR(VLOOKUP($B239,Menu[],MATCH(E$1,Menu[#Headers],0),FALSE),"CHECK")</f>
        <v>38.229999999999997</v>
      </c>
      <c r="F239" t="str">
        <f>IFERROR(VLOOKUP($B239,Menu[],MATCH(F$1,Menu[#Headers],0),FALSE),"CHECK")</f>
        <v>Dessert</v>
      </c>
      <c r="G239" s="7">
        <f>IFERROR(INT(VLOOKUP($A239,Orders[],MATCH("OrderDateTime",Orders[#Headers],0),FALSE)),"CHECK")</f>
        <v>45894</v>
      </c>
      <c r="H239" s="7" t="str">
        <f>IFERROR(VLOOKUP($A239,Orders[],MATCH(H$1,Orders[#Headers],0),FALSE),"CHECK")</f>
        <v>Plant 1 Canteen</v>
      </c>
      <c r="I239">
        <f>IFERROR(VLOOKUP(OrderLines[[#This Row],[OrderID]],Orders[],MATCH(OrderLines[[#Headers],[DiscountPct]],Orders[#Headers],0),FALSE),"CHECK")</f>
        <v>0.05</v>
      </c>
      <c r="J239" t="str">
        <f>IFERROR(VLOOKUP(OrderLines[[#This Row],[OrderID]],Orders[],MATCH(OrderLines[[#Headers],[Shift]],Orders[#Headers],0),FALSE),"CHECK")</f>
        <v>Breakfast</v>
      </c>
      <c r="K239" s="11">
        <f>OrderLines[[#This Row],[Qty]] * OrderLines[[#This Row],[UnitPrice]] * (1-OrderLines[[#This Row],[DiscountPct]])</f>
        <v>72.722499999999997</v>
      </c>
      <c r="L239">
        <f>OrderLines[[#This Row],[Qty]]*OrderLines[[#This Row],[UnitCost]]</f>
        <v>38.229999999999997</v>
      </c>
    </row>
    <row r="240" spans="1:12" x14ac:dyDescent="0.25">
      <c r="A240" t="s">
        <v>134</v>
      </c>
      <c r="B240" t="s">
        <v>409</v>
      </c>
      <c r="C240">
        <v>2</v>
      </c>
      <c r="D240" s="9">
        <f>IFERROR(VLOOKUP($B240,Menu[],MATCH(D$1,Menu[#Headers],0),FALSE),"CHECK")</f>
        <v>28.43</v>
      </c>
      <c r="E240" s="9">
        <f>IFERROR(VLOOKUP($B240,Menu[],MATCH(E$1,Menu[#Headers],0),FALSE),"CHECK")</f>
        <v>13.89</v>
      </c>
      <c r="F240" t="str">
        <f>IFERROR(VLOOKUP($B240,Menu[],MATCH(F$1,Menu[#Headers],0),FALSE),"CHECK")</f>
        <v>Beverage</v>
      </c>
      <c r="G240" s="7">
        <f>IFERROR(INT(VLOOKUP($A240,Orders[],MATCH("OrderDateTime",Orders[#Headers],0),FALSE)),"CHECK")</f>
        <v>45875</v>
      </c>
      <c r="H240" s="7" t="str">
        <f>IFERROR(VLOOKUP($A240,Orders[],MATCH(H$1,Orders[#Headers],0),FALSE),"CHECK")</f>
        <v>Plant 1 Canteen</v>
      </c>
      <c r="I240">
        <f>IFERROR(VLOOKUP(OrderLines[[#This Row],[OrderID]],Orders[],MATCH(OrderLines[[#Headers],[DiscountPct]],Orders[#Headers],0),FALSE),"CHECK")</f>
        <v>0.09</v>
      </c>
      <c r="J240" t="str">
        <f>IFERROR(VLOOKUP(OrderLines[[#This Row],[OrderID]],Orders[],MATCH(OrderLines[[#Headers],[Shift]],Orders[#Headers],0),FALSE),"CHECK")</f>
        <v>Breakfast</v>
      </c>
      <c r="K240" s="11">
        <f>OrderLines[[#This Row],[Qty]] * OrderLines[[#This Row],[UnitPrice]] * (1-OrderLines[[#This Row],[DiscountPct]])</f>
        <v>51.742600000000003</v>
      </c>
      <c r="L240">
        <f>OrderLines[[#This Row],[Qty]]*OrderLines[[#This Row],[UnitCost]]</f>
        <v>27.78</v>
      </c>
    </row>
    <row r="241" spans="1:12" x14ac:dyDescent="0.25">
      <c r="A241" t="s">
        <v>135</v>
      </c>
      <c r="B241" t="s">
        <v>404</v>
      </c>
      <c r="C241">
        <v>3</v>
      </c>
      <c r="D241" s="9">
        <f>IFERROR(VLOOKUP($B241,Menu[],MATCH(D$1,Menu[#Headers],0),FALSE),"CHECK")</f>
        <v>32.979999999999997</v>
      </c>
      <c r="E241" s="9">
        <f>IFERROR(VLOOKUP($B241,Menu[],MATCH(E$1,Menu[#Headers],0),FALSE),"CHECK")</f>
        <v>11.84</v>
      </c>
      <c r="F241" t="str">
        <f>IFERROR(VLOOKUP($B241,Menu[],MATCH(F$1,Menu[#Headers],0),FALSE),"CHECK")</f>
        <v>Beverage</v>
      </c>
      <c r="G241" s="7">
        <f>IFERROR(INT(VLOOKUP($A241,Orders[],MATCH("OrderDateTime",Orders[#Headers],0),FALSE)),"CHECK")</f>
        <v>45855</v>
      </c>
      <c r="H241" s="7" t="str">
        <f>IFERROR(VLOOKUP($A241,Orders[],MATCH(H$1,Orders[#Headers],0),FALSE),"CHECK")</f>
        <v>Plant 2 Canteen</v>
      </c>
      <c r="I241">
        <f>IFERROR(VLOOKUP(OrderLines[[#This Row],[OrderID]],Orders[],MATCH(OrderLines[[#Headers],[DiscountPct]],Orders[#Headers],0),FALSE),"CHECK")</f>
        <v>0.01</v>
      </c>
      <c r="J241" t="str">
        <f>IFERROR(VLOOKUP(OrderLines[[#This Row],[OrderID]],Orders[],MATCH(OrderLines[[#Headers],[Shift]],Orders[#Headers],0),FALSE),"CHECK")</f>
        <v>Breakfast</v>
      </c>
      <c r="K241" s="11">
        <f>OrderLines[[#This Row],[Qty]] * OrderLines[[#This Row],[UnitPrice]] * (1-OrderLines[[#This Row],[DiscountPct]])</f>
        <v>97.950599999999994</v>
      </c>
      <c r="L241">
        <f>OrderLines[[#This Row],[Qty]]*OrderLines[[#This Row],[UnitCost]]</f>
        <v>35.519999999999996</v>
      </c>
    </row>
    <row r="242" spans="1:12" x14ac:dyDescent="0.25">
      <c r="A242" t="s">
        <v>135</v>
      </c>
      <c r="B242" t="s">
        <v>409</v>
      </c>
      <c r="C242">
        <v>3</v>
      </c>
      <c r="D242" s="9">
        <f>IFERROR(VLOOKUP($B242,Menu[],MATCH(D$1,Menu[#Headers],0),FALSE),"CHECK")</f>
        <v>28.43</v>
      </c>
      <c r="E242" s="9">
        <f>IFERROR(VLOOKUP($B242,Menu[],MATCH(E$1,Menu[#Headers],0),FALSE),"CHECK")</f>
        <v>13.89</v>
      </c>
      <c r="F242" t="str">
        <f>IFERROR(VLOOKUP($B242,Menu[],MATCH(F$1,Menu[#Headers],0),FALSE),"CHECK")</f>
        <v>Beverage</v>
      </c>
      <c r="G242" s="7">
        <f>IFERROR(INT(VLOOKUP($A242,Orders[],MATCH("OrderDateTime",Orders[#Headers],0),FALSE)),"CHECK")</f>
        <v>45855</v>
      </c>
      <c r="H242" s="7" t="str">
        <f>IFERROR(VLOOKUP($A242,Orders[],MATCH(H$1,Orders[#Headers],0),FALSE),"CHECK")</f>
        <v>Plant 2 Canteen</v>
      </c>
      <c r="I242">
        <f>IFERROR(VLOOKUP(OrderLines[[#This Row],[OrderID]],Orders[],MATCH(OrderLines[[#Headers],[DiscountPct]],Orders[#Headers],0),FALSE),"CHECK")</f>
        <v>0.01</v>
      </c>
      <c r="J242" t="str">
        <f>IFERROR(VLOOKUP(OrderLines[[#This Row],[OrderID]],Orders[],MATCH(OrderLines[[#Headers],[Shift]],Orders[#Headers],0),FALSE),"CHECK")</f>
        <v>Breakfast</v>
      </c>
      <c r="K242" s="11">
        <f>OrderLines[[#This Row],[Qty]] * OrderLines[[#This Row],[UnitPrice]] * (1-OrderLines[[#This Row],[DiscountPct]])</f>
        <v>84.437099999999987</v>
      </c>
      <c r="L242">
        <f>OrderLines[[#This Row],[Qty]]*OrderLines[[#This Row],[UnitCost]]</f>
        <v>41.67</v>
      </c>
    </row>
    <row r="243" spans="1:12" x14ac:dyDescent="0.25">
      <c r="A243" t="s">
        <v>136</v>
      </c>
      <c r="B243" t="s">
        <v>412</v>
      </c>
      <c r="C243">
        <v>2</v>
      </c>
      <c r="D243" s="9">
        <f>IFERROR(VLOOKUP($B243,Menu[],MATCH(D$1,Menu[#Headers],0),FALSE),"CHECK")</f>
        <v>57.07</v>
      </c>
      <c r="E243" s="9">
        <f>IFERROR(VLOOKUP($B243,Menu[],MATCH(E$1,Menu[#Headers],0),FALSE),"CHECK")</f>
        <v>29.14</v>
      </c>
      <c r="F243" t="str">
        <f>IFERROR(VLOOKUP($B243,Menu[],MATCH(F$1,Menu[#Headers],0),FALSE),"CHECK")</f>
        <v>Dessert</v>
      </c>
      <c r="G243" s="7">
        <f>IFERROR(INT(VLOOKUP($A243,Orders[],MATCH("OrderDateTime",Orders[#Headers],0),FALSE)),"CHECK")</f>
        <v>45869</v>
      </c>
      <c r="H243" s="7" t="str">
        <f>IFERROR(VLOOKUP($A243,Orders[],MATCH(H$1,Orders[#Headers],0),FALSE),"CHECK")</f>
        <v>Head Office Café</v>
      </c>
      <c r="I243">
        <f>IFERROR(VLOOKUP(OrderLines[[#This Row],[OrderID]],Orders[],MATCH(OrderLines[[#Headers],[DiscountPct]],Orders[#Headers],0),FALSE),"CHECK")</f>
        <v>7.0000000000000007E-2</v>
      </c>
      <c r="J243" t="str">
        <f>IFERROR(VLOOKUP(OrderLines[[#This Row],[OrderID]],Orders[],MATCH(OrderLines[[#Headers],[Shift]],Orders[#Headers],0),FALSE),"CHECK")</f>
        <v>Lunch</v>
      </c>
      <c r="K243" s="11">
        <f>OrderLines[[#This Row],[Qty]] * OrderLines[[#This Row],[UnitPrice]] * (1-OrderLines[[#This Row],[DiscountPct]])</f>
        <v>106.1502</v>
      </c>
      <c r="L243">
        <f>OrderLines[[#This Row],[Qty]]*OrderLines[[#This Row],[UnitCost]]</f>
        <v>58.28</v>
      </c>
    </row>
    <row r="244" spans="1:12" x14ac:dyDescent="0.25">
      <c r="A244" t="s">
        <v>136</v>
      </c>
      <c r="B244" t="s">
        <v>417</v>
      </c>
      <c r="C244">
        <v>1</v>
      </c>
      <c r="D244" s="9">
        <f>IFERROR(VLOOKUP($B244,Menu[],MATCH(D$1,Menu[#Headers],0),FALSE),"CHECK")</f>
        <v>146.4</v>
      </c>
      <c r="E244" s="9">
        <f>IFERROR(VLOOKUP($B244,Menu[],MATCH(E$1,Menu[#Headers],0),FALSE),"CHECK")</f>
        <v>80.92</v>
      </c>
      <c r="F244" t="str">
        <f>IFERROR(VLOOKUP($B244,Menu[],MATCH(F$1,Menu[#Headers],0),FALSE),"CHECK")</f>
        <v>Hot Meal</v>
      </c>
      <c r="G244" s="7">
        <f>IFERROR(INT(VLOOKUP($A244,Orders[],MATCH("OrderDateTime",Orders[#Headers],0),FALSE)),"CHECK")</f>
        <v>45869</v>
      </c>
      <c r="H244" s="7" t="str">
        <f>IFERROR(VLOOKUP($A244,Orders[],MATCH(H$1,Orders[#Headers],0),FALSE),"CHECK")</f>
        <v>Head Office Café</v>
      </c>
      <c r="I244">
        <f>IFERROR(VLOOKUP(OrderLines[[#This Row],[OrderID]],Orders[],MATCH(OrderLines[[#Headers],[DiscountPct]],Orders[#Headers],0),FALSE),"CHECK")</f>
        <v>7.0000000000000007E-2</v>
      </c>
      <c r="J244" t="str">
        <f>IFERROR(VLOOKUP(OrderLines[[#This Row],[OrderID]],Orders[],MATCH(OrderLines[[#Headers],[Shift]],Orders[#Headers],0),FALSE),"CHECK")</f>
        <v>Lunch</v>
      </c>
      <c r="K244" s="11">
        <f>OrderLines[[#This Row],[Qty]] * OrderLines[[#This Row],[UnitPrice]] * (1-OrderLines[[#This Row],[DiscountPct]])</f>
        <v>136.15199999999999</v>
      </c>
      <c r="L244">
        <f>OrderLines[[#This Row],[Qty]]*OrderLines[[#This Row],[UnitCost]]</f>
        <v>80.92</v>
      </c>
    </row>
    <row r="245" spans="1:12" x14ac:dyDescent="0.25">
      <c r="A245" t="s">
        <v>137</v>
      </c>
      <c r="B245" t="s">
        <v>419</v>
      </c>
      <c r="C245">
        <v>2</v>
      </c>
      <c r="D245" s="9">
        <f>IFERROR(VLOOKUP($B245,Menu[],MATCH(D$1,Menu[#Headers],0),FALSE),"CHECK")</f>
        <v>50.19</v>
      </c>
      <c r="E245" s="9">
        <f>IFERROR(VLOOKUP($B245,Menu[],MATCH(E$1,Menu[#Headers],0),FALSE),"CHECK")</f>
        <v>22.61</v>
      </c>
      <c r="F245" t="str">
        <f>IFERROR(VLOOKUP($B245,Menu[],MATCH(F$1,Menu[#Headers],0),FALSE),"CHECK")</f>
        <v>Snack</v>
      </c>
      <c r="G245" s="7">
        <f>IFERROR(INT(VLOOKUP($A245,Orders[],MATCH("OrderDateTime",Orders[#Headers],0),FALSE)),"CHECK")</f>
        <v>45858</v>
      </c>
      <c r="H245" s="7" t="str">
        <f>IFERROR(VLOOKUP($A245,Orders[],MATCH(H$1,Orders[#Headers],0),FALSE),"CHECK")</f>
        <v>Plant 1 Canteen</v>
      </c>
      <c r="I245">
        <f>IFERROR(VLOOKUP(OrderLines[[#This Row],[OrderID]],Orders[],MATCH(OrderLines[[#Headers],[DiscountPct]],Orders[#Headers],0),FALSE),"CHECK")</f>
        <v>0.11</v>
      </c>
      <c r="J245" t="str">
        <f>IFERROR(VLOOKUP(OrderLines[[#This Row],[OrderID]],Orders[],MATCH(OrderLines[[#Headers],[Shift]],Orders[#Headers],0),FALSE),"CHECK")</f>
        <v>Lunch</v>
      </c>
      <c r="K245" s="11">
        <f>OrderLines[[#This Row],[Qty]] * OrderLines[[#This Row],[UnitPrice]] * (1-OrderLines[[#This Row],[DiscountPct]])</f>
        <v>89.338200000000001</v>
      </c>
      <c r="L245">
        <f>OrderLines[[#This Row],[Qty]]*OrderLines[[#This Row],[UnitCost]]</f>
        <v>45.22</v>
      </c>
    </row>
    <row r="246" spans="1:12" x14ac:dyDescent="0.25">
      <c r="A246" t="s">
        <v>137</v>
      </c>
      <c r="B246" t="s">
        <v>415</v>
      </c>
      <c r="C246">
        <v>1</v>
      </c>
      <c r="D246" s="9">
        <f>IFERROR(VLOOKUP($B246,Menu[],MATCH(D$1,Menu[#Headers],0),FALSE),"CHECK")</f>
        <v>256.91000000000003</v>
      </c>
      <c r="E246" s="9">
        <f>IFERROR(VLOOKUP($B246,Menu[],MATCH(E$1,Menu[#Headers],0),FALSE),"CHECK")</f>
        <v>121.24</v>
      </c>
      <c r="F246" t="str">
        <f>IFERROR(VLOOKUP($B246,Menu[],MATCH(F$1,Menu[#Headers],0),FALSE),"CHECK")</f>
        <v>Hot Meal</v>
      </c>
      <c r="G246" s="7">
        <f>IFERROR(INT(VLOOKUP($A246,Orders[],MATCH("OrderDateTime",Orders[#Headers],0),FALSE)),"CHECK")</f>
        <v>45858</v>
      </c>
      <c r="H246" s="7" t="str">
        <f>IFERROR(VLOOKUP($A246,Orders[],MATCH(H$1,Orders[#Headers],0),FALSE),"CHECK")</f>
        <v>Plant 1 Canteen</v>
      </c>
      <c r="I246">
        <f>IFERROR(VLOOKUP(OrderLines[[#This Row],[OrderID]],Orders[],MATCH(OrderLines[[#Headers],[DiscountPct]],Orders[#Headers],0),FALSE),"CHECK")</f>
        <v>0.11</v>
      </c>
      <c r="J246" t="str">
        <f>IFERROR(VLOOKUP(OrderLines[[#This Row],[OrderID]],Orders[],MATCH(OrderLines[[#Headers],[Shift]],Orders[#Headers],0),FALSE),"CHECK")</f>
        <v>Lunch</v>
      </c>
      <c r="K246" s="11">
        <f>OrderLines[[#This Row],[Qty]] * OrderLines[[#This Row],[UnitPrice]] * (1-OrderLines[[#This Row],[DiscountPct]])</f>
        <v>228.64990000000003</v>
      </c>
      <c r="L246">
        <f>OrderLines[[#This Row],[Qty]]*OrderLines[[#This Row],[UnitCost]]</f>
        <v>121.24</v>
      </c>
    </row>
    <row r="247" spans="1:12" x14ac:dyDescent="0.25">
      <c r="A247" t="s">
        <v>138</v>
      </c>
      <c r="B247" t="s">
        <v>402</v>
      </c>
      <c r="C247">
        <v>1</v>
      </c>
      <c r="D247" s="9">
        <f>IFERROR(VLOOKUP($B247,Menu[],MATCH(D$1,Menu[#Headers],0),FALSE),"CHECK")</f>
        <v>30.34</v>
      </c>
      <c r="E247" s="9">
        <f>IFERROR(VLOOKUP($B247,Menu[],MATCH(E$1,Menu[#Headers],0),FALSE),"CHECK")</f>
        <v>14.18</v>
      </c>
      <c r="F247" t="str">
        <f>IFERROR(VLOOKUP($B247,Menu[],MATCH(F$1,Menu[#Headers],0),FALSE),"CHECK")</f>
        <v>Beverage</v>
      </c>
      <c r="G247" s="7">
        <f>IFERROR(INT(VLOOKUP($A247,Orders[],MATCH("OrderDateTime",Orders[#Headers],0),FALSE)),"CHECK")</f>
        <v>45849</v>
      </c>
      <c r="H247" s="7" t="str">
        <f>IFERROR(VLOOKUP($A247,Orders[],MATCH(H$1,Orders[#Headers],0),FALSE),"CHECK")</f>
        <v>Head Office Café</v>
      </c>
      <c r="I247">
        <f>IFERROR(VLOOKUP(OrderLines[[#This Row],[OrderID]],Orders[],MATCH(OrderLines[[#Headers],[DiscountPct]],Orders[#Headers],0),FALSE),"CHECK")</f>
        <v>0</v>
      </c>
      <c r="J247" t="str">
        <f>IFERROR(VLOOKUP(OrderLines[[#This Row],[OrderID]],Orders[],MATCH(OrderLines[[#Headers],[Shift]],Orders[#Headers],0),FALSE),"CHECK")</f>
        <v>Breakfast</v>
      </c>
      <c r="K247" s="11">
        <f>OrderLines[[#This Row],[Qty]] * OrderLines[[#This Row],[UnitPrice]] * (1-OrderLines[[#This Row],[DiscountPct]])</f>
        <v>30.34</v>
      </c>
      <c r="L247">
        <f>OrderLines[[#This Row],[Qty]]*OrderLines[[#This Row],[UnitCost]]</f>
        <v>14.18</v>
      </c>
    </row>
    <row r="248" spans="1:12" x14ac:dyDescent="0.25">
      <c r="A248" t="s">
        <v>138</v>
      </c>
      <c r="B248" t="s">
        <v>408</v>
      </c>
      <c r="C248">
        <v>1</v>
      </c>
      <c r="D248" s="9">
        <f>IFERROR(VLOOKUP($B248,Menu[],MATCH(D$1,Menu[#Headers],0),FALSE),"CHECK")</f>
        <v>70.540000000000006</v>
      </c>
      <c r="E248" s="9">
        <f>IFERROR(VLOOKUP($B248,Menu[],MATCH(E$1,Menu[#Headers],0),FALSE),"CHECK")</f>
        <v>35.81</v>
      </c>
      <c r="F248" t="str">
        <f>IFERROR(VLOOKUP($B248,Menu[],MATCH(F$1,Menu[#Headers],0),FALSE),"CHECK")</f>
        <v>Snack</v>
      </c>
      <c r="G248" s="7">
        <f>IFERROR(INT(VLOOKUP($A248,Orders[],MATCH("OrderDateTime",Orders[#Headers],0),FALSE)),"CHECK")</f>
        <v>45849</v>
      </c>
      <c r="H248" s="7" t="str">
        <f>IFERROR(VLOOKUP($A248,Orders[],MATCH(H$1,Orders[#Headers],0),FALSE),"CHECK")</f>
        <v>Head Office Café</v>
      </c>
      <c r="I248">
        <f>IFERROR(VLOOKUP(OrderLines[[#This Row],[OrderID]],Orders[],MATCH(OrderLines[[#Headers],[DiscountPct]],Orders[#Headers],0),FALSE),"CHECK")</f>
        <v>0</v>
      </c>
      <c r="J248" t="str">
        <f>IFERROR(VLOOKUP(OrderLines[[#This Row],[OrderID]],Orders[],MATCH(OrderLines[[#Headers],[Shift]],Orders[#Headers],0),FALSE),"CHECK")</f>
        <v>Breakfast</v>
      </c>
      <c r="K248" s="11">
        <f>OrderLines[[#This Row],[Qty]] * OrderLines[[#This Row],[UnitPrice]] * (1-OrderLines[[#This Row],[DiscountPct]])</f>
        <v>70.540000000000006</v>
      </c>
      <c r="L248">
        <f>OrderLines[[#This Row],[Qty]]*OrderLines[[#This Row],[UnitCost]]</f>
        <v>35.81</v>
      </c>
    </row>
    <row r="249" spans="1:12" x14ac:dyDescent="0.25">
      <c r="A249" t="s">
        <v>138</v>
      </c>
      <c r="B249" t="s">
        <v>418</v>
      </c>
      <c r="C249">
        <v>1</v>
      </c>
      <c r="D249" s="9">
        <f>IFERROR(VLOOKUP($B249,Menu[],MATCH(D$1,Menu[#Headers],0),FALSE),"CHECK")</f>
        <v>39.950000000000003</v>
      </c>
      <c r="E249" s="9">
        <f>IFERROR(VLOOKUP($B249,Menu[],MATCH(E$1,Menu[#Headers],0),FALSE),"CHECK")</f>
        <v>15.51</v>
      </c>
      <c r="F249" t="str">
        <f>IFERROR(VLOOKUP($B249,Menu[],MATCH(F$1,Menu[#Headers],0),FALSE),"CHECK")</f>
        <v>Snack</v>
      </c>
      <c r="G249" s="7">
        <f>IFERROR(INT(VLOOKUP($A249,Orders[],MATCH("OrderDateTime",Orders[#Headers],0),FALSE)),"CHECK")</f>
        <v>45849</v>
      </c>
      <c r="H249" s="7" t="str">
        <f>IFERROR(VLOOKUP($A249,Orders[],MATCH(H$1,Orders[#Headers],0),FALSE),"CHECK")</f>
        <v>Head Office Café</v>
      </c>
      <c r="I249">
        <f>IFERROR(VLOOKUP(OrderLines[[#This Row],[OrderID]],Orders[],MATCH(OrderLines[[#Headers],[DiscountPct]],Orders[#Headers],0),FALSE),"CHECK")</f>
        <v>0</v>
      </c>
      <c r="J249" t="str">
        <f>IFERROR(VLOOKUP(OrderLines[[#This Row],[OrderID]],Orders[],MATCH(OrderLines[[#Headers],[Shift]],Orders[#Headers],0),FALSE),"CHECK")</f>
        <v>Breakfast</v>
      </c>
      <c r="K249" s="11">
        <f>OrderLines[[#This Row],[Qty]] * OrderLines[[#This Row],[UnitPrice]] * (1-OrderLines[[#This Row],[DiscountPct]])</f>
        <v>39.950000000000003</v>
      </c>
      <c r="L249">
        <f>OrderLines[[#This Row],[Qty]]*OrderLines[[#This Row],[UnitCost]]</f>
        <v>15.51</v>
      </c>
    </row>
    <row r="250" spans="1:12" x14ac:dyDescent="0.25">
      <c r="A250" t="s">
        <v>139</v>
      </c>
      <c r="B250" t="s">
        <v>406</v>
      </c>
      <c r="C250">
        <v>2</v>
      </c>
      <c r="D250" s="9">
        <f>IFERROR(VLOOKUP($B250,Menu[],MATCH(D$1,Menu[#Headers],0),FALSE),"CHECK")</f>
        <v>38.06</v>
      </c>
      <c r="E250" s="9">
        <f>IFERROR(VLOOKUP($B250,Menu[],MATCH(E$1,Menu[#Headers],0),FALSE),"CHECK")</f>
        <v>19.55</v>
      </c>
      <c r="F250" t="str">
        <f>IFERROR(VLOOKUP($B250,Menu[],MATCH(F$1,Menu[#Headers],0),FALSE),"CHECK")</f>
        <v>Snack</v>
      </c>
      <c r="G250" s="7">
        <f>IFERROR(INT(VLOOKUP($A250,Orders[],MATCH("OrderDateTime",Orders[#Headers],0),FALSE)),"CHECK")</f>
        <v>45894</v>
      </c>
      <c r="H250" s="7" t="str">
        <f>IFERROR(VLOOKUP($A250,Orders[],MATCH(H$1,Orders[#Headers],0),FALSE),"CHECK")</f>
        <v>Plant 1 Canteen</v>
      </c>
      <c r="I250">
        <f>IFERROR(VLOOKUP(OrderLines[[#This Row],[OrderID]],Orders[],MATCH(OrderLines[[#Headers],[DiscountPct]],Orders[#Headers],0),FALSE),"CHECK")</f>
        <v>7.0000000000000007E-2</v>
      </c>
      <c r="J250" t="str">
        <f>IFERROR(VLOOKUP(OrderLines[[#This Row],[OrderID]],Orders[],MATCH(OrderLines[[#Headers],[Shift]],Orders[#Headers],0),FALSE),"CHECK")</f>
        <v>Breakfast</v>
      </c>
      <c r="K250" s="11">
        <f>OrderLines[[#This Row],[Qty]] * OrderLines[[#This Row],[UnitPrice]] * (1-OrderLines[[#This Row],[DiscountPct]])</f>
        <v>70.791600000000003</v>
      </c>
      <c r="L250">
        <f>OrderLines[[#This Row],[Qty]]*OrderLines[[#This Row],[UnitCost]]</f>
        <v>39.1</v>
      </c>
    </row>
    <row r="251" spans="1:12" x14ac:dyDescent="0.25">
      <c r="A251" t="s">
        <v>140</v>
      </c>
      <c r="B251" t="s">
        <v>408</v>
      </c>
      <c r="C251">
        <v>2</v>
      </c>
      <c r="D251" s="9">
        <f>IFERROR(VLOOKUP($B251,Menu[],MATCH(D$1,Menu[#Headers],0),FALSE),"CHECK")</f>
        <v>70.540000000000006</v>
      </c>
      <c r="E251" s="9">
        <f>IFERROR(VLOOKUP($B251,Menu[],MATCH(E$1,Menu[#Headers],0),FALSE),"CHECK")</f>
        <v>35.81</v>
      </c>
      <c r="F251" t="str">
        <f>IFERROR(VLOOKUP($B251,Menu[],MATCH(F$1,Menu[#Headers],0),FALSE),"CHECK")</f>
        <v>Snack</v>
      </c>
      <c r="G251" s="7">
        <f>IFERROR(INT(VLOOKUP($A251,Orders[],MATCH("OrderDateTime",Orders[#Headers],0),FALSE)),"CHECK")</f>
        <v>45875</v>
      </c>
      <c r="H251" s="7" t="str">
        <f>IFERROR(VLOOKUP($A251,Orders[],MATCH(H$1,Orders[#Headers],0),FALSE),"CHECK")</f>
        <v>Plant 1 Canteen</v>
      </c>
      <c r="I251">
        <f>IFERROR(VLOOKUP(OrderLines[[#This Row],[OrderID]],Orders[],MATCH(OrderLines[[#Headers],[DiscountPct]],Orders[#Headers],0),FALSE),"CHECK")</f>
        <v>7.0000000000000007E-2</v>
      </c>
      <c r="J251" t="str">
        <f>IFERROR(VLOOKUP(OrderLines[[#This Row],[OrderID]],Orders[],MATCH(OrderLines[[#Headers],[Shift]],Orders[#Headers],0),FALSE),"CHECK")</f>
        <v>Breakfast</v>
      </c>
      <c r="K251" s="11">
        <f>OrderLines[[#This Row],[Qty]] * OrderLines[[#This Row],[UnitPrice]] * (1-OrderLines[[#This Row],[DiscountPct]])</f>
        <v>131.20439999999999</v>
      </c>
      <c r="L251">
        <f>OrderLines[[#This Row],[Qty]]*OrderLines[[#This Row],[UnitCost]]</f>
        <v>71.62</v>
      </c>
    </row>
    <row r="252" spans="1:12" x14ac:dyDescent="0.25">
      <c r="A252" t="s">
        <v>141</v>
      </c>
      <c r="B252" t="s">
        <v>413</v>
      </c>
      <c r="C252">
        <v>1</v>
      </c>
      <c r="D252" s="9">
        <f>IFERROR(VLOOKUP($B252,Menu[],MATCH(D$1,Menu[#Headers],0),FALSE),"CHECK")</f>
        <v>54.2</v>
      </c>
      <c r="E252" s="9">
        <f>IFERROR(VLOOKUP($B252,Menu[],MATCH(E$1,Menu[#Headers],0),FALSE),"CHECK")</f>
        <v>21.95</v>
      </c>
      <c r="F252" t="str">
        <f>IFERROR(VLOOKUP($B252,Menu[],MATCH(F$1,Menu[#Headers],0),FALSE),"CHECK")</f>
        <v>Dessert</v>
      </c>
      <c r="G252" s="7">
        <f>IFERROR(INT(VLOOKUP($A252,Orders[],MATCH("OrderDateTime",Orders[#Headers],0),FALSE)),"CHECK")</f>
        <v>45840</v>
      </c>
      <c r="H252" s="7" t="str">
        <f>IFERROR(VLOOKUP($A252,Orders[],MATCH(H$1,Orders[#Headers],0),FALSE),"CHECK")</f>
        <v>Plant 2 Canteen</v>
      </c>
      <c r="I252">
        <f>IFERROR(VLOOKUP(OrderLines[[#This Row],[OrderID]],Orders[],MATCH(OrderLines[[#Headers],[DiscountPct]],Orders[#Headers],0),FALSE),"CHECK")</f>
        <v>0.09</v>
      </c>
      <c r="J252" t="str">
        <f>IFERROR(VLOOKUP(OrderLines[[#This Row],[OrderID]],Orders[],MATCH(OrderLines[[#Headers],[Shift]],Orders[#Headers],0),FALSE),"CHECK")</f>
        <v>Lunch</v>
      </c>
      <c r="K252" s="11">
        <f>OrderLines[[#This Row],[Qty]] * OrderLines[[#This Row],[UnitPrice]] * (1-OrderLines[[#This Row],[DiscountPct]])</f>
        <v>49.322000000000003</v>
      </c>
      <c r="L252">
        <f>OrderLines[[#This Row],[Qty]]*OrderLines[[#This Row],[UnitCost]]</f>
        <v>21.95</v>
      </c>
    </row>
    <row r="253" spans="1:12" x14ac:dyDescent="0.25">
      <c r="A253" t="s">
        <v>142</v>
      </c>
      <c r="B253" t="s">
        <v>402</v>
      </c>
      <c r="C253">
        <v>1</v>
      </c>
      <c r="D253" s="9">
        <f>IFERROR(VLOOKUP($B253,Menu[],MATCH(D$1,Menu[#Headers],0),FALSE),"CHECK")</f>
        <v>30.34</v>
      </c>
      <c r="E253" s="9">
        <f>IFERROR(VLOOKUP($B253,Menu[],MATCH(E$1,Menu[#Headers],0),FALSE),"CHECK")</f>
        <v>14.18</v>
      </c>
      <c r="F253" t="str">
        <f>IFERROR(VLOOKUP($B253,Menu[],MATCH(F$1,Menu[#Headers],0),FALSE),"CHECK")</f>
        <v>Beverage</v>
      </c>
      <c r="G253" s="7">
        <f>IFERROR(INT(VLOOKUP($A253,Orders[],MATCH("OrderDateTime",Orders[#Headers],0),FALSE)),"CHECK")</f>
        <v>45874</v>
      </c>
      <c r="H253" s="7" t="str">
        <f>IFERROR(VLOOKUP($A253,Orders[],MATCH(H$1,Orders[#Headers],0),FALSE),"CHECK")</f>
        <v>Head Office Café</v>
      </c>
      <c r="I253">
        <f>IFERROR(VLOOKUP(OrderLines[[#This Row],[OrderID]],Orders[],MATCH(OrderLines[[#Headers],[DiscountPct]],Orders[#Headers],0),FALSE),"CHECK")</f>
        <v>0.01</v>
      </c>
      <c r="J253" t="str">
        <f>IFERROR(VLOOKUP(OrderLines[[#This Row],[OrderID]],Orders[],MATCH(OrderLines[[#Headers],[Shift]],Orders[#Headers],0),FALSE),"CHECK")</f>
        <v>Breakfast</v>
      </c>
      <c r="K253" s="11">
        <f>OrderLines[[#This Row],[Qty]] * OrderLines[[#This Row],[UnitPrice]] * (1-OrderLines[[#This Row],[DiscountPct]])</f>
        <v>30.0366</v>
      </c>
      <c r="L253">
        <f>OrderLines[[#This Row],[Qty]]*OrderLines[[#This Row],[UnitCost]]</f>
        <v>14.18</v>
      </c>
    </row>
    <row r="254" spans="1:12" x14ac:dyDescent="0.25">
      <c r="A254" t="s">
        <v>143</v>
      </c>
      <c r="B254" t="s">
        <v>406</v>
      </c>
      <c r="C254">
        <v>3</v>
      </c>
      <c r="D254" s="9">
        <f>IFERROR(VLOOKUP($B254,Menu[],MATCH(D$1,Menu[#Headers],0),FALSE),"CHECK")</f>
        <v>38.06</v>
      </c>
      <c r="E254" s="9">
        <f>IFERROR(VLOOKUP($B254,Menu[],MATCH(E$1,Menu[#Headers],0),FALSE),"CHECK")</f>
        <v>19.55</v>
      </c>
      <c r="F254" t="str">
        <f>IFERROR(VLOOKUP($B254,Menu[],MATCH(F$1,Menu[#Headers],0),FALSE),"CHECK")</f>
        <v>Snack</v>
      </c>
      <c r="G254" s="7">
        <f>IFERROR(INT(VLOOKUP($A254,Orders[],MATCH("OrderDateTime",Orders[#Headers],0),FALSE)),"CHECK")</f>
        <v>45881</v>
      </c>
      <c r="H254" s="7" t="str">
        <f>IFERROR(VLOOKUP($A254,Orders[],MATCH(H$1,Orders[#Headers],0),FALSE),"CHECK")</f>
        <v>Plant 1 Canteen</v>
      </c>
      <c r="I254">
        <f>IFERROR(VLOOKUP(OrderLines[[#This Row],[OrderID]],Orders[],MATCH(OrderLines[[#Headers],[DiscountPct]],Orders[#Headers],0),FALSE),"CHECK")</f>
        <v>0.01</v>
      </c>
      <c r="J254" t="str">
        <f>IFERROR(VLOOKUP(OrderLines[[#This Row],[OrderID]],Orders[],MATCH(OrderLines[[#Headers],[Shift]],Orders[#Headers],0),FALSE),"CHECK")</f>
        <v>Lunch</v>
      </c>
      <c r="K254" s="11">
        <f>OrderLines[[#This Row],[Qty]] * OrderLines[[#This Row],[UnitPrice]] * (1-OrderLines[[#This Row],[DiscountPct]])</f>
        <v>113.0382</v>
      </c>
      <c r="L254">
        <f>OrderLines[[#This Row],[Qty]]*OrderLines[[#This Row],[UnitCost]]</f>
        <v>58.650000000000006</v>
      </c>
    </row>
    <row r="255" spans="1:12" x14ac:dyDescent="0.25">
      <c r="A255" t="s">
        <v>143</v>
      </c>
      <c r="B255" t="s">
        <v>409</v>
      </c>
      <c r="C255">
        <v>2</v>
      </c>
      <c r="D255" s="9">
        <f>IFERROR(VLOOKUP($B255,Menu[],MATCH(D$1,Menu[#Headers],0),FALSE),"CHECK")</f>
        <v>28.43</v>
      </c>
      <c r="E255" s="9">
        <f>IFERROR(VLOOKUP($B255,Menu[],MATCH(E$1,Menu[#Headers],0),FALSE),"CHECK")</f>
        <v>13.89</v>
      </c>
      <c r="F255" t="str">
        <f>IFERROR(VLOOKUP($B255,Menu[],MATCH(F$1,Menu[#Headers],0),FALSE),"CHECK")</f>
        <v>Beverage</v>
      </c>
      <c r="G255" s="7">
        <f>IFERROR(INT(VLOOKUP($A255,Orders[],MATCH("OrderDateTime",Orders[#Headers],0),FALSE)),"CHECK")</f>
        <v>45881</v>
      </c>
      <c r="H255" s="7" t="str">
        <f>IFERROR(VLOOKUP($A255,Orders[],MATCH(H$1,Orders[#Headers],0),FALSE),"CHECK")</f>
        <v>Plant 1 Canteen</v>
      </c>
      <c r="I255">
        <f>IFERROR(VLOOKUP(OrderLines[[#This Row],[OrderID]],Orders[],MATCH(OrderLines[[#Headers],[DiscountPct]],Orders[#Headers],0),FALSE),"CHECK")</f>
        <v>0.01</v>
      </c>
      <c r="J255" t="str">
        <f>IFERROR(VLOOKUP(OrderLines[[#This Row],[OrderID]],Orders[],MATCH(OrderLines[[#Headers],[Shift]],Orders[#Headers],0),FALSE),"CHECK")</f>
        <v>Lunch</v>
      </c>
      <c r="K255" s="11">
        <f>OrderLines[[#This Row],[Qty]] * OrderLines[[#This Row],[UnitPrice]] * (1-OrderLines[[#This Row],[DiscountPct]])</f>
        <v>56.291399999999996</v>
      </c>
      <c r="L255">
        <f>OrderLines[[#This Row],[Qty]]*OrderLines[[#This Row],[UnitCost]]</f>
        <v>27.78</v>
      </c>
    </row>
    <row r="256" spans="1:12" x14ac:dyDescent="0.25">
      <c r="A256" t="s">
        <v>143</v>
      </c>
      <c r="B256" t="s">
        <v>415</v>
      </c>
      <c r="C256">
        <v>1</v>
      </c>
      <c r="D256" s="9">
        <f>IFERROR(VLOOKUP($B256,Menu[],MATCH(D$1,Menu[#Headers],0),FALSE),"CHECK")</f>
        <v>256.91000000000003</v>
      </c>
      <c r="E256" s="9">
        <f>IFERROR(VLOOKUP($B256,Menu[],MATCH(E$1,Menu[#Headers],0),FALSE),"CHECK")</f>
        <v>121.24</v>
      </c>
      <c r="F256" t="str">
        <f>IFERROR(VLOOKUP($B256,Menu[],MATCH(F$1,Menu[#Headers],0),FALSE),"CHECK")</f>
        <v>Hot Meal</v>
      </c>
      <c r="G256" s="7">
        <f>IFERROR(INT(VLOOKUP($A256,Orders[],MATCH("OrderDateTime",Orders[#Headers],0),FALSE)),"CHECK")</f>
        <v>45881</v>
      </c>
      <c r="H256" s="7" t="str">
        <f>IFERROR(VLOOKUP($A256,Orders[],MATCH(H$1,Orders[#Headers],0),FALSE),"CHECK")</f>
        <v>Plant 1 Canteen</v>
      </c>
      <c r="I256">
        <f>IFERROR(VLOOKUP(OrderLines[[#This Row],[OrderID]],Orders[],MATCH(OrderLines[[#Headers],[DiscountPct]],Orders[#Headers],0),FALSE),"CHECK")</f>
        <v>0.01</v>
      </c>
      <c r="J256" t="str">
        <f>IFERROR(VLOOKUP(OrderLines[[#This Row],[OrderID]],Orders[],MATCH(OrderLines[[#Headers],[Shift]],Orders[#Headers],0),FALSE),"CHECK")</f>
        <v>Lunch</v>
      </c>
      <c r="K256" s="11">
        <f>OrderLines[[#This Row],[Qty]] * OrderLines[[#This Row],[UnitPrice]] * (1-OrderLines[[#This Row],[DiscountPct]])</f>
        <v>254.34090000000003</v>
      </c>
      <c r="L256">
        <f>OrderLines[[#This Row],[Qty]]*OrderLines[[#This Row],[UnitCost]]</f>
        <v>121.24</v>
      </c>
    </row>
    <row r="257" spans="1:12" x14ac:dyDescent="0.25">
      <c r="A257" t="s">
        <v>144</v>
      </c>
      <c r="B257" t="s">
        <v>410</v>
      </c>
      <c r="C257">
        <v>2</v>
      </c>
      <c r="D257" s="9">
        <f>IFERROR(VLOOKUP($B257,Menu[],MATCH(D$1,Menu[#Headers],0),FALSE),"CHECK")</f>
        <v>20.11</v>
      </c>
      <c r="E257" s="9">
        <f>IFERROR(VLOOKUP($B257,Menu[],MATCH(E$1,Menu[#Headers],0),FALSE),"CHECK")</f>
        <v>8</v>
      </c>
      <c r="F257" t="str">
        <f>IFERROR(VLOOKUP($B257,Menu[],MATCH(F$1,Menu[#Headers],0),FALSE),"CHECK")</f>
        <v>Beverage</v>
      </c>
      <c r="G257" s="7">
        <f>IFERROR(INT(VLOOKUP($A257,Orders[],MATCH("OrderDateTime",Orders[#Headers],0),FALSE)),"CHECK")</f>
        <v>45891</v>
      </c>
      <c r="H257" s="7" t="str">
        <f>IFERROR(VLOOKUP($A257,Orders[],MATCH(H$1,Orders[#Headers],0),FALSE),"CHECK")</f>
        <v>Plant 2 Canteen</v>
      </c>
      <c r="I257">
        <f>IFERROR(VLOOKUP(OrderLines[[#This Row],[OrderID]],Orders[],MATCH(OrderLines[[#Headers],[DiscountPct]],Orders[#Headers],0),FALSE),"CHECK")</f>
        <v>0.08</v>
      </c>
      <c r="J257" t="str">
        <f>IFERROR(VLOOKUP(OrderLines[[#This Row],[OrderID]],Orders[],MATCH(OrderLines[[#Headers],[Shift]],Orders[#Headers],0),FALSE),"CHECK")</f>
        <v>Lunch</v>
      </c>
      <c r="K257" s="11">
        <f>OrderLines[[#This Row],[Qty]] * OrderLines[[#This Row],[UnitPrice]] * (1-OrderLines[[#This Row],[DiscountPct]])</f>
        <v>37.002400000000002</v>
      </c>
      <c r="L257">
        <f>OrderLines[[#This Row],[Qty]]*OrderLines[[#This Row],[UnitCost]]</f>
        <v>16</v>
      </c>
    </row>
    <row r="258" spans="1:12" x14ac:dyDescent="0.25">
      <c r="A258" t="s">
        <v>144</v>
      </c>
      <c r="B258" t="s">
        <v>411</v>
      </c>
      <c r="C258">
        <v>1</v>
      </c>
      <c r="D258" s="9">
        <f>IFERROR(VLOOKUP($B258,Menu[],MATCH(D$1,Menu[#Headers],0),FALSE),"CHECK")</f>
        <v>22.2</v>
      </c>
      <c r="E258" s="9">
        <f>IFERROR(VLOOKUP($B258,Menu[],MATCH(E$1,Menu[#Headers],0),FALSE),"CHECK")</f>
        <v>9.3800000000000008</v>
      </c>
      <c r="F258" t="str">
        <f>IFERROR(VLOOKUP($B258,Menu[],MATCH(F$1,Menu[#Headers],0),FALSE),"CHECK")</f>
        <v>Beverage</v>
      </c>
      <c r="G258" s="7">
        <f>IFERROR(INT(VLOOKUP($A258,Orders[],MATCH("OrderDateTime",Orders[#Headers],0),FALSE)),"CHECK")</f>
        <v>45891</v>
      </c>
      <c r="H258" s="7" t="str">
        <f>IFERROR(VLOOKUP($A258,Orders[],MATCH(H$1,Orders[#Headers],0),FALSE),"CHECK")</f>
        <v>Plant 2 Canteen</v>
      </c>
      <c r="I258">
        <f>IFERROR(VLOOKUP(OrderLines[[#This Row],[OrderID]],Orders[],MATCH(OrderLines[[#Headers],[DiscountPct]],Orders[#Headers],0),FALSE),"CHECK")</f>
        <v>0.08</v>
      </c>
      <c r="J258" t="str">
        <f>IFERROR(VLOOKUP(OrderLines[[#This Row],[OrderID]],Orders[],MATCH(OrderLines[[#Headers],[Shift]],Orders[#Headers],0),FALSE),"CHECK")</f>
        <v>Lunch</v>
      </c>
      <c r="K258" s="11">
        <f>OrderLines[[#This Row],[Qty]] * OrderLines[[#This Row],[UnitPrice]] * (1-OrderLines[[#This Row],[DiscountPct]])</f>
        <v>20.423999999999999</v>
      </c>
      <c r="L258">
        <f>OrderLines[[#This Row],[Qty]]*OrderLines[[#This Row],[UnitCost]]</f>
        <v>9.3800000000000008</v>
      </c>
    </row>
    <row r="259" spans="1:12" x14ac:dyDescent="0.25">
      <c r="A259" t="s">
        <v>145</v>
      </c>
      <c r="B259" t="s">
        <v>403</v>
      </c>
      <c r="C259">
        <v>1</v>
      </c>
      <c r="D259" s="9">
        <f>IFERROR(VLOOKUP($B259,Menu[],MATCH(D$1,Menu[#Headers],0),FALSE),"CHECK")</f>
        <v>76.55</v>
      </c>
      <c r="E259" s="9">
        <f>IFERROR(VLOOKUP($B259,Menu[],MATCH(E$1,Menu[#Headers],0),FALSE),"CHECK")</f>
        <v>38.229999999999997</v>
      </c>
      <c r="F259" t="str">
        <f>IFERROR(VLOOKUP($B259,Menu[],MATCH(F$1,Menu[#Headers],0),FALSE),"CHECK")</f>
        <v>Dessert</v>
      </c>
      <c r="G259" s="7">
        <f>IFERROR(INT(VLOOKUP($A259,Orders[],MATCH("OrderDateTime",Orders[#Headers],0),FALSE)),"CHECK")</f>
        <v>45870</v>
      </c>
      <c r="H259" s="7" t="str">
        <f>IFERROR(VLOOKUP($A259,Orders[],MATCH(H$1,Orders[#Headers],0),FALSE),"CHECK")</f>
        <v>Plant 1 Canteen</v>
      </c>
      <c r="I259">
        <f>IFERROR(VLOOKUP(OrderLines[[#This Row],[OrderID]],Orders[],MATCH(OrderLines[[#Headers],[DiscountPct]],Orders[#Headers],0),FALSE),"CHECK")</f>
        <v>7.0000000000000007E-2</v>
      </c>
      <c r="J259" t="str">
        <f>IFERROR(VLOOKUP(OrderLines[[#This Row],[OrderID]],Orders[],MATCH(OrderLines[[#Headers],[Shift]],Orders[#Headers],0),FALSE),"CHECK")</f>
        <v>Lunch</v>
      </c>
      <c r="K259" s="11">
        <f>OrderLines[[#This Row],[Qty]] * OrderLines[[#This Row],[UnitPrice]] * (1-OrderLines[[#This Row],[DiscountPct]])</f>
        <v>71.191499999999991</v>
      </c>
      <c r="L259">
        <f>OrderLines[[#This Row],[Qty]]*OrderLines[[#This Row],[UnitCost]]</f>
        <v>38.229999999999997</v>
      </c>
    </row>
    <row r="260" spans="1:12" x14ac:dyDescent="0.25">
      <c r="A260" t="s">
        <v>145</v>
      </c>
      <c r="B260" t="s">
        <v>409</v>
      </c>
      <c r="C260">
        <v>1</v>
      </c>
      <c r="D260" s="9">
        <f>IFERROR(VLOOKUP($B260,Menu[],MATCH(D$1,Menu[#Headers],0),FALSE),"CHECK")</f>
        <v>28.43</v>
      </c>
      <c r="E260" s="9">
        <f>IFERROR(VLOOKUP($B260,Menu[],MATCH(E$1,Menu[#Headers],0),FALSE),"CHECK")</f>
        <v>13.89</v>
      </c>
      <c r="F260" t="str">
        <f>IFERROR(VLOOKUP($B260,Menu[],MATCH(F$1,Menu[#Headers],0),FALSE),"CHECK")</f>
        <v>Beverage</v>
      </c>
      <c r="G260" s="7">
        <f>IFERROR(INT(VLOOKUP($A260,Orders[],MATCH("OrderDateTime",Orders[#Headers],0),FALSE)),"CHECK")</f>
        <v>45870</v>
      </c>
      <c r="H260" s="7" t="str">
        <f>IFERROR(VLOOKUP($A260,Orders[],MATCH(H$1,Orders[#Headers],0),FALSE),"CHECK")</f>
        <v>Plant 1 Canteen</v>
      </c>
      <c r="I260">
        <f>IFERROR(VLOOKUP(OrderLines[[#This Row],[OrderID]],Orders[],MATCH(OrderLines[[#Headers],[DiscountPct]],Orders[#Headers],0),FALSE),"CHECK")</f>
        <v>7.0000000000000007E-2</v>
      </c>
      <c r="J260" t="str">
        <f>IFERROR(VLOOKUP(OrderLines[[#This Row],[OrderID]],Orders[],MATCH(OrderLines[[#Headers],[Shift]],Orders[#Headers],0),FALSE),"CHECK")</f>
        <v>Lunch</v>
      </c>
      <c r="K260" s="11">
        <f>OrderLines[[#This Row],[Qty]] * OrderLines[[#This Row],[UnitPrice]] * (1-OrderLines[[#This Row],[DiscountPct]])</f>
        <v>26.439899999999998</v>
      </c>
      <c r="L260">
        <f>OrderLines[[#This Row],[Qty]]*OrderLines[[#This Row],[UnitCost]]</f>
        <v>13.89</v>
      </c>
    </row>
    <row r="261" spans="1:12" x14ac:dyDescent="0.25">
      <c r="A261" t="s">
        <v>145</v>
      </c>
      <c r="B261" t="s">
        <v>408</v>
      </c>
      <c r="C261">
        <v>1</v>
      </c>
      <c r="D261" s="9">
        <f>IFERROR(VLOOKUP($B261,Menu[],MATCH(D$1,Menu[#Headers],0),FALSE),"CHECK")</f>
        <v>70.540000000000006</v>
      </c>
      <c r="E261" s="9">
        <f>IFERROR(VLOOKUP($B261,Menu[],MATCH(E$1,Menu[#Headers],0),FALSE),"CHECK")</f>
        <v>35.81</v>
      </c>
      <c r="F261" t="str">
        <f>IFERROR(VLOOKUP($B261,Menu[],MATCH(F$1,Menu[#Headers],0),FALSE),"CHECK")</f>
        <v>Snack</v>
      </c>
      <c r="G261" s="7">
        <f>IFERROR(INT(VLOOKUP($A261,Orders[],MATCH("OrderDateTime",Orders[#Headers],0),FALSE)),"CHECK")</f>
        <v>45870</v>
      </c>
      <c r="H261" s="7" t="str">
        <f>IFERROR(VLOOKUP($A261,Orders[],MATCH(H$1,Orders[#Headers],0),FALSE),"CHECK")</f>
        <v>Plant 1 Canteen</v>
      </c>
      <c r="I261">
        <f>IFERROR(VLOOKUP(OrderLines[[#This Row],[OrderID]],Orders[],MATCH(OrderLines[[#Headers],[DiscountPct]],Orders[#Headers],0),FALSE),"CHECK")</f>
        <v>7.0000000000000007E-2</v>
      </c>
      <c r="J261" t="str">
        <f>IFERROR(VLOOKUP(OrderLines[[#This Row],[OrderID]],Orders[],MATCH(OrderLines[[#Headers],[Shift]],Orders[#Headers],0),FALSE),"CHECK")</f>
        <v>Lunch</v>
      </c>
      <c r="K261" s="11">
        <f>OrderLines[[#This Row],[Qty]] * OrderLines[[#This Row],[UnitPrice]] * (1-OrderLines[[#This Row],[DiscountPct]])</f>
        <v>65.602199999999996</v>
      </c>
      <c r="L261">
        <f>OrderLines[[#This Row],[Qty]]*OrderLines[[#This Row],[UnitCost]]</f>
        <v>35.81</v>
      </c>
    </row>
    <row r="262" spans="1:12" x14ac:dyDescent="0.25">
      <c r="A262" t="s">
        <v>145</v>
      </c>
      <c r="B262" t="s">
        <v>418</v>
      </c>
      <c r="C262">
        <v>1</v>
      </c>
      <c r="D262" s="9">
        <f>IFERROR(VLOOKUP($B262,Menu[],MATCH(D$1,Menu[#Headers],0),FALSE),"CHECK")</f>
        <v>39.950000000000003</v>
      </c>
      <c r="E262" s="9">
        <f>IFERROR(VLOOKUP($B262,Menu[],MATCH(E$1,Menu[#Headers],0),FALSE),"CHECK")</f>
        <v>15.51</v>
      </c>
      <c r="F262" t="str">
        <f>IFERROR(VLOOKUP($B262,Menu[],MATCH(F$1,Menu[#Headers],0),FALSE),"CHECK")</f>
        <v>Snack</v>
      </c>
      <c r="G262" s="7">
        <f>IFERROR(INT(VLOOKUP($A262,Orders[],MATCH("OrderDateTime",Orders[#Headers],0),FALSE)),"CHECK")</f>
        <v>45870</v>
      </c>
      <c r="H262" s="7" t="str">
        <f>IFERROR(VLOOKUP($A262,Orders[],MATCH(H$1,Orders[#Headers],0),FALSE),"CHECK")</f>
        <v>Plant 1 Canteen</v>
      </c>
      <c r="I262">
        <f>IFERROR(VLOOKUP(OrderLines[[#This Row],[OrderID]],Orders[],MATCH(OrderLines[[#Headers],[DiscountPct]],Orders[#Headers],0),FALSE),"CHECK")</f>
        <v>7.0000000000000007E-2</v>
      </c>
      <c r="J262" t="str">
        <f>IFERROR(VLOOKUP(OrderLines[[#This Row],[OrderID]],Orders[],MATCH(OrderLines[[#Headers],[Shift]],Orders[#Headers],0),FALSE),"CHECK")</f>
        <v>Lunch</v>
      </c>
      <c r="K262" s="11">
        <f>OrderLines[[#This Row],[Qty]] * OrderLines[[#This Row],[UnitPrice]] * (1-OrderLines[[#This Row],[DiscountPct]])</f>
        <v>37.153500000000001</v>
      </c>
      <c r="L262">
        <f>OrderLines[[#This Row],[Qty]]*OrderLines[[#This Row],[UnitCost]]</f>
        <v>15.51</v>
      </c>
    </row>
    <row r="263" spans="1:12" x14ac:dyDescent="0.25">
      <c r="A263" t="s">
        <v>146</v>
      </c>
      <c r="B263" t="s">
        <v>402</v>
      </c>
      <c r="C263">
        <v>2</v>
      </c>
      <c r="D263" s="9">
        <f>IFERROR(VLOOKUP($B263,Menu[],MATCH(D$1,Menu[#Headers],0),FALSE),"CHECK")</f>
        <v>30.34</v>
      </c>
      <c r="E263" s="9">
        <f>IFERROR(VLOOKUP($B263,Menu[],MATCH(E$1,Menu[#Headers],0),FALSE),"CHECK")</f>
        <v>14.18</v>
      </c>
      <c r="F263" t="str">
        <f>IFERROR(VLOOKUP($B263,Menu[],MATCH(F$1,Menu[#Headers],0),FALSE),"CHECK")</f>
        <v>Beverage</v>
      </c>
      <c r="G263" s="7">
        <f>IFERROR(INT(VLOOKUP($A263,Orders[],MATCH("OrderDateTime",Orders[#Headers],0),FALSE)),"CHECK")</f>
        <v>45862</v>
      </c>
      <c r="H263" s="7" t="str">
        <f>IFERROR(VLOOKUP($A263,Orders[],MATCH(H$1,Orders[#Headers],0),FALSE),"CHECK")</f>
        <v>Plant 2 Canteen</v>
      </c>
      <c r="I263">
        <f>IFERROR(VLOOKUP(OrderLines[[#This Row],[OrderID]],Orders[],MATCH(OrderLines[[#Headers],[DiscountPct]],Orders[#Headers],0),FALSE),"CHECK")</f>
        <v>7.0000000000000007E-2</v>
      </c>
      <c r="J263" t="str">
        <f>IFERROR(VLOOKUP(OrderLines[[#This Row],[OrderID]],Orders[],MATCH(OrderLines[[#Headers],[Shift]],Orders[#Headers],0),FALSE),"CHECK")</f>
        <v>Dinner</v>
      </c>
      <c r="K263" s="11">
        <f>OrderLines[[#This Row],[Qty]] * OrderLines[[#This Row],[UnitPrice]] * (1-OrderLines[[#This Row],[DiscountPct]])</f>
        <v>56.432399999999994</v>
      </c>
      <c r="L263">
        <f>OrderLines[[#This Row],[Qty]]*OrderLines[[#This Row],[UnitCost]]</f>
        <v>28.36</v>
      </c>
    </row>
    <row r="264" spans="1:12" x14ac:dyDescent="0.25">
      <c r="A264" t="s">
        <v>147</v>
      </c>
      <c r="B264" t="s">
        <v>402</v>
      </c>
      <c r="C264">
        <v>2</v>
      </c>
      <c r="D264" s="9">
        <f>IFERROR(VLOOKUP($B264,Menu[],MATCH(D$1,Menu[#Headers],0),FALSE),"CHECK")</f>
        <v>30.34</v>
      </c>
      <c r="E264" s="9">
        <f>IFERROR(VLOOKUP($B264,Menu[],MATCH(E$1,Menu[#Headers],0),FALSE),"CHECK")</f>
        <v>14.18</v>
      </c>
      <c r="F264" t="str">
        <f>IFERROR(VLOOKUP($B264,Menu[],MATCH(F$1,Menu[#Headers],0),FALSE),"CHECK")</f>
        <v>Beverage</v>
      </c>
      <c r="G264" s="7">
        <f>IFERROR(INT(VLOOKUP($A264,Orders[],MATCH("OrderDateTime",Orders[#Headers],0),FALSE)),"CHECK")</f>
        <v>45871</v>
      </c>
      <c r="H264" s="7" t="str">
        <f>IFERROR(VLOOKUP($A264,Orders[],MATCH(H$1,Orders[#Headers],0),FALSE),"CHECK")</f>
        <v>Plant 1 Canteen</v>
      </c>
      <c r="I264">
        <f>IFERROR(VLOOKUP(OrderLines[[#This Row],[OrderID]],Orders[],MATCH(OrderLines[[#Headers],[DiscountPct]],Orders[#Headers],0),FALSE),"CHECK")</f>
        <v>7.0000000000000007E-2</v>
      </c>
      <c r="J264" t="str">
        <f>IFERROR(VLOOKUP(OrderLines[[#This Row],[OrderID]],Orders[],MATCH(OrderLines[[#Headers],[Shift]],Orders[#Headers],0),FALSE),"CHECK")</f>
        <v>Dinner</v>
      </c>
      <c r="K264" s="11">
        <f>OrderLines[[#This Row],[Qty]] * OrderLines[[#This Row],[UnitPrice]] * (1-OrderLines[[#This Row],[DiscountPct]])</f>
        <v>56.432399999999994</v>
      </c>
      <c r="L264">
        <f>OrderLines[[#This Row],[Qty]]*OrderLines[[#This Row],[UnitCost]]</f>
        <v>28.36</v>
      </c>
    </row>
    <row r="265" spans="1:12" x14ac:dyDescent="0.25">
      <c r="A265" t="s">
        <v>147</v>
      </c>
      <c r="B265" t="s">
        <v>416</v>
      </c>
      <c r="C265">
        <v>2</v>
      </c>
      <c r="D265" s="9">
        <f>IFERROR(VLOOKUP($B265,Menu[],MATCH(D$1,Menu[#Headers],0),FALSE),"CHECK")</f>
        <v>227.61</v>
      </c>
      <c r="E265" s="9">
        <f>IFERROR(VLOOKUP($B265,Menu[],MATCH(E$1,Menu[#Headers],0),FALSE),"CHECK")</f>
        <v>96.22</v>
      </c>
      <c r="F265" t="str">
        <f>IFERROR(VLOOKUP($B265,Menu[],MATCH(F$1,Menu[#Headers],0),FALSE),"CHECK")</f>
        <v>Hot Meal</v>
      </c>
      <c r="G265" s="7">
        <f>IFERROR(INT(VLOOKUP($A265,Orders[],MATCH("OrderDateTime",Orders[#Headers],0),FALSE)),"CHECK")</f>
        <v>45871</v>
      </c>
      <c r="H265" s="7" t="str">
        <f>IFERROR(VLOOKUP($A265,Orders[],MATCH(H$1,Orders[#Headers],0),FALSE),"CHECK")</f>
        <v>Plant 1 Canteen</v>
      </c>
      <c r="I265">
        <f>IFERROR(VLOOKUP(OrderLines[[#This Row],[OrderID]],Orders[],MATCH(OrderLines[[#Headers],[DiscountPct]],Orders[#Headers],0),FALSE),"CHECK")</f>
        <v>7.0000000000000007E-2</v>
      </c>
      <c r="J265" t="str">
        <f>IFERROR(VLOOKUP(OrderLines[[#This Row],[OrderID]],Orders[],MATCH(OrderLines[[#Headers],[Shift]],Orders[#Headers],0),FALSE),"CHECK")</f>
        <v>Dinner</v>
      </c>
      <c r="K265" s="11">
        <f>OrderLines[[#This Row],[Qty]] * OrderLines[[#This Row],[UnitPrice]] * (1-OrderLines[[#This Row],[DiscountPct]])</f>
        <v>423.3546</v>
      </c>
      <c r="L265">
        <f>OrderLines[[#This Row],[Qty]]*OrderLines[[#This Row],[UnitCost]]</f>
        <v>192.44</v>
      </c>
    </row>
    <row r="266" spans="1:12" x14ac:dyDescent="0.25">
      <c r="A266" t="s">
        <v>147</v>
      </c>
      <c r="B266" t="s">
        <v>412</v>
      </c>
      <c r="C266">
        <v>1</v>
      </c>
      <c r="D266" s="9">
        <f>IFERROR(VLOOKUP($B266,Menu[],MATCH(D$1,Menu[#Headers],0),FALSE),"CHECK")</f>
        <v>57.07</v>
      </c>
      <c r="E266" s="9">
        <f>IFERROR(VLOOKUP($B266,Menu[],MATCH(E$1,Menu[#Headers],0),FALSE),"CHECK")</f>
        <v>29.14</v>
      </c>
      <c r="F266" t="str">
        <f>IFERROR(VLOOKUP($B266,Menu[],MATCH(F$1,Menu[#Headers],0),FALSE),"CHECK")</f>
        <v>Dessert</v>
      </c>
      <c r="G266" s="7">
        <f>IFERROR(INT(VLOOKUP($A266,Orders[],MATCH("OrderDateTime",Orders[#Headers],0),FALSE)),"CHECK")</f>
        <v>45871</v>
      </c>
      <c r="H266" s="7" t="str">
        <f>IFERROR(VLOOKUP($A266,Orders[],MATCH(H$1,Orders[#Headers],0),FALSE),"CHECK")</f>
        <v>Plant 1 Canteen</v>
      </c>
      <c r="I266">
        <f>IFERROR(VLOOKUP(OrderLines[[#This Row],[OrderID]],Orders[],MATCH(OrderLines[[#Headers],[DiscountPct]],Orders[#Headers],0),FALSE),"CHECK")</f>
        <v>7.0000000000000007E-2</v>
      </c>
      <c r="J266" t="str">
        <f>IFERROR(VLOOKUP(OrderLines[[#This Row],[OrderID]],Orders[],MATCH(OrderLines[[#Headers],[Shift]],Orders[#Headers],0),FALSE),"CHECK")</f>
        <v>Dinner</v>
      </c>
      <c r="K266" s="11">
        <f>OrderLines[[#This Row],[Qty]] * OrderLines[[#This Row],[UnitPrice]] * (1-OrderLines[[#This Row],[DiscountPct]])</f>
        <v>53.075099999999999</v>
      </c>
      <c r="L266">
        <f>OrderLines[[#This Row],[Qty]]*OrderLines[[#This Row],[UnitCost]]</f>
        <v>29.14</v>
      </c>
    </row>
    <row r="267" spans="1:12" x14ac:dyDescent="0.25">
      <c r="A267" t="s">
        <v>147</v>
      </c>
      <c r="B267" t="s">
        <v>407</v>
      </c>
      <c r="C267">
        <v>1</v>
      </c>
      <c r="D267" s="9">
        <f>IFERROR(VLOOKUP($B267,Menu[],MATCH(D$1,Menu[#Headers],0),FALSE),"CHECK")</f>
        <v>246.09</v>
      </c>
      <c r="E267" s="9">
        <f>IFERROR(VLOOKUP($B267,Menu[],MATCH(E$1,Menu[#Headers],0),FALSE),"CHECK")</f>
        <v>112.08</v>
      </c>
      <c r="F267" t="str">
        <f>IFERROR(VLOOKUP($B267,Menu[],MATCH(F$1,Menu[#Headers],0),FALSE),"CHECK")</f>
        <v>Hot Meal</v>
      </c>
      <c r="G267" s="7">
        <f>IFERROR(INT(VLOOKUP($A267,Orders[],MATCH("OrderDateTime",Orders[#Headers],0),FALSE)),"CHECK")</f>
        <v>45871</v>
      </c>
      <c r="H267" s="7" t="str">
        <f>IFERROR(VLOOKUP($A267,Orders[],MATCH(H$1,Orders[#Headers],0),FALSE),"CHECK")</f>
        <v>Plant 1 Canteen</v>
      </c>
      <c r="I267">
        <f>IFERROR(VLOOKUP(OrderLines[[#This Row],[OrderID]],Orders[],MATCH(OrderLines[[#Headers],[DiscountPct]],Orders[#Headers],0),FALSE),"CHECK")</f>
        <v>7.0000000000000007E-2</v>
      </c>
      <c r="J267" t="str">
        <f>IFERROR(VLOOKUP(OrderLines[[#This Row],[OrderID]],Orders[],MATCH(OrderLines[[#Headers],[Shift]],Orders[#Headers],0),FALSE),"CHECK")</f>
        <v>Dinner</v>
      </c>
      <c r="K267" s="11">
        <f>OrderLines[[#This Row],[Qty]] * OrderLines[[#This Row],[UnitPrice]] * (1-OrderLines[[#This Row],[DiscountPct]])</f>
        <v>228.86369999999999</v>
      </c>
      <c r="L267">
        <f>OrderLines[[#This Row],[Qty]]*OrderLines[[#This Row],[UnitCost]]</f>
        <v>112.08</v>
      </c>
    </row>
    <row r="268" spans="1:12" x14ac:dyDescent="0.25">
      <c r="A268" t="s">
        <v>148</v>
      </c>
      <c r="B268" t="s">
        <v>417</v>
      </c>
      <c r="C268">
        <v>2</v>
      </c>
      <c r="D268" s="9">
        <f>IFERROR(VLOOKUP($B268,Menu[],MATCH(D$1,Menu[#Headers],0),FALSE),"CHECK")</f>
        <v>146.4</v>
      </c>
      <c r="E268" s="9">
        <f>IFERROR(VLOOKUP($B268,Menu[],MATCH(E$1,Menu[#Headers],0),FALSE),"CHECK")</f>
        <v>80.92</v>
      </c>
      <c r="F268" t="str">
        <f>IFERROR(VLOOKUP($B268,Menu[],MATCH(F$1,Menu[#Headers],0),FALSE),"CHECK")</f>
        <v>Hot Meal</v>
      </c>
      <c r="G268" s="7">
        <f>IFERROR(INT(VLOOKUP($A268,Orders[],MATCH("OrderDateTime",Orders[#Headers],0),FALSE)),"CHECK")</f>
        <v>45886</v>
      </c>
      <c r="H268" s="7" t="str">
        <f>IFERROR(VLOOKUP($A268,Orders[],MATCH(H$1,Orders[#Headers],0),FALSE),"CHECK")</f>
        <v>Plant 1 Canteen</v>
      </c>
      <c r="I268">
        <f>IFERROR(VLOOKUP(OrderLines[[#This Row],[OrderID]],Orders[],MATCH(OrderLines[[#Headers],[DiscountPct]],Orders[#Headers],0),FALSE),"CHECK")</f>
        <v>0.03</v>
      </c>
      <c r="J268" t="str">
        <f>IFERROR(VLOOKUP(OrderLines[[#This Row],[OrderID]],Orders[],MATCH(OrderLines[[#Headers],[Shift]],Orders[#Headers],0),FALSE),"CHECK")</f>
        <v>Lunch</v>
      </c>
      <c r="K268" s="11">
        <f>OrderLines[[#This Row],[Qty]] * OrderLines[[#This Row],[UnitPrice]] * (1-OrderLines[[#This Row],[DiscountPct]])</f>
        <v>284.01600000000002</v>
      </c>
      <c r="L268">
        <f>OrderLines[[#This Row],[Qty]]*OrderLines[[#This Row],[UnitCost]]</f>
        <v>161.84</v>
      </c>
    </row>
    <row r="269" spans="1:12" x14ac:dyDescent="0.25">
      <c r="A269" t="s">
        <v>148</v>
      </c>
      <c r="B269" t="s">
        <v>404</v>
      </c>
      <c r="C269">
        <v>1</v>
      </c>
      <c r="D269" s="9">
        <f>IFERROR(VLOOKUP($B269,Menu[],MATCH(D$1,Menu[#Headers],0),FALSE),"CHECK")</f>
        <v>32.979999999999997</v>
      </c>
      <c r="E269" s="9">
        <f>IFERROR(VLOOKUP($B269,Menu[],MATCH(E$1,Menu[#Headers],0),FALSE),"CHECK")</f>
        <v>11.84</v>
      </c>
      <c r="F269" t="str">
        <f>IFERROR(VLOOKUP($B269,Menu[],MATCH(F$1,Menu[#Headers],0),FALSE),"CHECK")</f>
        <v>Beverage</v>
      </c>
      <c r="G269" s="7">
        <f>IFERROR(INT(VLOOKUP($A269,Orders[],MATCH("OrderDateTime",Orders[#Headers],0),FALSE)),"CHECK")</f>
        <v>45886</v>
      </c>
      <c r="H269" s="7" t="str">
        <f>IFERROR(VLOOKUP($A269,Orders[],MATCH(H$1,Orders[#Headers],0),FALSE),"CHECK")</f>
        <v>Plant 1 Canteen</v>
      </c>
      <c r="I269">
        <f>IFERROR(VLOOKUP(OrderLines[[#This Row],[OrderID]],Orders[],MATCH(OrderLines[[#Headers],[DiscountPct]],Orders[#Headers],0),FALSE),"CHECK")</f>
        <v>0.03</v>
      </c>
      <c r="J269" t="str">
        <f>IFERROR(VLOOKUP(OrderLines[[#This Row],[OrderID]],Orders[],MATCH(OrderLines[[#Headers],[Shift]],Orders[#Headers],0),FALSE),"CHECK")</f>
        <v>Lunch</v>
      </c>
      <c r="K269" s="11">
        <f>OrderLines[[#This Row],[Qty]] * OrderLines[[#This Row],[UnitPrice]] * (1-OrderLines[[#This Row],[DiscountPct]])</f>
        <v>31.990599999999997</v>
      </c>
      <c r="L269">
        <f>OrderLines[[#This Row],[Qty]]*OrderLines[[#This Row],[UnitCost]]</f>
        <v>11.84</v>
      </c>
    </row>
    <row r="270" spans="1:12" x14ac:dyDescent="0.25">
      <c r="A270" t="s">
        <v>148</v>
      </c>
      <c r="B270" t="s">
        <v>410</v>
      </c>
      <c r="C270">
        <v>1</v>
      </c>
      <c r="D270" s="9">
        <f>IFERROR(VLOOKUP($B270,Menu[],MATCH(D$1,Menu[#Headers],0),FALSE),"CHECK")</f>
        <v>20.11</v>
      </c>
      <c r="E270" s="9">
        <f>IFERROR(VLOOKUP($B270,Menu[],MATCH(E$1,Menu[#Headers],0),FALSE),"CHECK")</f>
        <v>8</v>
      </c>
      <c r="F270" t="str">
        <f>IFERROR(VLOOKUP($B270,Menu[],MATCH(F$1,Menu[#Headers],0),FALSE),"CHECK")</f>
        <v>Beverage</v>
      </c>
      <c r="G270" s="7">
        <f>IFERROR(INT(VLOOKUP($A270,Orders[],MATCH("OrderDateTime",Orders[#Headers],0),FALSE)),"CHECK")</f>
        <v>45886</v>
      </c>
      <c r="H270" s="7" t="str">
        <f>IFERROR(VLOOKUP($A270,Orders[],MATCH(H$1,Orders[#Headers],0),FALSE),"CHECK")</f>
        <v>Plant 1 Canteen</v>
      </c>
      <c r="I270">
        <f>IFERROR(VLOOKUP(OrderLines[[#This Row],[OrderID]],Orders[],MATCH(OrderLines[[#Headers],[DiscountPct]],Orders[#Headers],0),FALSE),"CHECK")</f>
        <v>0.03</v>
      </c>
      <c r="J270" t="str">
        <f>IFERROR(VLOOKUP(OrderLines[[#This Row],[OrderID]],Orders[],MATCH(OrderLines[[#Headers],[Shift]],Orders[#Headers],0),FALSE),"CHECK")</f>
        <v>Lunch</v>
      </c>
      <c r="K270" s="11">
        <f>OrderLines[[#This Row],[Qty]] * OrderLines[[#This Row],[UnitPrice]] * (1-OrderLines[[#This Row],[DiscountPct]])</f>
        <v>19.506699999999999</v>
      </c>
      <c r="L270">
        <f>OrderLines[[#This Row],[Qty]]*OrderLines[[#This Row],[UnitCost]]</f>
        <v>8</v>
      </c>
    </row>
    <row r="271" spans="1:12" x14ac:dyDescent="0.25">
      <c r="A271" t="s">
        <v>149</v>
      </c>
      <c r="B271" t="s">
        <v>414</v>
      </c>
      <c r="C271">
        <v>1</v>
      </c>
      <c r="D271" s="9">
        <f>IFERROR(VLOOKUP($B271,Menu[],MATCH(D$1,Menu[#Headers],0),FALSE),"CHECK")</f>
        <v>116.8</v>
      </c>
      <c r="E271" s="9">
        <f>IFERROR(VLOOKUP($B271,Menu[],MATCH(E$1,Menu[#Headers],0),FALSE),"CHECK")</f>
        <v>48.97</v>
      </c>
      <c r="F271" t="str">
        <f>IFERROR(VLOOKUP($B271,Menu[],MATCH(F$1,Menu[#Headers],0),FALSE),"CHECK")</f>
        <v>Dessert</v>
      </c>
      <c r="G271" s="7">
        <f>IFERROR(INT(VLOOKUP($A271,Orders[],MATCH("OrderDateTime",Orders[#Headers],0),FALSE)),"CHECK")</f>
        <v>45866</v>
      </c>
      <c r="H271" s="7" t="str">
        <f>IFERROR(VLOOKUP($A271,Orders[],MATCH(H$1,Orders[#Headers],0),FALSE),"CHECK")</f>
        <v>Head Office Café</v>
      </c>
      <c r="I271">
        <f>IFERROR(VLOOKUP(OrderLines[[#This Row],[OrderID]],Orders[],MATCH(OrderLines[[#Headers],[DiscountPct]],Orders[#Headers],0),FALSE),"CHECK")</f>
        <v>7.0000000000000007E-2</v>
      </c>
      <c r="J271" t="str">
        <f>IFERROR(VLOOKUP(OrderLines[[#This Row],[OrderID]],Orders[],MATCH(OrderLines[[#Headers],[Shift]],Orders[#Headers],0),FALSE),"CHECK")</f>
        <v>Breakfast</v>
      </c>
      <c r="K271" s="11">
        <f>OrderLines[[#This Row],[Qty]] * OrderLines[[#This Row],[UnitPrice]] * (1-OrderLines[[#This Row],[DiscountPct]])</f>
        <v>108.624</v>
      </c>
      <c r="L271">
        <f>OrderLines[[#This Row],[Qty]]*OrderLines[[#This Row],[UnitCost]]</f>
        <v>48.97</v>
      </c>
    </row>
    <row r="272" spans="1:12" x14ac:dyDescent="0.25">
      <c r="A272" t="s">
        <v>149</v>
      </c>
      <c r="B272" t="s">
        <v>417</v>
      </c>
      <c r="C272">
        <v>2</v>
      </c>
      <c r="D272" s="9">
        <f>IFERROR(VLOOKUP($B272,Menu[],MATCH(D$1,Menu[#Headers],0),FALSE),"CHECK")</f>
        <v>146.4</v>
      </c>
      <c r="E272" s="9">
        <f>IFERROR(VLOOKUP($B272,Menu[],MATCH(E$1,Menu[#Headers],0),FALSE),"CHECK")</f>
        <v>80.92</v>
      </c>
      <c r="F272" t="str">
        <f>IFERROR(VLOOKUP($B272,Menu[],MATCH(F$1,Menu[#Headers],0),FALSE),"CHECK")</f>
        <v>Hot Meal</v>
      </c>
      <c r="G272" s="7">
        <f>IFERROR(INT(VLOOKUP($A272,Orders[],MATCH("OrderDateTime",Orders[#Headers],0),FALSE)),"CHECK")</f>
        <v>45866</v>
      </c>
      <c r="H272" s="7" t="str">
        <f>IFERROR(VLOOKUP($A272,Orders[],MATCH(H$1,Orders[#Headers],0),FALSE),"CHECK")</f>
        <v>Head Office Café</v>
      </c>
      <c r="I272">
        <f>IFERROR(VLOOKUP(OrderLines[[#This Row],[OrderID]],Orders[],MATCH(OrderLines[[#Headers],[DiscountPct]],Orders[#Headers],0),FALSE),"CHECK")</f>
        <v>7.0000000000000007E-2</v>
      </c>
      <c r="J272" t="str">
        <f>IFERROR(VLOOKUP(OrderLines[[#This Row],[OrderID]],Orders[],MATCH(OrderLines[[#Headers],[Shift]],Orders[#Headers],0),FALSE),"CHECK")</f>
        <v>Breakfast</v>
      </c>
      <c r="K272" s="11">
        <f>OrderLines[[#This Row],[Qty]] * OrderLines[[#This Row],[UnitPrice]] * (1-OrderLines[[#This Row],[DiscountPct]])</f>
        <v>272.30399999999997</v>
      </c>
      <c r="L272">
        <f>OrderLines[[#This Row],[Qty]]*OrderLines[[#This Row],[UnitCost]]</f>
        <v>161.84</v>
      </c>
    </row>
    <row r="273" spans="1:12" x14ac:dyDescent="0.25">
      <c r="A273" t="s">
        <v>149</v>
      </c>
      <c r="B273" t="s">
        <v>402</v>
      </c>
      <c r="C273">
        <v>1</v>
      </c>
      <c r="D273" s="9">
        <f>IFERROR(VLOOKUP($B273,Menu[],MATCH(D$1,Menu[#Headers],0),FALSE),"CHECK")</f>
        <v>30.34</v>
      </c>
      <c r="E273" s="9">
        <f>IFERROR(VLOOKUP($B273,Menu[],MATCH(E$1,Menu[#Headers],0),FALSE),"CHECK")</f>
        <v>14.18</v>
      </c>
      <c r="F273" t="str">
        <f>IFERROR(VLOOKUP($B273,Menu[],MATCH(F$1,Menu[#Headers],0),FALSE),"CHECK")</f>
        <v>Beverage</v>
      </c>
      <c r="G273" s="7">
        <f>IFERROR(INT(VLOOKUP($A273,Orders[],MATCH("OrderDateTime",Orders[#Headers],0),FALSE)),"CHECK")</f>
        <v>45866</v>
      </c>
      <c r="H273" s="7" t="str">
        <f>IFERROR(VLOOKUP($A273,Orders[],MATCH(H$1,Orders[#Headers],0),FALSE),"CHECK")</f>
        <v>Head Office Café</v>
      </c>
      <c r="I273">
        <f>IFERROR(VLOOKUP(OrderLines[[#This Row],[OrderID]],Orders[],MATCH(OrderLines[[#Headers],[DiscountPct]],Orders[#Headers],0),FALSE),"CHECK")</f>
        <v>7.0000000000000007E-2</v>
      </c>
      <c r="J273" t="str">
        <f>IFERROR(VLOOKUP(OrderLines[[#This Row],[OrderID]],Orders[],MATCH(OrderLines[[#Headers],[Shift]],Orders[#Headers],0),FALSE),"CHECK")</f>
        <v>Breakfast</v>
      </c>
      <c r="K273" s="11">
        <f>OrderLines[[#This Row],[Qty]] * OrderLines[[#This Row],[UnitPrice]] * (1-OrderLines[[#This Row],[DiscountPct]])</f>
        <v>28.216199999999997</v>
      </c>
      <c r="L273">
        <f>OrderLines[[#This Row],[Qty]]*OrderLines[[#This Row],[UnitCost]]</f>
        <v>14.18</v>
      </c>
    </row>
    <row r="274" spans="1:12" x14ac:dyDescent="0.25">
      <c r="A274" t="s">
        <v>150</v>
      </c>
      <c r="B274" t="s">
        <v>417</v>
      </c>
      <c r="C274">
        <v>1</v>
      </c>
      <c r="D274" s="9">
        <f>IFERROR(VLOOKUP($B274,Menu[],MATCH(D$1,Menu[#Headers],0),FALSE),"CHECK")</f>
        <v>146.4</v>
      </c>
      <c r="E274" s="9">
        <f>IFERROR(VLOOKUP($B274,Menu[],MATCH(E$1,Menu[#Headers],0),FALSE),"CHECK")</f>
        <v>80.92</v>
      </c>
      <c r="F274" t="str">
        <f>IFERROR(VLOOKUP($B274,Menu[],MATCH(F$1,Menu[#Headers],0),FALSE),"CHECK")</f>
        <v>Hot Meal</v>
      </c>
      <c r="G274" s="7">
        <f>IFERROR(INT(VLOOKUP($A274,Orders[],MATCH("OrderDateTime",Orders[#Headers],0),FALSE)),"CHECK")</f>
        <v>45840</v>
      </c>
      <c r="H274" s="7" t="str">
        <f>IFERROR(VLOOKUP($A274,Orders[],MATCH(H$1,Orders[#Headers],0),FALSE),"CHECK")</f>
        <v>Head Office Café</v>
      </c>
      <c r="I274">
        <f>IFERROR(VLOOKUP(OrderLines[[#This Row],[OrderID]],Orders[],MATCH(OrderLines[[#Headers],[DiscountPct]],Orders[#Headers],0),FALSE),"CHECK")</f>
        <v>7.0000000000000007E-2</v>
      </c>
      <c r="J274" t="str">
        <f>IFERROR(VLOOKUP(OrderLines[[#This Row],[OrderID]],Orders[],MATCH(OrderLines[[#Headers],[Shift]],Orders[#Headers],0),FALSE),"CHECK")</f>
        <v>Breakfast</v>
      </c>
      <c r="K274" s="11">
        <f>OrderLines[[#This Row],[Qty]] * OrderLines[[#This Row],[UnitPrice]] * (1-OrderLines[[#This Row],[DiscountPct]])</f>
        <v>136.15199999999999</v>
      </c>
      <c r="L274">
        <f>OrderLines[[#This Row],[Qty]]*OrderLines[[#This Row],[UnitCost]]</f>
        <v>80.92</v>
      </c>
    </row>
    <row r="275" spans="1:12" x14ac:dyDescent="0.25">
      <c r="A275" t="s">
        <v>150</v>
      </c>
      <c r="B275" t="s">
        <v>405</v>
      </c>
      <c r="C275">
        <v>1</v>
      </c>
      <c r="D275" s="9">
        <f>IFERROR(VLOOKUP($B275,Menu[],MATCH(D$1,Menu[#Headers],0),FALSE),"CHECK")</f>
        <v>170.83</v>
      </c>
      <c r="E275" s="9">
        <f>IFERROR(VLOOKUP($B275,Menu[],MATCH(E$1,Menu[#Headers],0),FALSE),"CHECK")</f>
        <v>74.069999999999993</v>
      </c>
      <c r="F275" t="str">
        <f>IFERROR(VLOOKUP($B275,Menu[],MATCH(F$1,Menu[#Headers],0),FALSE),"CHECK")</f>
        <v>Hot Meal</v>
      </c>
      <c r="G275" s="7">
        <f>IFERROR(INT(VLOOKUP($A275,Orders[],MATCH("OrderDateTime",Orders[#Headers],0),FALSE)),"CHECK")</f>
        <v>45840</v>
      </c>
      <c r="H275" s="7" t="str">
        <f>IFERROR(VLOOKUP($A275,Orders[],MATCH(H$1,Orders[#Headers],0),FALSE),"CHECK")</f>
        <v>Head Office Café</v>
      </c>
      <c r="I275">
        <f>IFERROR(VLOOKUP(OrderLines[[#This Row],[OrderID]],Orders[],MATCH(OrderLines[[#Headers],[DiscountPct]],Orders[#Headers],0),FALSE),"CHECK")</f>
        <v>7.0000000000000007E-2</v>
      </c>
      <c r="J275" t="str">
        <f>IFERROR(VLOOKUP(OrderLines[[#This Row],[OrderID]],Orders[],MATCH(OrderLines[[#Headers],[Shift]],Orders[#Headers],0),FALSE),"CHECK")</f>
        <v>Breakfast</v>
      </c>
      <c r="K275" s="11">
        <f>OrderLines[[#This Row],[Qty]] * OrderLines[[#This Row],[UnitPrice]] * (1-OrderLines[[#This Row],[DiscountPct]])</f>
        <v>158.87190000000001</v>
      </c>
      <c r="L275">
        <f>OrderLines[[#This Row],[Qty]]*OrderLines[[#This Row],[UnitCost]]</f>
        <v>74.069999999999993</v>
      </c>
    </row>
    <row r="276" spans="1:12" x14ac:dyDescent="0.25">
      <c r="A276" t="s">
        <v>150</v>
      </c>
      <c r="B276" t="s">
        <v>414</v>
      </c>
      <c r="C276">
        <v>1</v>
      </c>
      <c r="D276" s="9">
        <f>IFERROR(VLOOKUP($B276,Menu[],MATCH(D$1,Menu[#Headers],0),FALSE),"CHECK")</f>
        <v>116.8</v>
      </c>
      <c r="E276" s="9">
        <f>IFERROR(VLOOKUP($B276,Menu[],MATCH(E$1,Menu[#Headers],0),FALSE),"CHECK")</f>
        <v>48.97</v>
      </c>
      <c r="F276" t="str">
        <f>IFERROR(VLOOKUP($B276,Menu[],MATCH(F$1,Menu[#Headers],0),FALSE),"CHECK")</f>
        <v>Dessert</v>
      </c>
      <c r="G276" s="7">
        <f>IFERROR(INT(VLOOKUP($A276,Orders[],MATCH("OrderDateTime",Orders[#Headers],0),FALSE)),"CHECK")</f>
        <v>45840</v>
      </c>
      <c r="H276" s="7" t="str">
        <f>IFERROR(VLOOKUP($A276,Orders[],MATCH(H$1,Orders[#Headers],0),FALSE),"CHECK")</f>
        <v>Head Office Café</v>
      </c>
      <c r="I276">
        <f>IFERROR(VLOOKUP(OrderLines[[#This Row],[OrderID]],Orders[],MATCH(OrderLines[[#Headers],[DiscountPct]],Orders[#Headers],0),FALSE),"CHECK")</f>
        <v>7.0000000000000007E-2</v>
      </c>
      <c r="J276" t="str">
        <f>IFERROR(VLOOKUP(OrderLines[[#This Row],[OrderID]],Orders[],MATCH(OrderLines[[#Headers],[Shift]],Orders[#Headers],0),FALSE),"CHECK")</f>
        <v>Breakfast</v>
      </c>
      <c r="K276" s="11">
        <f>OrderLines[[#This Row],[Qty]] * OrderLines[[#This Row],[UnitPrice]] * (1-OrderLines[[#This Row],[DiscountPct]])</f>
        <v>108.624</v>
      </c>
      <c r="L276">
        <f>OrderLines[[#This Row],[Qty]]*OrderLines[[#This Row],[UnitCost]]</f>
        <v>48.97</v>
      </c>
    </row>
    <row r="277" spans="1:12" x14ac:dyDescent="0.25">
      <c r="A277" t="s">
        <v>150</v>
      </c>
      <c r="B277" t="s">
        <v>412</v>
      </c>
      <c r="C277">
        <v>2</v>
      </c>
      <c r="D277" s="9">
        <f>IFERROR(VLOOKUP($B277,Menu[],MATCH(D$1,Menu[#Headers],0),FALSE),"CHECK")</f>
        <v>57.07</v>
      </c>
      <c r="E277" s="9">
        <f>IFERROR(VLOOKUP($B277,Menu[],MATCH(E$1,Menu[#Headers],0),FALSE),"CHECK")</f>
        <v>29.14</v>
      </c>
      <c r="F277" t="str">
        <f>IFERROR(VLOOKUP($B277,Menu[],MATCH(F$1,Menu[#Headers],0),FALSE),"CHECK")</f>
        <v>Dessert</v>
      </c>
      <c r="G277" s="7">
        <f>IFERROR(INT(VLOOKUP($A277,Orders[],MATCH("OrderDateTime",Orders[#Headers],0),FALSE)),"CHECK")</f>
        <v>45840</v>
      </c>
      <c r="H277" s="7" t="str">
        <f>IFERROR(VLOOKUP($A277,Orders[],MATCH(H$1,Orders[#Headers],0),FALSE),"CHECK")</f>
        <v>Head Office Café</v>
      </c>
      <c r="I277">
        <f>IFERROR(VLOOKUP(OrderLines[[#This Row],[OrderID]],Orders[],MATCH(OrderLines[[#Headers],[DiscountPct]],Orders[#Headers],0),FALSE),"CHECK")</f>
        <v>7.0000000000000007E-2</v>
      </c>
      <c r="J277" t="str">
        <f>IFERROR(VLOOKUP(OrderLines[[#This Row],[OrderID]],Orders[],MATCH(OrderLines[[#Headers],[Shift]],Orders[#Headers],0),FALSE),"CHECK")</f>
        <v>Breakfast</v>
      </c>
      <c r="K277" s="11">
        <f>OrderLines[[#This Row],[Qty]] * OrderLines[[#This Row],[UnitPrice]] * (1-OrderLines[[#This Row],[DiscountPct]])</f>
        <v>106.1502</v>
      </c>
      <c r="L277">
        <f>OrderLines[[#This Row],[Qty]]*OrderLines[[#This Row],[UnitCost]]</f>
        <v>58.28</v>
      </c>
    </row>
    <row r="278" spans="1:12" x14ac:dyDescent="0.25">
      <c r="A278" t="s">
        <v>151</v>
      </c>
      <c r="B278" t="s">
        <v>419</v>
      </c>
      <c r="C278">
        <v>3</v>
      </c>
      <c r="D278" s="9">
        <f>IFERROR(VLOOKUP($B278,Menu[],MATCH(D$1,Menu[#Headers],0),FALSE),"CHECK")</f>
        <v>50.19</v>
      </c>
      <c r="E278" s="9">
        <f>IFERROR(VLOOKUP($B278,Menu[],MATCH(E$1,Menu[#Headers],0),FALSE),"CHECK")</f>
        <v>22.61</v>
      </c>
      <c r="F278" t="str">
        <f>IFERROR(VLOOKUP($B278,Menu[],MATCH(F$1,Menu[#Headers],0),FALSE),"CHECK")</f>
        <v>Snack</v>
      </c>
      <c r="G278" s="7">
        <f>IFERROR(INT(VLOOKUP($A278,Orders[],MATCH("OrderDateTime",Orders[#Headers],0),FALSE)),"CHECK")</f>
        <v>45878</v>
      </c>
      <c r="H278" s="7" t="str">
        <f>IFERROR(VLOOKUP($A278,Orders[],MATCH(H$1,Orders[#Headers],0),FALSE),"CHECK")</f>
        <v>Plant 2 Canteen</v>
      </c>
      <c r="I278">
        <f>IFERROR(VLOOKUP(OrderLines[[#This Row],[OrderID]],Orders[],MATCH(OrderLines[[#Headers],[DiscountPct]],Orders[#Headers],0),FALSE),"CHECK")</f>
        <v>0.03</v>
      </c>
      <c r="J278" t="str">
        <f>IFERROR(VLOOKUP(OrderLines[[#This Row],[OrderID]],Orders[],MATCH(OrderLines[[#Headers],[Shift]],Orders[#Headers],0),FALSE),"CHECK")</f>
        <v>Dinner</v>
      </c>
      <c r="K278" s="11">
        <f>OrderLines[[#This Row],[Qty]] * OrderLines[[#This Row],[UnitPrice]] * (1-OrderLines[[#This Row],[DiscountPct]])</f>
        <v>146.05289999999999</v>
      </c>
      <c r="L278">
        <f>OrderLines[[#This Row],[Qty]]*OrderLines[[#This Row],[UnitCost]]</f>
        <v>67.83</v>
      </c>
    </row>
    <row r="279" spans="1:12" x14ac:dyDescent="0.25">
      <c r="A279" t="s">
        <v>151</v>
      </c>
      <c r="B279" t="s">
        <v>413</v>
      </c>
      <c r="C279">
        <v>2</v>
      </c>
      <c r="D279" s="9">
        <f>IFERROR(VLOOKUP($B279,Menu[],MATCH(D$1,Menu[#Headers],0),FALSE),"CHECK")</f>
        <v>54.2</v>
      </c>
      <c r="E279" s="9">
        <f>IFERROR(VLOOKUP($B279,Menu[],MATCH(E$1,Menu[#Headers],0),FALSE),"CHECK")</f>
        <v>21.95</v>
      </c>
      <c r="F279" t="str">
        <f>IFERROR(VLOOKUP($B279,Menu[],MATCH(F$1,Menu[#Headers],0),FALSE),"CHECK")</f>
        <v>Dessert</v>
      </c>
      <c r="G279" s="7">
        <f>IFERROR(INT(VLOOKUP($A279,Orders[],MATCH("OrderDateTime",Orders[#Headers],0),FALSE)),"CHECK")</f>
        <v>45878</v>
      </c>
      <c r="H279" s="7" t="str">
        <f>IFERROR(VLOOKUP($A279,Orders[],MATCH(H$1,Orders[#Headers],0),FALSE),"CHECK")</f>
        <v>Plant 2 Canteen</v>
      </c>
      <c r="I279">
        <f>IFERROR(VLOOKUP(OrderLines[[#This Row],[OrderID]],Orders[],MATCH(OrderLines[[#Headers],[DiscountPct]],Orders[#Headers],0),FALSE),"CHECK")</f>
        <v>0.03</v>
      </c>
      <c r="J279" t="str">
        <f>IFERROR(VLOOKUP(OrderLines[[#This Row],[OrderID]],Orders[],MATCH(OrderLines[[#Headers],[Shift]],Orders[#Headers],0),FALSE),"CHECK")</f>
        <v>Dinner</v>
      </c>
      <c r="K279" s="11">
        <f>OrderLines[[#This Row],[Qty]] * OrderLines[[#This Row],[UnitPrice]] * (1-OrderLines[[#This Row],[DiscountPct]])</f>
        <v>105.148</v>
      </c>
      <c r="L279">
        <f>OrderLines[[#This Row],[Qty]]*OrderLines[[#This Row],[UnitCost]]</f>
        <v>43.9</v>
      </c>
    </row>
    <row r="280" spans="1:12" x14ac:dyDescent="0.25">
      <c r="A280" t="s">
        <v>152</v>
      </c>
      <c r="B280" t="s">
        <v>407</v>
      </c>
      <c r="C280">
        <v>2</v>
      </c>
      <c r="D280" s="9">
        <f>IFERROR(VLOOKUP($B280,Menu[],MATCH(D$1,Menu[#Headers],0),FALSE),"CHECK")</f>
        <v>246.09</v>
      </c>
      <c r="E280" s="9">
        <f>IFERROR(VLOOKUP($B280,Menu[],MATCH(E$1,Menu[#Headers],0),FALSE),"CHECK")</f>
        <v>112.08</v>
      </c>
      <c r="F280" t="str">
        <f>IFERROR(VLOOKUP($B280,Menu[],MATCH(F$1,Menu[#Headers],0),FALSE),"CHECK")</f>
        <v>Hot Meal</v>
      </c>
      <c r="G280" s="7">
        <f>IFERROR(INT(VLOOKUP($A280,Orders[],MATCH("OrderDateTime",Orders[#Headers],0),FALSE)),"CHECK")</f>
        <v>45886</v>
      </c>
      <c r="H280" s="7" t="str">
        <f>IFERROR(VLOOKUP($A280,Orders[],MATCH(H$1,Orders[#Headers],0),FALSE),"CHECK")</f>
        <v>Plant 2 Canteen</v>
      </c>
      <c r="I280">
        <f>IFERROR(VLOOKUP(OrderLines[[#This Row],[OrderID]],Orders[],MATCH(OrderLines[[#Headers],[DiscountPct]],Orders[#Headers],0),FALSE),"CHECK")</f>
        <v>0.13</v>
      </c>
      <c r="J280" t="str">
        <f>IFERROR(VLOOKUP(OrderLines[[#This Row],[OrderID]],Orders[],MATCH(OrderLines[[#Headers],[Shift]],Orders[#Headers],0),FALSE),"CHECK")</f>
        <v>Dinner</v>
      </c>
      <c r="K280" s="11">
        <f>OrderLines[[#This Row],[Qty]] * OrderLines[[#This Row],[UnitPrice]] * (1-OrderLines[[#This Row],[DiscountPct]])</f>
        <v>428.19659999999999</v>
      </c>
      <c r="L280">
        <f>OrderLines[[#This Row],[Qty]]*OrderLines[[#This Row],[UnitCost]]</f>
        <v>224.16</v>
      </c>
    </row>
    <row r="281" spans="1:12" x14ac:dyDescent="0.25">
      <c r="A281" t="s">
        <v>152</v>
      </c>
      <c r="B281" t="s">
        <v>404</v>
      </c>
      <c r="C281">
        <v>1</v>
      </c>
      <c r="D281" s="9">
        <f>IFERROR(VLOOKUP($B281,Menu[],MATCH(D$1,Menu[#Headers],0),FALSE),"CHECK")</f>
        <v>32.979999999999997</v>
      </c>
      <c r="E281" s="9">
        <f>IFERROR(VLOOKUP($B281,Menu[],MATCH(E$1,Menu[#Headers],0),FALSE),"CHECK")</f>
        <v>11.84</v>
      </c>
      <c r="F281" t="str">
        <f>IFERROR(VLOOKUP($B281,Menu[],MATCH(F$1,Menu[#Headers],0),FALSE),"CHECK")</f>
        <v>Beverage</v>
      </c>
      <c r="G281" s="7">
        <f>IFERROR(INT(VLOOKUP($A281,Orders[],MATCH("OrderDateTime",Orders[#Headers],0),FALSE)),"CHECK")</f>
        <v>45886</v>
      </c>
      <c r="H281" s="7" t="str">
        <f>IFERROR(VLOOKUP($A281,Orders[],MATCH(H$1,Orders[#Headers],0),FALSE),"CHECK")</f>
        <v>Plant 2 Canteen</v>
      </c>
      <c r="I281">
        <f>IFERROR(VLOOKUP(OrderLines[[#This Row],[OrderID]],Orders[],MATCH(OrderLines[[#Headers],[DiscountPct]],Orders[#Headers],0),FALSE),"CHECK")</f>
        <v>0.13</v>
      </c>
      <c r="J281" t="str">
        <f>IFERROR(VLOOKUP(OrderLines[[#This Row],[OrderID]],Orders[],MATCH(OrderLines[[#Headers],[Shift]],Orders[#Headers],0),FALSE),"CHECK")</f>
        <v>Dinner</v>
      </c>
      <c r="K281" s="11">
        <f>OrderLines[[#This Row],[Qty]] * OrderLines[[#This Row],[UnitPrice]] * (1-OrderLines[[#This Row],[DiscountPct]])</f>
        <v>28.692599999999999</v>
      </c>
      <c r="L281">
        <f>OrderLines[[#This Row],[Qty]]*OrderLines[[#This Row],[UnitCost]]</f>
        <v>11.84</v>
      </c>
    </row>
    <row r="282" spans="1:12" x14ac:dyDescent="0.25">
      <c r="A282" t="s">
        <v>152</v>
      </c>
      <c r="B282" t="s">
        <v>403</v>
      </c>
      <c r="C282">
        <v>3</v>
      </c>
      <c r="D282" s="9">
        <f>IFERROR(VLOOKUP($B282,Menu[],MATCH(D$1,Menu[#Headers],0),FALSE),"CHECK")</f>
        <v>76.55</v>
      </c>
      <c r="E282" s="9">
        <f>IFERROR(VLOOKUP($B282,Menu[],MATCH(E$1,Menu[#Headers],0),FALSE),"CHECK")</f>
        <v>38.229999999999997</v>
      </c>
      <c r="F282" t="str">
        <f>IFERROR(VLOOKUP($B282,Menu[],MATCH(F$1,Menu[#Headers],0),FALSE),"CHECK")</f>
        <v>Dessert</v>
      </c>
      <c r="G282" s="7">
        <f>IFERROR(INT(VLOOKUP($A282,Orders[],MATCH("OrderDateTime",Orders[#Headers],0),FALSE)),"CHECK")</f>
        <v>45886</v>
      </c>
      <c r="H282" s="7" t="str">
        <f>IFERROR(VLOOKUP($A282,Orders[],MATCH(H$1,Orders[#Headers],0),FALSE),"CHECK")</f>
        <v>Plant 2 Canteen</v>
      </c>
      <c r="I282">
        <f>IFERROR(VLOOKUP(OrderLines[[#This Row],[OrderID]],Orders[],MATCH(OrderLines[[#Headers],[DiscountPct]],Orders[#Headers],0),FALSE),"CHECK")</f>
        <v>0.13</v>
      </c>
      <c r="J282" t="str">
        <f>IFERROR(VLOOKUP(OrderLines[[#This Row],[OrderID]],Orders[],MATCH(OrderLines[[#Headers],[Shift]],Orders[#Headers],0),FALSE),"CHECK")</f>
        <v>Dinner</v>
      </c>
      <c r="K282" s="11">
        <f>OrderLines[[#This Row],[Qty]] * OrderLines[[#This Row],[UnitPrice]] * (1-OrderLines[[#This Row],[DiscountPct]])</f>
        <v>199.79549999999998</v>
      </c>
      <c r="L282">
        <f>OrderLines[[#This Row],[Qty]]*OrderLines[[#This Row],[UnitCost]]</f>
        <v>114.69</v>
      </c>
    </row>
    <row r="283" spans="1:12" x14ac:dyDescent="0.25">
      <c r="A283" t="s">
        <v>152</v>
      </c>
      <c r="B283" t="s">
        <v>413</v>
      </c>
      <c r="C283">
        <v>2</v>
      </c>
      <c r="D283" s="9">
        <f>IFERROR(VLOOKUP($B283,Menu[],MATCH(D$1,Menu[#Headers],0),FALSE),"CHECK")</f>
        <v>54.2</v>
      </c>
      <c r="E283" s="9">
        <f>IFERROR(VLOOKUP($B283,Menu[],MATCH(E$1,Menu[#Headers],0),FALSE),"CHECK")</f>
        <v>21.95</v>
      </c>
      <c r="F283" t="str">
        <f>IFERROR(VLOOKUP($B283,Menu[],MATCH(F$1,Menu[#Headers],0),FALSE),"CHECK")</f>
        <v>Dessert</v>
      </c>
      <c r="G283" s="7">
        <f>IFERROR(INT(VLOOKUP($A283,Orders[],MATCH("OrderDateTime",Orders[#Headers],0),FALSE)),"CHECK")</f>
        <v>45886</v>
      </c>
      <c r="H283" s="7" t="str">
        <f>IFERROR(VLOOKUP($A283,Orders[],MATCH(H$1,Orders[#Headers],0),FALSE),"CHECK")</f>
        <v>Plant 2 Canteen</v>
      </c>
      <c r="I283">
        <f>IFERROR(VLOOKUP(OrderLines[[#This Row],[OrderID]],Orders[],MATCH(OrderLines[[#Headers],[DiscountPct]],Orders[#Headers],0),FALSE),"CHECK")</f>
        <v>0.13</v>
      </c>
      <c r="J283" t="str">
        <f>IFERROR(VLOOKUP(OrderLines[[#This Row],[OrderID]],Orders[],MATCH(OrderLines[[#Headers],[Shift]],Orders[#Headers],0),FALSE),"CHECK")</f>
        <v>Dinner</v>
      </c>
      <c r="K283" s="11">
        <f>OrderLines[[#This Row],[Qty]] * OrderLines[[#This Row],[UnitPrice]] * (1-OrderLines[[#This Row],[DiscountPct]])</f>
        <v>94.308000000000007</v>
      </c>
      <c r="L283">
        <f>OrderLines[[#This Row],[Qty]]*OrderLines[[#This Row],[UnitCost]]</f>
        <v>43.9</v>
      </c>
    </row>
    <row r="284" spans="1:12" x14ac:dyDescent="0.25">
      <c r="A284" t="s">
        <v>153</v>
      </c>
      <c r="B284" t="s">
        <v>418</v>
      </c>
      <c r="C284">
        <v>3</v>
      </c>
      <c r="D284" s="9">
        <f>IFERROR(VLOOKUP($B284,Menu[],MATCH(D$1,Menu[#Headers],0),FALSE),"CHECK")</f>
        <v>39.950000000000003</v>
      </c>
      <c r="E284" s="9">
        <f>IFERROR(VLOOKUP($B284,Menu[],MATCH(E$1,Menu[#Headers],0),FALSE),"CHECK")</f>
        <v>15.51</v>
      </c>
      <c r="F284" t="str">
        <f>IFERROR(VLOOKUP($B284,Menu[],MATCH(F$1,Menu[#Headers],0),FALSE),"CHECK")</f>
        <v>Snack</v>
      </c>
      <c r="G284" s="7">
        <f>IFERROR(INT(VLOOKUP($A284,Orders[],MATCH("OrderDateTime",Orders[#Headers],0),FALSE)),"CHECK")</f>
        <v>45860</v>
      </c>
      <c r="H284" s="7" t="str">
        <f>IFERROR(VLOOKUP($A284,Orders[],MATCH(H$1,Orders[#Headers],0),FALSE),"CHECK")</f>
        <v>Plant 2 Canteen</v>
      </c>
      <c r="I284">
        <f>IFERROR(VLOOKUP(OrderLines[[#This Row],[OrderID]],Orders[],MATCH(OrderLines[[#Headers],[DiscountPct]],Orders[#Headers],0),FALSE),"CHECK")</f>
        <v>0.08</v>
      </c>
      <c r="J284" t="str">
        <f>IFERROR(VLOOKUP(OrderLines[[#This Row],[OrderID]],Orders[],MATCH(OrderLines[[#Headers],[Shift]],Orders[#Headers],0),FALSE),"CHECK")</f>
        <v>Dinner</v>
      </c>
      <c r="K284" s="11">
        <f>OrderLines[[#This Row],[Qty]] * OrderLines[[#This Row],[UnitPrice]] * (1-OrderLines[[#This Row],[DiscountPct]])</f>
        <v>110.26200000000001</v>
      </c>
      <c r="L284">
        <f>OrderLines[[#This Row],[Qty]]*OrderLines[[#This Row],[UnitCost]]</f>
        <v>46.53</v>
      </c>
    </row>
    <row r="285" spans="1:12" x14ac:dyDescent="0.25">
      <c r="A285" t="s">
        <v>153</v>
      </c>
      <c r="B285" t="s">
        <v>415</v>
      </c>
      <c r="C285">
        <v>1</v>
      </c>
      <c r="D285" s="9">
        <f>IFERROR(VLOOKUP($B285,Menu[],MATCH(D$1,Menu[#Headers],0),FALSE),"CHECK")</f>
        <v>256.91000000000003</v>
      </c>
      <c r="E285" s="9">
        <f>IFERROR(VLOOKUP($B285,Menu[],MATCH(E$1,Menu[#Headers],0),FALSE),"CHECK")</f>
        <v>121.24</v>
      </c>
      <c r="F285" t="str">
        <f>IFERROR(VLOOKUP($B285,Menu[],MATCH(F$1,Menu[#Headers],0),FALSE),"CHECK")</f>
        <v>Hot Meal</v>
      </c>
      <c r="G285" s="7">
        <f>IFERROR(INT(VLOOKUP($A285,Orders[],MATCH("OrderDateTime",Orders[#Headers],0),FALSE)),"CHECK")</f>
        <v>45860</v>
      </c>
      <c r="H285" s="7" t="str">
        <f>IFERROR(VLOOKUP($A285,Orders[],MATCH(H$1,Orders[#Headers],0),FALSE),"CHECK")</f>
        <v>Plant 2 Canteen</v>
      </c>
      <c r="I285">
        <f>IFERROR(VLOOKUP(OrderLines[[#This Row],[OrderID]],Orders[],MATCH(OrderLines[[#Headers],[DiscountPct]],Orders[#Headers],0),FALSE),"CHECK")</f>
        <v>0.08</v>
      </c>
      <c r="J285" t="str">
        <f>IFERROR(VLOOKUP(OrderLines[[#This Row],[OrderID]],Orders[],MATCH(OrderLines[[#Headers],[Shift]],Orders[#Headers],0),FALSE),"CHECK")</f>
        <v>Dinner</v>
      </c>
      <c r="K285" s="11">
        <f>OrderLines[[#This Row],[Qty]] * OrderLines[[#This Row],[UnitPrice]] * (1-OrderLines[[#This Row],[DiscountPct]])</f>
        <v>236.35720000000003</v>
      </c>
      <c r="L285">
        <f>OrderLines[[#This Row],[Qty]]*OrderLines[[#This Row],[UnitCost]]</f>
        <v>121.24</v>
      </c>
    </row>
    <row r="286" spans="1:12" x14ac:dyDescent="0.25">
      <c r="A286" t="s">
        <v>153</v>
      </c>
      <c r="B286" t="s">
        <v>404</v>
      </c>
      <c r="C286">
        <v>1</v>
      </c>
      <c r="D286" s="9">
        <f>IFERROR(VLOOKUP($B286,Menu[],MATCH(D$1,Menu[#Headers],0),FALSE),"CHECK")</f>
        <v>32.979999999999997</v>
      </c>
      <c r="E286" s="9">
        <f>IFERROR(VLOOKUP($B286,Menu[],MATCH(E$1,Menu[#Headers],0),FALSE),"CHECK")</f>
        <v>11.84</v>
      </c>
      <c r="F286" t="str">
        <f>IFERROR(VLOOKUP($B286,Menu[],MATCH(F$1,Menu[#Headers],0),FALSE),"CHECK")</f>
        <v>Beverage</v>
      </c>
      <c r="G286" s="7">
        <f>IFERROR(INT(VLOOKUP($A286,Orders[],MATCH("OrderDateTime",Orders[#Headers],0),FALSE)),"CHECK")</f>
        <v>45860</v>
      </c>
      <c r="H286" s="7" t="str">
        <f>IFERROR(VLOOKUP($A286,Orders[],MATCH(H$1,Orders[#Headers],0),FALSE),"CHECK")</f>
        <v>Plant 2 Canteen</v>
      </c>
      <c r="I286">
        <f>IFERROR(VLOOKUP(OrderLines[[#This Row],[OrderID]],Orders[],MATCH(OrderLines[[#Headers],[DiscountPct]],Orders[#Headers],0),FALSE),"CHECK")</f>
        <v>0.08</v>
      </c>
      <c r="J286" t="str">
        <f>IFERROR(VLOOKUP(OrderLines[[#This Row],[OrderID]],Orders[],MATCH(OrderLines[[#Headers],[Shift]],Orders[#Headers],0),FALSE),"CHECK")</f>
        <v>Dinner</v>
      </c>
      <c r="K286" s="11">
        <f>OrderLines[[#This Row],[Qty]] * OrderLines[[#This Row],[UnitPrice]] * (1-OrderLines[[#This Row],[DiscountPct]])</f>
        <v>30.3416</v>
      </c>
      <c r="L286">
        <f>OrderLines[[#This Row],[Qty]]*OrderLines[[#This Row],[UnitCost]]</f>
        <v>11.84</v>
      </c>
    </row>
    <row r="287" spans="1:12" x14ac:dyDescent="0.25">
      <c r="A287" t="s">
        <v>154</v>
      </c>
      <c r="B287" t="s">
        <v>414</v>
      </c>
      <c r="C287">
        <v>2</v>
      </c>
      <c r="D287" s="9">
        <f>IFERROR(VLOOKUP($B287,Menu[],MATCH(D$1,Menu[#Headers],0),FALSE),"CHECK")</f>
        <v>116.8</v>
      </c>
      <c r="E287" s="9">
        <f>IFERROR(VLOOKUP($B287,Menu[],MATCH(E$1,Menu[#Headers],0),FALSE),"CHECK")</f>
        <v>48.97</v>
      </c>
      <c r="F287" t="str">
        <f>IFERROR(VLOOKUP($B287,Menu[],MATCH(F$1,Menu[#Headers],0),FALSE),"CHECK")</f>
        <v>Dessert</v>
      </c>
      <c r="G287" s="7">
        <f>IFERROR(INT(VLOOKUP($A287,Orders[],MATCH("OrderDateTime",Orders[#Headers],0),FALSE)),"CHECK")</f>
        <v>45895</v>
      </c>
      <c r="H287" s="7" t="str">
        <f>IFERROR(VLOOKUP($A287,Orders[],MATCH(H$1,Orders[#Headers],0),FALSE),"CHECK")</f>
        <v>Plant 2 Canteen</v>
      </c>
      <c r="I287">
        <f>IFERROR(VLOOKUP(OrderLines[[#This Row],[OrderID]],Orders[],MATCH(OrderLines[[#Headers],[DiscountPct]],Orders[#Headers],0),FALSE),"CHECK")</f>
        <v>0.01</v>
      </c>
      <c r="J287" t="str">
        <f>IFERROR(VLOOKUP(OrderLines[[#This Row],[OrderID]],Orders[],MATCH(OrderLines[[#Headers],[Shift]],Orders[#Headers],0),FALSE),"CHECK")</f>
        <v>Dinner</v>
      </c>
      <c r="K287" s="11">
        <f>OrderLines[[#This Row],[Qty]] * OrderLines[[#This Row],[UnitPrice]] * (1-OrderLines[[#This Row],[DiscountPct]])</f>
        <v>231.26399999999998</v>
      </c>
      <c r="L287">
        <f>OrderLines[[#This Row],[Qty]]*OrderLines[[#This Row],[UnitCost]]</f>
        <v>97.94</v>
      </c>
    </row>
    <row r="288" spans="1:12" x14ac:dyDescent="0.25">
      <c r="A288" t="s">
        <v>154</v>
      </c>
      <c r="B288" t="s">
        <v>419</v>
      </c>
      <c r="C288">
        <v>3</v>
      </c>
      <c r="D288" s="9">
        <f>IFERROR(VLOOKUP($B288,Menu[],MATCH(D$1,Menu[#Headers],0),FALSE),"CHECK")</f>
        <v>50.19</v>
      </c>
      <c r="E288" s="9">
        <f>IFERROR(VLOOKUP($B288,Menu[],MATCH(E$1,Menu[#Headers],0),FALSE),"CHECK")</f>
        <v>22.61</v>
      </c>
      <c r="F288" t="str">
        <f>IFERROR(VLOOKUP($B288,Menu[],MATCH(F$1,Menu[#Headers],0),FALSE),"CHECK")</f>
        <v>Snack</v>
      </c>
      <c r="G288" s="7">
        <f>IFERROR(INT(VLOOKUP($A288,Orders[],MATCH("OrderDateTime",Orders[#Headers],0),FALSE)),"CHECK")</f>
        <v>45895</v>
      </c>
      <c r="H288" s="7" t="str">
        <f>IFERROR(VLOOKUP($A288,Orders[],MATCH(H$1,Orders[#Headers],0),FALSE),"CHECK")</f>
        <v>Plant 2 Canteen</v>
      </c>
      <c r="I288">
        <f>IFERROR(VLOOKUP(OrderLines[[#This Row],[OrderID]],Orders[],MATCH(OrderLines[[#Headers],[DiscountPct]],Orders[#Headers],0),FALSE),"CHECK")</f>
        <v>0.01</v>
      </c>
      <c r="J288" t="str">
        <f>IFERROR(VLOOKUP(OrderLines[[#This Row],[OrderID]],Orders[],MATCH(OrderLines[[#Headers],[Shift]],Orders[#Headers],0),FALSE),"CHECK")</f>
        <v>Dinner</v>
      </c>
      <c r="K288" s="11">
        <f>OrderLines[[#This Row],[Qty]] * OrderLines[[#This Row],[UnitPrice]] * (1-OrderLines[[#This Row],[DiscountPct]])</f>
        <v>149.0643</v>
      </c>
      <c r="L288">
        <f>OrderLines[[#This Row],[Qty]]*OrderLines[[#This Row],[UnitCost]]</f>
        <v>67.83</v>
      </c>
    </row>
    <row r="289" spans="1:12" x14ac:dyDescent="0.25">
      <c r="A289" t="s">
        <v>154</v>
      </c>
      <c r="B289" t="s">
        <v>410</v>
      </c>
      <c r="C289">
        <v>3</v>
      </c>
      <c r="D289" s="9">
        <f>IFERROR(VLOOKUP($B289,Menu[],MATCH(D$1,Menu[#Headers],0),FALSE),"CHECK")</f>
        <v>20.11</v>
      </c>
      <c r="E289" s="9">
        <f>IFERROR(VLOOKUP($B289,Menu[],MATCH(E$1,Menu[#Headers],0),FALSE),"CHECK")</f>
        <v>8</v>
      </c>
      <c r="F289" t="str">
        <f>IFERROR(VLOOKUP($B289,Menu[],MATCH(F$1,Menu[#Headers],0),FALSE),"CHECK")</f>
        <v>Beverage</v>
      </c>
      <c r="G289" s="7">
        <f>IFERROR(INT(VLOOKUP($A289,Orders[],MATCH("OrderDateTime",Orders[#Headers],0),FALSE)),"CHECK")</f>
        <v>45895</v>
      </c>
      <c r="H289" s="7" t="str">
        <f>IFERROR(VLOOKUP($A289,Orders[],MATCH(H$1,Orders[#Headers],0),FALSE),"CHECK")</f>
        <v>Plant 2 Canteen</v>
      </c>
      <c r="I289">
        <f>IFERROR(VLOOKUP(OrderLines[[#This Row],[OrderID]],Orders[],MATCH(OrderLines[[#Headers],[DiscountPct]],Orders[#Headers],0),FALSE),"CHECK")</f>
        <v>0.01</v>
      </c>
      <c r="J289" t="str">
        <f>IFERROR(VLOOKUP(OrderLines[[#This Row],[OrderID]],Orders[],MATCH(OrderLines[[#Headers],[Shift]],Orders[#Headers],0),FALSE),"CHECK")</f>
        <v>Dinner</v>
      </c>
      <c r="K289" s="11">
        <f>OrderLines[[#This Row],[Qty]] * OrderLines[[#This Row],[UnitPrice]] * (1-OrderLines[[#This Row],[DiscountPct]])</f>
        <v>59.726700000000001</v>
      </c>
      <c r="L289">
        <f>OrderLines[[#This Row],[Qty]]*OrderLines[[#This Row],[UnitCost]]</f>
        <v>24</v>
      </c>
    </row>
    <row r="290" spans="1:12" x14ac:dyDescent="0.25">
      <c r="A290" t="s">
        <v>154</v>
      </c>
      <c r="B290" t="s">
        <v>403</v>
      </c>
      <c r="C290">
        <v>3</v>
      </c>
      <c r="D290" s="9">
        <f>IFERROR(VLOOKUP($B290,Menu[],MATCH(D$1,Menu[#Headers],0),FALSE),"CHECK")</f>
        <v>76.55</v>
      </c>
      <c r="E290" s="9">
        <f>IFERROR(VLOOKUP($B290,Menu[],MATCH(E$1,Menu[#Headers],0),FALSE),"CHECK")</f>
        <v>38.229999999999997</v>
      </c>
      <c r="F290" t="str">
        <f>IFERROR(VLOOKUP($B290,Menu[],MATCH(F$1,Menu[#Headers],0),FALSE),"CHECK")</f>
        <v>Dessert</v>
      </c>
      <c r="G290" s="7">
        <f>IFERROR(INT(VLOOKUP($A290,Orders[],MATCH("OrderDateTime",Orders[#Headers],0),FALSE)),"CHECK")</f>
        <v>45895</v>
      </c>
      <c r="H290" s="7" t="str">
        <f>IFERROR(VLOOKUP($A290,Orders[],MATCH(H$1,Orders[#Headers],0),FALSE),"CHECK")</f>
        <v>Plant 2 Canteen</v>
      </c>
      <c r="I290">
        <f>IFERROR(VLOOKUP(OrderLines[[#This Row],[OrderID]],Orders[],MATCH(OrderLines[[#Headers],[DiscountPct]],Orders[#Headers],0),FALSE),"CHECK")</f>
        <v>0.01</v>
      </c>
      <c r="J290" t="str">
        <f>IFERROR(VLOOKUP(OrderLines[[#This Row],[OrderID]],Orders[],MATCH(OrderLines[[#Headers],[Shift]],Orders[#Headers],0),FALSE),"CHECK")</f>
        <v>Dinner</v>
      </c>
      <c r="K290" s="11">
        <f>OrderLines[[#This Row],[Qty]] * OrderLines[[#This Row],[UnitPrice]] * (1-OrderLines[[#This Row],[DiscountPct]])</f>
        <v>227.35349999999997</v>
      </c>
      <c r="L290">
        <f>OrderLines[[#This Row],[Qty]]*OrderLines[[#This Row],[UnitCost]]</f>
        <v>114.69</v>
      </c>
    </row>
    <row r="291" spans="1:12" x14ac:dyDescent="0.25">
      <c r="A291" t="s">
        <v>155</v>
      </c>
      <c r="B291" t="s">
        <v>401</v>
      </c>
      <c r="C291">
        <v>1</v>
      </c>
      <c r="D291" s="9">
        <f>IFERROR(VLOOKUP($B291,Menu[],MATCH(D$1,Menu[#Headers],0),FALSE),"CHECK")</f>
        <v>52.45</v>
      </c>
      <c r="E291" s="9">
        <f>IFERROR(VLOOKUP($B291,Menu[],MATCH(E$1,Menu[#Headers],0),FALSE),"CHECK")</f>
        <v>25.8</v>
      </c>
      <c r="F291" t="str">
        <f>IFERROR(VLOOKUP($B291,Menu[],MATCH(F$1,Menu[#Headers],0),FALSE),"CHECK")</f>
        <v>Snack</v>
      </c>
      <c r="G291" s="7">
        <f>IFERROR(INT(VLOOKUP($A291,Orders[],MATCH("OrderDateTime",Orders[#Headers],0),FALSE)),"CHECK")</f>
        <v>45872</v>
      </c>
      <c r="H291" s="7" t="str">
        <f>IFERROR(VLOOKUP($A291,Orders[],MATCH(H$1,Orders[#Headers],0),FALSE),"CHECK")</f>
        <v>Plant 2 Canteen</v>
      </c>
      <c r="I291">
        <f>IFERROR(VLOOKUP(OrderLines[[#This Row],[OrderID]],Orders[],MATCH(OrderLines[[#Headers],[DiscountPct]],Orders[#Headers],0),FALSE),"CHECK")</f>
        <v>0.09</v>
      </c>
      <c r="J291" t="str">
        <f>IFERROR(VLOOKUP(OrderLines[[#This Row],[OrderID]],Orders[],MATCH(OrderLines[[#Headers],[Shift]],Orders[#Headers],0),FALSE),"CHECK")</f>
        <v>Lunch</v>
      </c>
      <c r="K291" s="11">
        <f>OrderLines[[#This Row],[Qty]] * OrderLines[[#This Row],[UnitPrice]] * (1-OrderLines[[#This Row],[DiscountPct]])</f>
        <v>47.729500000000002</v>
      </c>
      <c r="L291">
        <f>OrderLines[[#This Row],[Qty]]*OrderLines[[#This Row],[UnitCost]]</f>
        <v>25.8</v>
      </c>
    </row>
    <row r="292" spans="1:12" x14ac:dyDescent="0.25">
      <c r="A292" t="s">
        <v>156</v>
      </c>
      <c r="B292" t="s">
        <v>408</v>
      </c>
      <c r="C292">
        <v>1</v>
      </c>
      <c r="D292" s="9">
        <f>IFERROR(VLOOKUP($B292,Menu[],MATCH(D$1,Menu[#Headers],0),FALSE),"CHECK")</f>
        <v>70.540000000000006</v>
      </c>
      <c r="E292" s="9">
        <f>IFERROR(VLOOKUP($B292,Menu[],MATCH(E$1,Menu[#Headers],0),FALSE),"CHECK")</f>
        <v>35.81</v>
      </c>
      <c r="F292" t="str">
        <f>IFERROR(VLOOKUP($B292,Menu[],MATCH(F$1,Menu[#Headers],0),FALSE),"CHECK")</f>
        <v>Snack</v>
      </c>
      <c r="G292" s="7">
        <f>IFERROR(INT(VLOOKUP($A292,Orders[],MATCH("OrderDateTime",Orders[#Headers],0),FALSE)),"CHECK")</f>
        <v>45873</v>
      </c>
      <c r="H292" s="7" t="str">
        <f>IFERROR(VLOOKUP($A292,Orders[],MATCH(H$1,Orders[#Headers],0),FALSE),"CHECK")</f>
        <v>Head Office Café</v>
      </c>
      <c r="I292">
        <f>IFERROR(VLOOKUP(OrderLines[[#This Row],[OrderID]],Orders[],MATCH(OrderLines[[#Headers],[DiscountPct]],Orders[#Headers],0),FALSE),"CHECK")</f>
        <v>0.02</v>
      </c>
      <c r="J292" t="str">
        <f>IFERROR(VLOOKUP(OrderLines[[#This Row],[OrderID]],Orders[],MATCH(OrderLines[[#Headers],[Shift]],Orders[#Headers],0),FALSE),"CHECK")</f>
        <v>Breakfast</v>
      </c>
      <c r="K292" s="11">
        <f>OrderLines[[#This Row],[Qty]] * OrderLines[[#This Row],[UnitPrice]] * (1-OrderLines[[#This Row],[DiscountPct]])</f>
        <v>69.129200000000012</v>
      </c>
      <c r="L292">
        <f>OrderLines[[#This Row],[Qty]]*OrderLines[[#This Row],[UnitCost]]</f>
        <v>35.81</v>
      </c>
    </row>
    <row r="293" spans="1:12" x14ac:dyDescent="0.25">
      <c r="A293" t="s">
        <v>157</v>
      </c>
      <c r="B293" t="s">
        <v>410</v>
      </c>
      <c r="C293">
        <v>1</v>
      </c>
      <c r="D293" s="9">
        <f>IFERROR(VLOOKUP($B293,Menu[],MATCH(D$1,Menu[#Headers],0),FALSE),"CHECK")</f>
        <v>20.11</v>
      </c>
      <c r="E293" s="9">
        <f>IFERROR(VLOOKUP($B293,Menu[],MATCH(E$1,Menu[#Headers],0),FALSE),"CHECK")</f>
        <v>8</v>
      </c>
      <c r="F293" t="str">
        <f>IFERROR(VLOOKUP($B293,Menu[],MATCH(F$1,Menu[#Headers],0),FALSE),"CHECK")</f>
        <v>Beverage</v>
      </c>
      <c r="G293" s="7">
        <f>IFERROR(INT(VLOOKUP($A293,Orders[],MATCH("OrderDateTime",Orders[#Headers],0),FALSE)),"CHECK")</f>
        <v>45863</v>
      </c>
      <c r="H293" s="7" t="str">
        <f>IFERROR(VLOOKUP($A293,Orders[],MATCH(H$1,Orders[#Headers],0),FALSE),"CHECK")</f>
        <v>Plant 1 Canteen</v>
      </c>
      <c r="I293">
        <f>IFERROR(VLOOKUP(OrderLines[[#This Row],[OrderID]],Orders[],MATCH(OrderLines[[#Headers],[DiscountPct]],Orders[#Headers],0),FALSE),"CHECK")</f>
        <v>0.09</v>
      </c>
      <c r="J293" t="str">
        <f>IFERROR(VLOOKUP(OrderLines[[#This Row],[OrderID]],Orders[],MATCH(OrderLines[[#Headers],[Shift]],Orders[#Headers],0),FALSE),"CHECK")</f>
        <v>Lunch</v>
      </c>
      <c r="K293" s="11">
        <f>OrderLines[[#This Row],[Qty]] * OrderLines[[#This Row],[UnitPrice]] * (1-OrderLines[[#This Row],[DiscountPct]])</f>
        <v>18.3001</v>
      </c>
      <c r="L293">
        <f>OrderLines[[#This Row],[Qty]]*OrderLines[[#This Row],[UnitCost]]</f>
        <v>8</v>
      </c>
    </row>
    <row r="294" spans="1:12" x14ac:dyDescent="0.25">
      <c r="A294" t="s">
        <v>157</v>
      </c>
      <c r="B294" t="s">
        <v>408</v>
      </c>
      <c r="C294">
        <v>1</v>
      </c>
      <c r="D294" s="9">
        <f>IFERROR(VLOOKUP($B294,Menu[],MATCH(D$1,Menu[#Headers],0),FALSE),"CHECK")</f>
        <v>70.540000000000006</v>
      </c>
      <c r="E294" s="9">
        <f>IFERROR(VLOOKUP($B294,Menu[],MATCH(E$1,Menu[#Headers],0),FALSE),"CHECK")</f>
        <v>35.81</v>
      </c>
      <c r="F294" t="str">
        <f>IFERROR(VLOOKUP($B294,Menu[],MATCH(F$1,Menu[#Headers],0),FALSE),"CHECK")</f>
        <v>Snack</v>
      </c>
      <c r="G294" s="7">
        <f>IFERROR(INT(VLOOKUP($A294,Orders[],MATCH("OrderDateTime",Orders[#Headers],0),FALSE)),"CHECK")</f>
        <v>45863</v>
      </c>
      <c r="H294" s="7" t="str">
        <f>IFERROR(VLOOKUP($A294,Orders[],MATCH(H$1,Orders[#Headers],0),FALSE),"CHECK")</f>
        <v>Plant 1 Canteen</v>
      </c>
      <c r="I294">
        <f>IFERROR(VLOOKUP(OrderLines[[#This Row],[OrderID]],Orders[],MATCH(OrderLines[[#Headers],[DiscountPct]],Orders[#Headers],0),FALSE),"CHECK")</f>
        <v>0.09</v>
      </c>
      <c r="J294" t="str">
        <f>IFERROR(VLOOKUP(OrderLines[[#This Row],[OrderID]],Orders[],MATCH(OrderLines[[#Headers],[Shift]],Orders[#Headers],0),FALSE),"CHECK")</f>
        <v>Lunch</v>
      </c>
      <c r="K294" s="11">
        <f>OrderLines[[#This Row],[Qty]] * OrderLines[[#This Row],[UnitPrice]] * (1-OrderLines[[#This Row],[DiscountPct]])</f>
        <v>64.191400000000002</v>
      </c>
      <c r="L294">
        <f>OrderLines[[#This Row],[Qty]]*OrderLines[[#This Row],[UnitCost]]</f>
        <v>35.81</v>
      </c>
    </row>
    <row r="295" spans="1:12" x14ac:dyDescent="0.25">
      <c r="A295" t="s">
        <v>158</v>
      </c>
      <c r="B295" t="s">
        <v>414</v>
      </c>
      <c r="C295">
        <v>3</v>
      </c>
      <c r="D295" s="9">
        <f>IFERROR(VLOOKUP($B295,Menu[],MATCH(D$1,Menu[#Headers],0),FALSE),"CHECK")</f>
        <v>116.8</v>
      </c>
      <c r="E295" s="9">
        <f>IFERROR(VLOOKUP($B295,Menu[],MATCH(E$1,Menu[#Headers],0),FALSE),"CHECK")</f>
        <v>48.97</v>
      </c>
      <c r="F295" t="str">
        <f>IFERROR(VLOOKUP($B295,Menu[],MATCH(F$1,Menu[#Headers],0),FALSE),"CHECK")</f>
        <v>Dessert</v>
      </c>
      <c r="G295" s="7">
        <f>IFERROR(INT(VLOOKUP($A295,Orders[],MATCH("OrderDateTime",Orders[#Headers],0),FALSE)),"CHECK")</f>
        <v>45869</v>
      </c>
      <c r="H295" s="7" t="str">
        <f>IFERROR(VLOOKUP($A295,Orders[],MATCH(H$1,Orders[#Headers],0),FALSE),"CHECK")</f>
        <v>Plant 1 Canteen</v>
      </c>
      <c r="I295">
        <f>IFERROR(VLOOKUP(OrderLines[[#This Row],[OrderID]],Orders[],MATCH(OrderLines[[#Headers],[DiscountPct]],Orders[#Headers],0),FALSE),"CHECK")</f>
        <v>0.11</v>
      </c>
      <c r="J295" t="str">
        <f>IFERROR(VLOOKUP(OrderLines[[#This Row],[OrderID]],Orders[],MATCH(OrderLines[[#Headers],[Shift]],Orders[#Headers],0),FALSE),"CHECK")</f>
        <v>Dinner</v>
      </c>
      <c r="K295" s="11">
        <f>OrderLines[[#This Row],[Qty]] * OrderLines[[#This Row],[UnitPrice]] * (1-OrderLines[[#This Row],[DiscountPct]])</f>
        <v>311.85599999999999</v>
      </c>
      <c r="L295">
        <f>OrderLines[[#This Row],[Qty]]*OrderLines[[#This Row],[UnitCost]]</f>
        <v>146.91</v>
      </c>
    </row>
    <row r="296" spans="1:12" x14ac:dyDescent="0.25">
      <c r="A296" t="s">
        <v>158</v>
      </c>
      <c r="B296" t="s">
        <v>403</v>
      </c>
      <c r="C296">
        <v>1</v>
      </c>
      <c r="D296" s="9">
        <f>IFERROR(VLOOKUP($B296,Menu[],MATCH(D$1,Menu[#Headers],0),FALSE),"CHECK")</f>
        <v>76.55</v>
      </c>
      <c r="E296" s="9">
        <f>IFERROR(VLOOKUP($B296,Menu[],MATCH(E$1,Menu[#Headers],0),FALSE),"CHECK")</f>
        <v>38.229999999999997</v>
      </c>
      <c r="F296" t="str">
        <f>IFERROR(VLOOKUP($B296,Menu[],MATCH(F$1,Menu[#Headers],0),FALSE),"CHECK")</f>
        <v>Dessert</v>
      </c>
      <c r="G296" s="7">
        <f>IFERROR(INT(VLOOKUP($A296,Orders[],MATCH("OrderDateTime",Orders[#Headers],0),FALSE)),"CHECK")</f>
        <v>45869</v>
      </c>
      <c r="H296" s="7" t="str">
        <f>IFERROR(VLOOKUP($A296,Orders[],MATCH(H$1,Orders[#Headers],0),FALSE),"CHECK")</f>
        <v>Plant 1 Canteen</v>
      </c>
      <c r="I296">
        <f>IFERROR(VLOOKUP(OrderLines[[#This Row],[OrderID]],Orders[],MATCH(OrderLines[[#Headers],[DiscountPct]],Orders[#Headers],0),FALSE),"CHECK")</f>
        <v>0.11</v>
      </c>
      <c r="J296" t="str">
        <f>IFERROR(VLOOKUP(OrderLines[[#This Row],[OrderID]],Orders[],MATCH(OrderLines[[#Headers],[Shift]],Orders[#Headers],0),FALSE),"CHECK")</f>
        <v>Dinner</v>
      </c>
      <c r="K296" s="11">
        <f>OrderLines[[#This Row],[Qty]] * OrderLines[[#This Row],[UnitPrice]] * (1-OrderLines[[#This Row],[DiscountPct]])</f>
        <v>68.129499999999993</v>
      </c>
      <c r="L296">
        <f>OrderLines[[#This Row],[Qty]]*OrderLines[[#This Row],[UnitCost]]</f>
        <v>38.229999999999997</v>
      </c>
    </row>
    <row r="297" spans="1:12" x14ac:dyDescent="0.25">
      <c r="A297" t="s">
        <v>158</v>
      </c>
      <c r="B297" t="s">
        <v>406</v>
      </c>
      <c r="C297">
        <v>2</v>
      </c>
      <c r="D297" s="9">
        <f>IFERROR(VLOOKUP($B297,Menu[],MATCH(D$1,Menu[#Headers],0),FALSE),"CHECK")</f>
        <v>38.06</v>
      </c>
      <c r="E297" s="9">
        <f>IFERROR(VLOOKUP($B297,Menu[],MATCH(E$1,Menu[#Headers],0),FALSE),"CHECK")</f>
        <v>19.55</v>
      </c>
      <c r="F297" t="str">
        <f>IFERROR(VLOOKUP($B297,Menu[],MATCH(F$1,Menu[#Headers],0),FALSE),"CHECK")</f>
        <v>Snack</v>
      </c>
      <c r="G297" s="7">
        <f>IFERROR(INT(VLOOKUP($A297,Orders[],MATCH("OrderDateTime",Orders[#Headers],0),FALSE)),"CHECK")</f>
        <v>45869</v>
      </c>
      <c r="H297" s="7" t="str">
        <f>IFERROR(VLOOKUP($A297,Orders[],MATCH(H$1,Orders[#Headers],0),FALSE),"CHECK")</f>
        <v>Plant 1 Canteen</v>
      </c>
      <c r="I297">
        <f>IFERROR(VLOOKUP(OrderLines[[#This Row],[OrderID]],Orders[],MATCH(OrderLines[[#Headers],[DiscountPct]],Orders[#Headers],0),FALSE),"CHECK")</f>
        <v>0.11</v>
      </c>
      <c r="J297" t="str">
        <f>IFERROR(VLOOKUP(OrderLines[[#This Row],[OrderID]],Orders[],MATCH(OrderLines[[#Headers],[Shift]],Orders[#Headers],0),FALSE),"CHECK")</f>
        <v>Dinner</v>
      </c>
      <c r="K297" s="11">
        <f>OrderLines[[#This Row],[Qty]] * OrderLines[[#This Row],[UnitPrice]] * (1-OrderLines[[#This Row],[DiscountPct]])</f>
        <v>67.746800000000007</v>
      </c>
      <c r="L297">
        <f>OrderLines[[#This Row],[Qty]]*OrderLines[[#This Row],[UnitCost]]</f>
        <v>39.1</v>
      </c>
    </row>
    <row r="298" spans="1:12" x14ac:dyDescent="0.25">
      <c r="A298" t="s">
        <v>158</v>
      </c>
      <c r="B298" t="s">
        <v>401</v>
      </c>
      <c r="C298">
        <v>2</v>
      </c>
      <c r="D298" s="9">
        <f>IFERROR(VLOOKUP($B298,Menu[],MATCH(D$1,Menu[#Headers],0),FALSE),"CHECK")</f>
        <v>52.45</v>
      </c>
      <c r="E298" s="9">
        <f>IFERROR(VLOOKUP($B298,Menu[],MATCH(E$1,Menu[#Headers],0),FALSE),"CHECK")</f>
        <v>25.8</v>
      </c>
      <c r="F298" t="str">
        <f>IFERROR(VLOOKUP($B298,Menu[],MATCH(F$1,Menu[#Headers],0),FALSE),"CHECK")</f>
        <v>Snack</v>
      </c>
      <c r="G298" s="7">
        <f>IFERROR(INT(VLOOKUP($A298,Orders[],MATCH("OrderDateTime",Orders[#Headers],0),FALSE)),"CHECK")</f>
        <v>45869</v>
      </c>
      <c r="H298" s="7" t="str">
        <f>IFERROR(VLOOKUP($A298,Orders[],MATCH(H$1,Orders[#Headers],0),FALSE),"CHECK")</f>
        <v>Plant 1 Canteen</v>
      </c>
      <c r="I298">
        <f>IFERROR(VLOOKUP(OrderLines[[#This Row],[OrderID]],Orders[],MATCH(OrderLines[[#Headers],[DiscountPct]],Orders[#Headers],0),FALSE),"CHECK")</f>
        <v>0.11</v>
      </c>
      <c r="J298" t="str">
        <f>IFERROR(VLOOKUP(OrderLines[[#This Row],[OrderID]],Orders[],MATCH(OrderLines[[#Headers],[Shift]],Orders[#Headers],0),FALSE),"CHECK")</f>
        <v>Dinner</v>
      </c>
      <c r="K298" s="11">
        <f>OrderLines[[#This Row],[Qty]] * OrderLines[[#This Row],[UnitPrice]] * (1-OrderLines[[#This Row],[DiscountPct]])</f>
        <v>93.361000000000004</v>
      </c>
      <c r="L298">
        <f>OrderLines[[#This Row],[Qty]]*OrderLines[[#This Row],[UnitCost]]</f>
        <v>51.6</v>
      </c>
    </row>
    <row r="299" spans="1:12" x14ac:dyDescent="0.25">
      <c r="A299" t="s">
        <v>159</v>
      </c>
      <c r="B299" t="s">
        <v>415</v>
      </c>
      <c r="C299">
        <v>1</v>
      </c>
      <c r="D299" s="9">
        <f>IFERROR(VLOOKUP($B299,Menu[],MATCH(D$1,Menu[#Headers],0),FALSE),"CHECK")</f>
        <v>256.91000000000003</v>
      </c>
      <c r="E299" s="9">
        <f>IFERROR(VLOOKUP($B299,Menu[],MATCH(E$1,Menu[#Headers],0),FALSE),"CHECK")</f>
        <v>121.24</v>
      </c>
      <c r="F299" t="str">
        <f>IFERROR(VLOOKUP($B299,Menu[],MATCH(F$1,Menu[#Headers],0),FALSE),"CHECK")</f>
        <v>Hot Meal</v>
      </c>
      <c r="G299" s="7">
        <f>IFERROR(INT(VLOOKUP($A299,Orders[],MATCH("OrderDateTime",Orders[#Headers],0),FALSE)),"CHECK")</f>
        <v>45857</v>
      </c>
      <c r="H299" s="7" t="str">
        <f>IFERROR(VLOOKUP($A299,Orders[],MATCH(H$1,Orders[#Headers],0),FALSE),"CHECK")</f>
        <v>Plant 1 Canteen</v>
      </c>
      <c r="I299">
        <f>IFERROR(VLOOKUP(OrderLines[[#This Row],[OrderID]],Orders[],MATCH(OrderLines[[#Headers],[DiscountPct]],Orders[#Headers],0),FALSE),"CHECK")</f>
        <v>0.03</v>
      </c>
      <c r="J299" t="str">
        <f>IFERROR(VLOOKUP(OrderLines[[#This Row],[OrderID]],Orders[],MATCH(OrderLines[[#Headers],[Shift]],Orders[#Headers],0),FALSE),"CHECK")</f>
        <v>Dinner</v>
      </c>
      <c r="K299" s="11">
        <f>OrderLines[[#This Row],[Qty]] * OrderLines[[#This Row],[UnitPrice]] * (1-OrderLines[[#This Row],[DiscountPct]])</f>
        <v>249.20270000000002</v>
      </c>
      <c r="L299">
        <f>OrderLines[[#This Row],[Qty]]*OrderLines[[#This Row],[UnitCost]]</f>
        <v>121.24</v>
      </c>
    </row>
    <row r="300" spans="1:12" x14ac:dyDescent="0.25">
      <c r="A300" t="s">
        <v>159</v>
      </c>
      <c r="B300" t="s">
        <v>402</v>
      </c>
      <c r="C300">
        <v>1</v>
      </c>
      <c r="D300" s="9">
        <f>IFERROR(VLOOKUP($B300,Menu[],MATCH(D$1,Menu[#Headers],0),FALSE),"CHECK")</f>
        <v>30.34</v>
      </c>
      <c r="E300" s="9">
        <f>IFERROR(VLOOKUP($B300,Menu[],MATCH(E$1,Menu[#Headers],0),FALSE),"CHECK")</f>
        <v>14.18</v>
      </c>
      <c r="F300" t="str">
        <f>IFERROR(VLOOKUP($B300,Menu[],MATCH(F$1,Menu[#Headers],0),FALSE),"CHECK")</f>
        <v>Beverage</v>
      </c>
      <c r="G300" s="7">
        <f>IFERROR(INT(VLOOKUP($A300,Orders[],MATCH("OrderDateTime",Orders[#Headers],0),FALSE)),"CHECK")</f>
        <v>45857</v>
      </c>
      <c r="H300" s="7" t="str">
        <f>IFERROR(VLOOKUP($A300,Orders[],MATCH(H$1,Orders[#Headers],0),FALSE),"CHECK")</f>
        <v>Plant 1 Canteen</v>
      </c>
      <c r="I300">
        <f>IFERROR(VLOOKUP(OrderLines[[#This Row],[OrderID]],Orders[],MATCH(OrderLines[[#Headers],[DiscountPct]],Orders[#Headers],0),FALSE),"CHECK")</f>
        <v>0.03</v>
      </c>
      <c r="J300" t="str">
        <f>IFERROR(VLOOKUP(OrderLines[[#This Row],[OrderID]],Orders[],MATCH(OrderLines[[#Headers],[Shift]],Orders[#Headers],0),FALSE),"CHECK")</f>
        <v>Dinner</v>
      </c>
      <c r="K300" s="11">
        <f>OrderLines[[#This Row],[Qty]] * OrderLines[[#This Row],[UnitPrice]] * (1-OrderLines[[#This Row],[DiscountPct]])</f>
        <v>29.4298</v>
      </c>
      <c r="L300">
        <f>OrderLines[[#This Row],[Qty]]*OrderLines[[#This Row],[UnitCost]]</f>
        <v>14.18</v>
      </c>
    </row>
    <row r="301" spans="1:12" x14ac:dyDescent="0.25">
      <c r="A301" t="s">
        <v>159</v>
      </c>
      <c r="B301" t="s">
        <v>412</v>
      </c>
      <c r="C301">
        <v>2</v>
      </c>
      <c r="D301" s="9">
        <f>IFERROR(VLOOKUP($B301,Menu[],MATCH(D$1,Menu[#Headers],0),FALSE),"CHECK")</f>
        <v>57.07</v>
      </c>
      <c r="E301" s="9">
        <f>IFERROR(VLOOKUP($B301,Menu[],MATCH(E$1,Menu[#Headers],0),FALSE),"CHECK")</f>
        <v>29.14</v>
      </c>
      <c r="F301" t="str">
        <f>IFERROR(VLOOKUP($B301,Menu[],MATCH(F$1,Menu[#Headers],0),FALSE),"CHECK")</f>
        <v>Dessert</v>
      </c>
      <c r="G301" s="7">
        <f>IFERROR(INT(VLOOKUP($A301,Orders[],MATCH("OrderDateTime",Orders[#Headers],0),FALSE)),"CHECK")</f>
        <v>45857</v>
      </c>
      <c r="H301" s="7" t="str">
        <f>IFERROR(VLOOKUP($A301,Orders[],MATCH(H$1,Orders[#Headers],0),FALSE),"CHECK")</f>
        <v>Plant 1 Canteen</v>
      </c>
      <c r="I301">
        <f>IFERROR(VLOOKUP(OrderLines[[#This Row],[OrderID]],Orders[],MATCH(OrderLines[[#Headers],[DiscountPct]],Orders[#Headers],0),FALSE),"CHECK")</f>
        <v>0.03</v>
      </c>
      <c r="J301" t="str">
        <f>IFERROR(VLOOKUP(OrderLines[[#This Row],[OrderID]],Orders[],MATCH(OrderLines[[#Headers],[Shift]],Orders[#Headers],0),FALSE),"CHECK")</f>
        <v>Dinner</v>
      </c>
      <c r="K301" s="11">
        <f>OrderLines[[#This Row],[Qty]] * OrderLines[[#This Row],[UnitPrice]] * (1-OrderLines[[#This Row],[DiscountPct]])</f>
        <v>110.7158</v>
      </c>
      <c r="L301">
        <f>OrderLines[[#This Row],[Qty]]*OrderLines[[#This Row],[UnitCost]]</f>
        <v>58.28</v>
      </c>
    </row>
    <row r="302" spans="1:12" x14ac:dyDescent="0.25">
      <c r="A302" t="s">
        <v>159</v>
      </c>
      <c r="B302" t="s">
        <v>414</v>
      </c>
      <c r="C302">
        <v>2</v>
      </c>
      <c r="D302" s="9">
        <f>IFERROR(VLOOKUP($B302,Menu[],MATCH(D$1,Menu[#Headers],0),FALSE),"CHECK")</f>
        <v>116.8</v>
      </c>
      <c r="E302" s="9">
        <f>IFERROR(VLOOKUP($B302,Menu[],MATCH(E$1,Menu[#Headers],0),FALSE),"CHECK")</f>
        <v>48.97</v>
      </c>
      <c r="F302" t="str">
        <f>IFERROR(VLOOKUP($B302,Menu[],MATCH(F$1,Menu[#Headers],0),FALSE),"CHECK")</f>
        <v>Dessert</v>
      </c>
      <c r="G302" s="7">
        <f>IFERROR(INT(VLOOKUP($A302,Orders[],MATCH("OrderDateTime",Orders[#Headers],0),FALSE)),"CHECK")</f>
        <v>45857</v>
      </c>
      <c r="H302" s="7" t="str">
        <f>IFERROR(VLOOKUP($A302,Orders[],MATCH(H$1,Orders[#Headers],0),FALSE),"CHECK")</f>
        <v>Plant 1 Canteen</v>
      </c>
      <c r="I302">
        <f>IFERROR(VLOOKUP(OrderLines[[#This Row],[OrderID]],Orders[],MATCH(OrderLines[[#Headers],[DiscountPct]],Orders[#Headers],0),FALSE),"CHECK")</f>
        <v>0.03</v>
      </c>
      <c r="J302" t="str">
        <f>IFERROR(VLOOKUP(OrderLines[[#This Row],[OrderID]],Orders[],MATCH(OrderLines[[#Headers],[Shift]],Orders[#Headers],0),FALSE),"CHECK")</f>
        <v>Dinner</v>
      </c>
      <c r="K302" s="11">
        <f>OrderLines[[#This Row],[Qty]] * OrderLines[[#This Row],[UnitPrice]] * (1-OrderLines[[#This Row],[DiscountPct]])</f>
        <v>226.59199999999998</v>
      </c>
      <c r="L302">
        <f>OrderLines[[#This Row],[Qty]]*OrderLines[[#This Row],[UnitCost]]</f>
        <v>97.94</v>
      </c>
    </row>
    <row r="303" spans="1:12" x14ac:dyDescent="0.25">
      <c r="A303" t="s">
        <v>160</v>
      </c>
      <c r="B303" t="s">
        <v>417</v>
      </c>
      <c r="C303">
        <v>1</v>
      </c>
      <c r="D303" s="9">
        <f>IFERROR(VLOOKUP($B303,Menu[],MATCH(D$1,Menu[#Headers],0),FALSE),"CHECK")</f>
        <v>146.4</v>
      </c>
      <c r="E303" s="9">
        <f>IFERROR(VLOOKUP($B303,Menu[],MATCH(E$1,Menu[#Headers],0),FALSE),"CHECK")</f>
        <v>80.92</v>
      </c>
      <c r="F303" t="str">
        <f>IFERROR(VLOOKUP($B303,Menu[],MATCH(F$1,Menu[#Headers],0),FALSE),"CHECK")</f>
        <v>Hot Meal</v>
      </c>
      <c r="G303" s="7">
        <f>IFERROR(INT(VLOOKUP($A303,Orders[],MATCH("OrderDateTime",Orders[#Headers],0),FALSE)),"CHECK")</f>
        <v>45896</v>
      </c>
      <c r="H303" s="7" t="str">
        <f>IFERROR(VLOOKUP($A303,Orders[],MATCH(H$1,Orders[#Headers],0),FALSE),"CHECK")</f>
        <v>Head Office Café</v>
      </c>
      <c r="I303">
        <f>IFERROR(VLOOKUP(OrderLines[[#This Row],[OrderID]],Orders[],MATCH(OrderLines[[#Headers],[DiscountPct]],Orders[#Headers],0),FALSE),"CHECK")</f>
        <v>0.1</v>
      </c>
      <c r="J303" t="str">
        <f>IFERROR(VLOOKUP(OrderLines[[#This Row],[OrderID]],Orders[],MATCH(OrderLines[[#Headers],[Shift]],Orders[#Headers],0),FALSE),"CHECK")</f>
        <v>Lunch</v>
      </c>
      <c r="K303" s="11">
        <f>OrderLines[[#This Row],[Qty]] * OrderLines[[#This Row],[UnitPrice]] * (1-OrderLines[[#This Row],[DiscountPct]])</f>
        <v>131.76000000000002</v>
      </c>
      <c r="L303">
        <f>OrderLines[[#This Row],[Qty]]*OrderLines[[#This Row],[UnitCost]]</f>
        <v>80.92</v>
      </c>
    </row>
    <row r="304" spans="1:12" x14ac:dyDescent="0.25">
      <c r="A304" t="s">
        <v>160</v>
      </c>
      <c r="B304" t="s">
        <v>407</v>
      </c>
      <c r="C304">
        <v>3</v>
      </c>
      <c r="D304" s="9">
        <f>IFERROR(VLOOKUP($B304,Menu[],MATCH(D$1,Menu[#Headers],0),FALSE),"CHECK")</f>
        <v>246.09</v>
      </c>
      <c r="E304" s="9">
        <f>IFERROR(VLOOKUP($B304,Menu[],MATCH(E$1,Menu[#Headers],0),FALSE),"CHECK")</f>
        <v>112.08</v>
      </c>
      <c r="F304" t="str">
        <f>IFERROR(VLOOKUP($B304,Menu[],MATCH(F$1,Menu[#Headers],0),FALSE),"CHECK")</f>
        <v>Hot Meal</v>
      </c>
      <c r="G304" s="7">
        <f>IFERROR(INT(VLOOKUP($A304,Orders[],MATCH("OrderDateTime",Orders[#Headers],0),FALSE)),"CHECK")</f>
        <v>45896</v>
      </c>
      <c r="H304" s="7" t="str">
        <f>IFERROR(VLOOKUP($A304,Orders[],MATCH(H$1,Orders[#Headers],0),FALSE),"CHECK")</f>
        <v>Head Office Café</v>
      </c>
      <c r="I304">
        <f>IFERROR(VLOOKUP(OrderLines[[#This Row],[OrderID]],Orders[],MATCH(OrderLines[[#Headers],[DiscountPct]],Orders[#Headers],0),FALSE),"CHECK")</f>
        <v>0.1</v>
      </c>
      <c r="J304" t="str">
        <f>IFERROR(VLOOKUP(OrderLines[[#This Row],[OrderID]],Orders[],MATCH(OrderLines[[#Headers],[Shift]],Orders[#Headers],0),FALSE),"CHECK")</f>
        <v>Lunch</v>
      </c>
      <c r="K304" s="11">
        <f>OrderLines[[#This Row],[Qty]] * OrderLines[[#This Row],[UnitPrice]] * (1-OrderLines[[#This Row],[DiscountPct]])</f>
        <v>664.44299999999998</v>
      </c>
      <c r="L304">
        <f>OrderLines[[#This Row],[Qty]]*OrderLines[[#This Row],[UnitCost]]</f>
        <v>336.24</v>
      </c>
    </row>
    <row r="305" spans="1:12" x14ac:dyDescent="0.25">
      <c r="A305" t="s">
        <v>160</v>
      </c>
      <c r="B305" t="s">
        <v>401</v>
      </c>
      <c r="C305">
        <v>3</v>
      </c>
      <c r="D305" s="9">
        <f>IFERROR(VLOOKUP($B305,Menu[],MATCH(D$1,Menu[#Headers],0),FALSE),"CHECK")</f>
        <v>52.45</v>
      </c>
      <c r="E305" s="9">
        <f>IFERROR(VLOOKUP($B305,Menu[],MATCH(E$1,Menu[#Headers],0),FALSE),"CHECK")</f>
        <v>25.8</v>
      </c>
      <c r="F305" t="str">
        <f>IFERROR(VLOOKUP($B305,Menu[],MATCH(F$1,Menu[#Headers],0),FALSE),"CHECK")</f>
        <v>Snack</v>
      </c>
      <c r="G305" s="7">
        <f>IFERROR(INT(VLOOKUP($A305,Orders[],MATCH("OrderDateTime",Orders[#Headers],0),FALSE)),"CHECK")</f>
        <v>45896</v>
      </c>
      <c r="H305" s="7" t="str">
        <f>IFERROR(VLOOKUP($A305,Orders[],MATCH(H$1,Orders[#Headers],0),FALSE),"CHECK")</f>
        <v>Head Office Café</v>
      </c>
      <c r="I305">
        <f>IFERROR(VLOOKUP(OrderLines[[#This Row],[OrderID]],Orders[],MATCH(OrderLines[[#Headers],[DiscountPct]],Orders[#Headers],0),FALSE),"CHECK")</f>
        <v>0.1</v>
      </c>
      <c r="J305" t="str">
        <f>IFERROR(VLOOKUP(OrderLines[[#This Row],[OrderID]],Orders[],MATCH(OrderLines[[#Headers],[Shift]],Orders[#Headers],0),FALSE),"CHECK")</f>
        <v>Lunch</v>
      </c>
      <c r="K305" s="11">
        <f>OrderLines[[#This Row],[Qty]] * OrderLines[[#This Row],[UnitPrice]] * (1-OrderLines[[#This Row],[DiscountPct]])</f>
        <v>141.61500000000004</v>
      </c>
      <c r="L305">
        <f>OrderLines[[#This Row],[Qty]]*OrderLines[[#This Row],[UnitCost]]</f>
        <v>77.400000000000006</v>
      </c>
    </row>
    <row r="306" spans="1:12" x14ac:dyDescent="0.25">
      <c r="A306" t="s">
        <v>160</v>
      </c>
      <c r="B306" t="s">
        <v>413</v>
      </c>
      <c r="C306">
        <v>1</v>
      </c>
      <c r="D306" s="9">
        <f>IFERROR(VLOOKUP($B306,Menu[],MATCH(D$1,Menu[#Headers],0),FALSE),"CHECK")</f>
        <v>54.2</v>
      </c>
      <c r="E306" s="9">
        <f>IFERROR(VLOOKUP($B306,Menu[],MATCH(E$1,Menu[#Headers],0),FALSE),"CHECK")</f>
        <v>21.95</v>
      </c>
      <c r="F306" t="str">
        <f>IFERROR(VLOOKUP($B306,Menu[],MATCH(F$1,Menu[#Headers],0),FALSE),"CHECK")</f>
        <v>Dessert</v>
      </c>
      <c r="G306" s="7">
        <f>IFERROR(INT(VLOOKUP($A306,Orders[],MATCH("OrderDateTime",Orders[#Headers],0),FALSE)),"CHECK")</f>
        <v>45896</v>
      </c>
      <c r="H306" s="7" t="str">
        <f>IFERROR(VLOOKUP($A306,Orders[],MATCH(H$1,Orders[#Headers],0),FALSE),"CHECK")</f>
        <v>Head Office Café</v>
      </c>
      <c r="I306">
        <f>IFERROR(VLOOKUP(OrderLines[[#This Row],[OrderID]],Orders[],MATCH(OrderLines[[#Headers],[DiscountPct]],Orders[#Headers],0),FALSE),"CHECK")</f>
        <v>0.1</v>
      </c>
      <c r="J306" t="str">
        <f>IFERROR(VLOOKUP(OrderLines[[#This Row],[OrderID]],Orders[],MATCH(OrderLines[[#Headers],[Shift]],Orders[#Headers],0),FALSE),"CHECK")</f>
        <v>Lunch</v>
      </c>
      <c r="K306" s="11">
        <f>OrderLines[[#This Row],[Qty]] * OrderLines[[#This Row],[UnitPrice]] * (1-OrderLines[[#This Row],[DiscountPct]])</f>
        <v>48.78</v>
      </c>
      <c r="L306">
        <f>OrderLines[[#This Row],[Qty]]*OrderLines[[#This Row],[UnitCost]]</f>
        <v>21.95</v>
      </c>
    </row>
    <row r="307" spans="1:12" x14ac:dyDescent="0.25">
      <c r="A307" t="s">
        <v>161</v>
      </c>
      <c r="B307" t="s">
        <v>414</v>
      </c>
      <c r="C307">
        <v>3</v>
      </c>
      <c r="D307" s="9">
        <f>IFERROR(VLOOKUP($B307,Menu[],MATCH(D$1,Menu[#Headers],0),FALSE),"CHECK")</f>
        <v>116.8</v>
      </c>
      <c r="E307" s="9">
        <f>IFERROR(VLOOKUP($B307,Menu[],MATCH(E$1,Menu[#Headers],0),FALSE),"CHECK")</f>
        <v>48.97</v>
      </c>
      <c r="F307" t="str">
        <f>IFERROR(VLOOKUP($B307,Menu[],MATCH(F$1,Menu[#Headers],0),FALSE),"CHECK")</f>
        <v>Dessert</v>
      </c>
      <c r="G307" s="7">
        <f>IFERROR(INT(VLOOKUP($A307,Orders[],MATCH("OrderDateTime",Orders[#Headers],0),FALSE)),"CHECK")</f>
        <v>45858</v>
      </c>
      <c r="H307" s="7" t="str">
        <f>IFERROR(VLOOKUP($A307,Orders[],MATCH(H$1,Orders[#Headers],0),FALSE),"CHECK")</f>
        <v>Plant 2 Canteen</v>
      </c>
      <c r="I307">
        <f>IFERROR(VLOOKUP(OrderLines[[#This Row],[OrderID]],Orders[],MATCH(OrderLines[[#Headers],[DiscountPct]],Orders[#Headers],0),FALSE),"CHECK")</f>
        <v>0.08</v>
      </c>
      <c r="J307" t="str">
        <f>IFERROR(VLOOKUP(OrderLines[[#This Row],[OrderID]],Orders[],MATCH(OrderLines[[#Headers],[Shift]],Orders[#Headers],0),FALSE),"CHECK")</f>
        <v>Breakfast</v>
      </c>
      <c r="K307" s="11">
        <f>OrderLines[[#This Row],[Qty]] * OrderLines[[#This Row],[UnitPrice]] * (1-OrderLines[[#This Row],[DiscountPct]])</f>
        <v>322.36799999999999</v>
      </c>
      <c r="L307">
        <f>OrderLines[[#This Row],[Qty]]*OrderLines[[#This Row],[UnitCost]]</f>
        <v>146.91</v>
      </c>
    </row>
    <row r="308" spans="1:12" x14ac:dyDescent="0.25">
      <c r="A308" t="s">
        <v>161</v>
      </c>
      <c r="B308" t="s">
        <v>412</v>
      </c>
      <c r="C308">
        <v>1</v>
      </c>
      <c r="D308" s="9">
        <f>IFERROR(VLOOKUP($B308,Menu[],MATCH(D$1,Menu[#Headers],0),FALSE),"CHECK")</f>
        <v>57.07</v>
      </c>
      <c r="E308" s="9">
        <f>IFERROR(VLOOKUP($B308,Menu[],MATCH(E$1,Menu[#Headers],0),FALSE),"CHECK")</f>
        <v>29.14</v>
      </c>
      <c r="F308" t="str">
        <f>IFERROR(VLOOKUP($B308,Menu[],MATCH(F$1,Menu[#Headers],0),FALSE),"CHECK")</f>
        <v>Dessert</v>
      </c>
      <c r="G308" s="7">
        <f>IFERROR(INT(VLOOKUP($A308,Orders[],MATCH("OrderDateTime",Orders[#Headers],0),FALSE)),"CHECK")</f>
        <v>45858</v>
      </c>
      <c r="H308" s="7" t="str">
        <f>IFERROR(VLOOKUP($A308,Orders[],MATCH(H$1,Orders[#Headers],0),FALSE),"CHECK")</f>
        <v>Plant 2 Canteen</v>
      </c>
      <c r="I308">
        <f>IFERROR(VLOOKUP(OrderLines[[#This Row],[OrderID]],Orders[],MATCH(OrderLines[[#Headers],[DiscountPct]],Orders[#Headers],0),FALSE),"CHECK")</f>
        <v>0.08</v>
      </c>
      <c r="J308" t="str">
        <f>IFERROR(VLOOKUP(OrderLines[[#This Row],[OrderID]],Orders[],MATCH(OrderLines[[#Headers],[Shift]],Orders[#Headers],0),FALSE),"CHECK")</f>
        <v>Breakfast</v>
      </c>
      <c r="K308" s="11">
        <f>OrderLines[[#This Row],[Qty]] * OrderLines[[#This Row],[UnitPrice]] * (1-OrderLines[[#This Row],[DiscountPct]])</f>
        <v>52.504400000000004</v>
      </c>
      <c r="L308">
        <f>OrderLines[[#This Row],[Qty]]*OrderLines[[#This Row],[UnitCost]]</f>
        <v>29.14</v>
      </c>
    </row>
    <row r="309" spans="1:12" x14ac:dyDescent="0.25">
      <c r="A309" t="s">
        <v>161</v>
      </c>
      <c r="B309" t="s">
        <v>404</v>
      </c>
      <c r="C309">
        <v>1</v>
      </c>
      <c r="D309" s="9">
        <f>IFERROR(VLOOKUP($B309,Menu[],MATCH(D$1,Menu[#Headers],0),FALSE),"CHECK")</f>
        <v>32.979999999999997</v>
      </c>
      <c r="E309" s="9">
        <f>IFERROR(VLOOKUP($B309,Menu[],MATCH(E$1,Menu[#Headers],0),FALSE),"CHECK")</f>
        <v>11.84</v>
      </c>
      <c r="F309" t="str">
        <f>IFERROR(VLOOKUP($B309,Menu[],MATCH(F$1,Menu[#Headers],0),FALSE),"CHECK")</f>
        <v>Beverage</v>
      </c>
      <c r="G309" s="7">
        <f>IFERROR(INT(VLOOKUP($A309,Orders[],MATCH("OrderDateTime",Orders[#Headers],0),FALSE)),"CHECK")</f>
        <v>45858</v>
      </c>
      <c r="H309" s="7" t="str">
        <f>IFERROR(VLOOKUP($A309,Orders[],MATCH(H$1,Orders[#Headers],0),FALSE),"CHECK")</f>
        <v>Plant 2 Canteen</v>
      </c>
      <c r="I309">
        <f>IFERROR(VLOOKUP(OrderLines[[#This Row],[OrderID]],Orders[],MATCH(OrderLines[[#Headers],[DiscountPct]],Orders[#Headers],0),FALSE),"CHECK")</f>
        <v>0.08</v>
      </c>
      <c r="J309" t="str">
        <f>IFERROR(VLOOKUP(OrderLines[[#This Row],[OrderID]],Orders[],MATCH(OrderLines[[#Headers],[Shift]],Orders[#Headers],0),FALSE),"CHECK")</f>
        <v>Breakfast</v>
      </c>
      <c r="K309" s="11">
        <f>OrderLines[[#This Row],[Qty]] * OrderLines[[#This Row],[UnitPrice]] * (1-OrderLines[[#This Row],[DiscountPct]])</f>
        <v>30.3416</v>
      </c>
      <c r="L309">
        <f>OrderLines[[#This Row],[Qty]]*OrderLines[[#This Row],[UnitCost]]</f>
        <v>11.84</v>
      </c>
    </row>
    <row r="310" spans="1:12" x14ac:dyDescent="0.25">
      <c r="A310" t="s">
        <v>161</v>
      </c>
      <c r="B310" t="s">
        <v>407</v>
      </c>
      <c r="C310">
        <v>2</v>
      </c>
      <c r="D310" s="9">
        <f>IFERROR(VLOOKUP($B310,Menu[],MATCH(D$1,Menu[#Headers],0),FALSE),"CHECK")</f>
        <v>246.09</v>
      </c>
      <c r="E310" s="9">
        <f>IFERROR(VLOOKUP($B310,Menu[],MATCH(E$1,Menu[#Headers],0),FALSE),"CHECK")</f>
        <v>112.08</v>
      </c>
      <c r="F310" t="str">
        <f>IFERROR(VLOOKUP($B310,Menu[],MATCH(F$1,Menu[#Headers],0),FALSE),"CHECK")</f>
        <v>Hot Meal</v>
      </c>
      <c r="G310" s="7">
        <f>IFERROR(INT(VLOOKUP($A310,Orders[],MATCH("OrderDateTime",Orders[#Headers],0),FALSE)),"CHECK")</f>
        <v>45858</v>
      </c>
      <c r="H310" s="7" t="str">
        <f>IFERROR(VLOOKUP($A310,Orders[],MATCH(H$1,Orders[#Headers],0),FALSE),"CHECK")</f>
        <v>Plant 2 Canteen</v>
      </c>
      <c r="I310">
        <f>IFERROR(VLOOKUP(OrderLines[[#This Row],[OrderID]],Orders[],MATCH(OrderLines[[#Headers],[DiscountPct]],Orders[#Headers],0),FALSE),"CHECK")</f>
        <v>0.08</v>
      </c>
      <c r="J310" t="str">
        <f>IFERROR(VLOOKUP(OrderLines[[#This Row],[OrderID]],Orders[],MATCH(OrderLines[[#Headers],[Shift]],Orders[#Headers],0),FALSE),"CHECK")</f>
        <v>Breakfast</v>
      </c>
      <c r="K310" s="11">
        <f>OrderLines[[#This Row],[Qty]] * OrderLines[[#This Row],[UnitPrice]] * (1-OrderLines[[#This Row],[DiscountPct]])</f>
        <v>452.80560000000003</v>
      </c>
      <c r="L310">
        <f>OrderLines[[#This Row],[Qty]]*OrderLines[[#This Row],[UnitCost]]</f>
        <v>224.16</v>
      </c>
    </row>
    <row r="311" spans="1:12" x14ac:dyDescent="0.25">
      <c r="A311" t="s">
        <v>162</v>
      </c>
      <c r="B311" t="s">
        <v>414</v>
      </c>
      <c r="C311">
        <v>1</v>
      </c>
      <c r="D311" s="9">
        <f>IFERROR(VLOOKUP($B311,Menu[],MATCH(D$1,Menu[#Headers],0),FALSE),"CHECK")</f>
        <v>116.8</v>
      </c>
      <c r="E311" s="9">
        <f>IFERROR(VLOOKUP($B311,Menu[],MATCH(E$1,Menu[#Headers],0),FALSE),"CHECK")</f>
        <v>48.97</v>
      </c>
      <c r="F311" t="str">
        <f>IFERROR(VLOOKUP($B311,Menu[],MATCH(F$1,Menu[#Headers],0),FALSE),"CHECK")</f>
        <v>Dessert</v>
      </c>
      <c r="G311" s="7">
        <f>IFERROR(INT(VLOOKUP($A311,Orders[],MATCH("OrderDateTime",Orders[#Headers],0),FALSE)),"CHECK")</f>
        <v>45868</v>
      </c>
      <c r="H311" s="7" t="str">
        <f>IFERROR(VLOOKUP($A311,Orders[],MATCH(H$1,Orders[#Headers],0),FALSE),"CHECK")</f>
        <v>Plant 1 Canteen</v>
      </c>
      <c r="I311">
        <f>IFERROR(VLOOKUP(OrderLines[[#This Row],[OrderID]],Orders[],MATCH(OrderLines[[#Headers],[DiscountPct]],Orders[#Headers],0),FALSE),"CHECK")</f>
        <v>0.09</v>
      </c>
      <c r="J311" t="str">
        <f>IFERROR(VLOOKUP(OrderLines[[#This Row],[OrderID]],Orders[],MATCH(OrderLines[[#Headers],[Shift]],Orders[#Headers],0),FALSE),"CHECK")</f>
        <v>Lunch</v>
      </c>
      <c r="K311" s="11">
        <f>OrderLines[[#This Row],[Qty]] * OrderLines[[#This Row],[UnitPrice]] * (1-OrderLines[[#This Row],[DiscountPct]])</f>
        <v>106.288</v>
      </c>
      <c r="L311">
        <f>OrderLines[[#This Row],[Qty]]*OrderLines[[#This Row],[UnitCost]]</f>
        <v>48.97</v>
      </c>
    </row>
    <row r="312" spans="1:12" x14ac:dyDescent="0.25">
      <c r="A312" t="s">
        <v>162</v>
      </c>
      <c r="B312" t="s">
        <v>413</v>
      </c>
      <c r="C312">
        <v>1</v>
      </c>
      <c r="D312" s="9">
        <f>IFERROR(VLOOKUP($B312,Menu[],MATCH(D$1,Menu[#Headers],0),FALSE),"CHECK")</f>
        <v>54.2</v>
      </c>
      <c r="E312" s="9">
        <f>IFERROR(VLOOKUP($B312,Menu[],MATCH(E$1,Menu[#Headers],0),FALSE),"CHECK")</f>
        <v>21.95</v>
      </c>
      <c r="F312" t="str">
        <f>IFERROR(VLOOKUP($B312,Menu[],MATCH(F$1,Menu[#Headers],0),FALSE),"CHECK")</f>
        <v>Dessert</v>
      </c>
      <c r="G312" s="7">
        <f>IFERROR(INT(VLOOKUP($A312,Orders[],MATCH("OrderDateTime",Orders[#Headers],0),FALSE)),"CHECK")</f>
        <v>45868</v>
      </c>
      <c r="H312" s="7" t="str">
        <f>IFERROR(VLOOKUP($A312,Orders[],MATCH(H$1,Orders[#Headers],0),FALSE),"CHECK")</f>
        <v>Plant 1 Canteen</v>
      </c>
      <c r="I312">
        <f>IFERROR(VLOOKUP(OrderLines[[#This Row],[OrderID]],Orders[],MATCH(OrderLines[[#Headers],[DiscountPct]],Orders[#Headers],0),FALSE),"CHECK")</f>
        <v>0.09</v>
      </c>
      <c r="J312" t="str">
        <f>IFERROR(VLOOKUP(OrderLines[[#This Row],[OrderID]],Orders[],MATCH(OrderLines[[#Headers],[Shift]],Orders[#Headers],0),FALSE),"CHECK")</f>
        <v>Lunch</v>
      </c>
      <c r="K312" s="11">
        <f>OrderLines[[#This Row],[Qty]] * OrderLines[[#This Row],[UnitPrice]] * (1-OrderLines[[#This Row],[DiscountPct]])</f>
        <v>49.322000000000003</v>
      </c>
      <c r="L312">
        <f>OrderLines[[#This Row],[Qty]]*OrderLines[[#This Row],[UnitCost]]</f>
        <v>21.95</v>
      </c>
    </row>
    <row r="313" spans="1:12" x14ac:dyDescent="0.25">
      <c r="A313" t="s">
        <v>163</v>
      </c>
      <c r="B313" t="s">
        <v>401</v>
      </c>
      <c r="C313">
        <v>1</v>
      </c>
      <c r="D313" s="9">
        <f>IFERROR(VLOOKUP($B313,Menu[],MATCH(D$1,Menu[#Headers],0),FALSE),"CHECK")</f>
        <v>52.45</v>
      </c>
      <c r="E313" s="9">
        <f>IFERROR(VLOOKUP($B313,Menu[],MATCH(E$1,Menu[#Headers],0),FALSE),"CHECK")</f>
        <v>25.8</v>
      </c>
      <c r="F313" t="str">
        <f>IFERROR(VLOOKUP($B313,Menu[],MATCH(F$1,Menu[#Headers],0),FALSE),"CHECK")</f>
        <v>Snack</v>
      </c>
      <c r="G313" s="7">
        <f>IFERROR(INT(VLOOKUP($A313,Orders[],MATCH("OrderDateTime",Orders[#Headers],0),FALSE)),"CHECK")</f>
        <v>45865</v>
      </c>
      <c r="H313" s="7" t="str">
        <f>IFERROR(VLOOKUP($A313,Orders[],MATCH(H$1,Orders[#Headers],0),FALSE),"CHECK")</f>
        <v>Plant 1 Canteen</v>
      </c>
      <c r="I313">
        <f>IFERROR(VLOOKUP(OrderLines[[#This Row],[OrderID]],Orders[],MATCH(OrderLines[[#Headers],[DiscountPct]],Orders[#Headers],0),FALSE),"CHECK")</f>
        <v>0.14000000000000001</v>
      </c>
      <c r="J313" t="str">
        <f>IFERROR(VLOOKUP(OrderLines[[#This Row],[OrderID]],Orders[],MATCH(OrderLines[[#Headers],[Shift]],Orders[#Headers],0),FALSE),"CHECK")</f>
        <v>Dinner</v>
      </c>
      <c r="K313" s="11">
        <f>OrderLines[[#This Row],[Qty]] * OrderLines[[#This Row],[UnitPrice]] * (1-OrderLines[[#This Row],[DiscountPct]])</f>
        <v>45.106999999999999</v>
      </c>
      <c r="L313">
        <f>OrderLines[[#This Row],[Qty]]*OrderLines[[#This Row],[UnitCost]]</f>
        <v>25.8</v>
      </c>
    </row>
    <row r="314" spans="1:12" x14ac:dyDescent="0.25">
      <c r="A314" t="s">
        <v>163</v>
      </c>
      <c r="B314" t="s">
        <v>417</v>
      </c>
      <c r="C314">
        <v>1</v>
      </c>
      <c r="D314" s="9">
        <f>IFERROR(VLOOKUP($B314,Menu[],MATCH(D$1,Menu[#Headers],0),FALSE),"CHECK")</f>
        <v>146.4</v>
      </c>
      <c r="E314" s="9">
        <f>IFERROR(VLOOKUP($B314,Menu[],MATCH(E$1,Menu[#Headers],0),FALSE),"CHECK")</f>
        <v>80.92</v>
      </c>
      <c r="F314" t="str">
        <f>IFERROR(VLOOKUP($B314,Menu[],MATCH(F$1,Menu[#Headers],0),FALSE),"CHECK")</f>
        <v>Hot Meal</v>
      </c>
      <c r="G314" s="7">
        <f>IFERROR(INT(VLOOKUP($A314,Orders[],MATCH("OrderDateTime",Orders[#Headers],0),FALSE)),"CHECK")</f>
        <v>45865</v>
      </c>
      <c r="H314" s="7" t="str">
        <f>IFERROR(VLOOKUP($A314,Orders[],MATCH(H$1,Orders[#Headers],0),FALSE),"CHECK")</f>
        <v>Plant 1 Canteen</v>
      </c>
      <c r="I314">
        <f>IFERROR(VLOOKUP(OrderLines[[#This Row],[OrderID]],Orders[],MATCH(OrderLines[[#Headers],[DiscountPct]],Orders[#Headers],0),FALSE),"CHECK")</f>
        <v>0.14000000000000001</v>
      </c>
      <c r="J314" t="str">
        <f>IFERROR(VLOOKUP(OrderLines[[#This Row],[OrderID]],Orders[],MATCH(OrderLines[[#Headers],[Shift]],Orders[#Headers],0),FALSE),"CHECK")</f>
        <v>Dinner</v>
      </c>
      <c r="K314" s="11">
        <f>OrderLines[[#This Row],[Qty]] * OrderLines[[#This Row],[UnitPrice]] * (1-OrderLines[[#This Row],[DiscountPct]])</f>
        <v>125.904</v>
      </c>
      <c r="L314">
        <f>OrderLines[[#This Row],[Qty]]*OrderLines[[#This Row],[UnitCost]]</f>
        <v>80.92</v>
      </c>
    </row>
    <row r="315" spans="1:12" x14ac:dyDescent="0.25">
      <c r="A315" t="s">
        <v>163</v>
      </c>
      <c r="B315" t="s">
        <v>412</v>
      </c>
      <c r="C315">
        <v>3</v>
      </c>
      <c r="D315" s="9">
        <f>IFERROR(VLOOKUP($B315,Menu[],MATCH(D$1,Menu[#Headers],0),FALSE),"CHECK")</f>
        <v>57.07</v>
      </c>
      <c r="E315" s="9">
        <f>IFERROR(VLOOKUP($B315,Menu[],MATCH(E$1,Menu[#Headers],0),FALSE),"CHECK")</f>
        <v>29.14</v>
      </c>
      <c r="F315" t="str">
        <f>IFERROR(VLOOKUP($B315,Menu[],MATCH(F$1,Menu[#Headers],0),FALSE),"CHECK")</f>
        <v>Dessert</v>
      </c>
      <c r="G315" s="7">
        <f>IFERROR(INT(VLOOKUP($A315,Orders[],MATCH("OrderDateTime",Orders[#Headers],0),FALSE)),"CHECK")</f>
        <v>45865</v>
      </c>
      <c r="H315" s="7" t="str">
        <f>IFERROR(VLOOKUP($A315,Orders[],MATCH(H$1,Orders[#Headers],0),FALSE),"CHECK")</f>
        <v>Plant 1 Canteen</v>
      </c>
      <c r="I315">
        <f>IFERROR(VLOOKUP(OrderLines[[#This Row],[OrderID]],Orders[],MATCH(OrderLines[[#Headers],[DiscountPct]],Orders[#Headers],0),FALSE),"CHECK")</f>
        <v>0.14000000000000001</v>
      </c>
      <c r="J315" t="str">
        <f>IFERROR(VLOOKUP(OrderLines[[#This Row],[OrderID]],Orders[],MATCH(OrderLines[[#Headers],[Shift]],Orders[#Headers],0),FALSE),"CHECK")</f>
        <v>Dinner</v>
      </c>
      <c r="K315" s="11">
        <f>OrderLines[[#This Row],[Qty]] * OrderLines[[#This Row],[UnitPrice]] * (1-OrderLines[[#This Row],[DiscountPct]])</f>
        <v>147.2406</v>
      </c>
      <c r="L315">
        <f>OrderLines[[#This Row],[Qty]]*OrderLines[[#This Row],[UnitCost]]</f>
        <v>87.42</v>
      </c>
    </row>
    <row r="316" spans="1:12" x14ac:dyDescent="0.25">
      <c r="A316" t="s">
        <v>164</v>
      </c>
      <c r="B316" t="s">
        <v>408</v>
      </c>
      <c r="C316">
        <v>2</v>
      </c>
      <c r="D316" s="9">
        <f>IFERROR(VLOOKUP($B316,Menu[],MATCH(D$1,Menu[#Headers],0),FALSE),"CHECK")</f>
        <v>70.540000000000006</v>
      </c>
      <c r="E316" s="9">
        <f>IFERROR(VLOOKUP($B316,Menu[],MATCH(E$1,Menu[#Headers],0),FALSE),"CHECK")</f>
        <v>35.81</v>
      </c>
      <c r="F316" t="str">
        <f>IFERROR(VLOOKUP($B316,Menu[],MATCH(F$1,Menu[#Headers],0),FALSE),"CHECK")</f>
        <v>Snack</v>
      </c>
      <c r="G316" s="7">
        <f>IFERROR(INT(VLOOKUP($A316,Orders[],MATCH("OrderDateTime",Orders[#Headers],0),FALSE)),"CHECK")</f>
        <v>45851</v>
      </c>
      <c r="H316" s="7" t="str">
        <f>IFERROR(VLOOKUP($A316,Orders[],MATCH(H$1,Orders[#Headers],0),FALSE),"CHECK")</f>
        <v>Head Office Café</v>
      </c>
      <c r="I316">
        <f>IFERROR(VLOOKUP(OrderLines[[#This Row],[OrderID]],Orders[],MATCH(OrderLines[[#Headers],[DiscountPct]],Orders[#Headers],0),FALSE),"CHECK")</f>
        <v>0.05</v>
      </c>
      <c r="J316" t="str">
        <f>IFERROR(VLOOKUP(OrderLines[[#This Row],[OrderID]],Orders[],MATCH(OrderLines[[#Headers],[Shift]],Orders[#Headers],0),FALSE),"CHECK")</f>
        <v>Lunch</v>
      </c>
      <c r="K316" s="11">
        <f>OrderLines[[#This Row],[Qty]] * OrderLines[[#This Row],[UnitPrice]] * (1-OrderLines[[#This Row],[DiscountPct]])</f>
        <v>134.02600000000001</v>
      </c>
      <c r="L316">
        <f>OrderLines[[#This Row],[Qty]]*OrderLines[[#This Row],[UnitCost]]</f>
        <v>71.62</v>
      </c>
    </row>
    <row r="317" spans="1:12" x14ac:dyDescent="0.25">
      <c r="A317" t="s">
        <v>164</v>
      </c>
      <c r="B317" t="s">
        <v>402</v>
      </c>
      <c r="C317">
        <v>2</v>
      </c>
      <c r="D317" s="9">
        <f>IFERROR(VLOOKUP($B317,Menu[],MATCH(D$1,Menu[#Headers],0),FALSE),"CHECK")</f>
        <v>30.34</v>
      </c>
      <c r="E317" s="9">
        <f>IFERROR(VLOOKUP($B317,Menu[],MATCH(E$1,Menu[#Headers],0),FALSE),"CHECK")</f>
        <v>14.18</v>
      </c>
      <c r="F317" t="str">
        <f>IFERROR(VLOOKUP($B317,Menu[],MATCH(F$1,Menu[#Headers],0),FALSE),"CHECK")</f>
        <v>Beverage</v>
      </c>
      <c r="G317" s="7">
        <f>IFERROR(INT(VLOOKUP($A317,Orders[],MATCH("OrderDateTime",Orders[#Headers],0),FALSE)),"CHECK")</f>
        <v>45851</v>
      </c>
      <c r="H317" s="7" t="str">
        <f>IFERROR(VLOOKUP($A317,Orders[],MATCH(H$1,Orders[#Headers],0),FALSE),"CHECK")</f>
        <v>Head Office Café</v>
      </c>
      <c r="I317">
        <f>IFERROR(VLOOKUP(OrderLines[[#This Row],[OrderID]],Orders[],MATCH(OrderLines[[#Headers],[DiscountPct]],Orders[#Headers],0),FALSE),"CHECK")</f>
        <v>0.05</v>
      </c>
      <c r="J317" t="str">
        <f>IFERROR(VLOOKUP(OrderLines[[#This Row],[OrderID]],Orders[],MATCH(OrderLines[[#Headers],[Shift]],Orders[#Headers],0),FALSE),"CHECK")</f>
        <v>Lunch</v>
      </c>
      <c r="K317" s="11">
        <f>OrderLines[[#This Row],[Qty]] * OrderLines[[#This Row],[UnitPrice]] * (1-OrderLines[[#This Row],[DiscountPct]])</f>
        <v>57.645999999999994</v>
      </c>
      <c r="L317">
        <f>OrderLines[[#This Row],[Qty]]*OrderLines[[#This Row],[UnitCost]]</f>
        <v>28.36</v>
      </c>
    </row>
    <row r="318" spans="1:12" x14ac:dyDescent="0.25">
      <c r="A318" t="s">
        <v>165</v>
      </c>
      <c r="B318" t="s">
        <v>408</v>
      </c>
      <c r="C318">
        <v>2</v>
      </c>
      <c r="D318" s="9">
        <f>IFERROR(VLOOKUP($B318,Menu[],MATCH(D$1,Menu[#Headers],0),FALSE),"CHECK")</f>
        <v>70.540000000000006</v>
      </c>
      <c r="E318" s="9">
        <f>IFERROR(VLOOKUP($B318,Menu[],MATCH(E$1,Menu[#Headers],0),FALSE),"CHECK")</f>
        <v>35.81</v>
      </c>
      <c r="F318" t="str">
        <f>IFERROR(VLOOKUP($B318,Menu[],MATCH(F$1,Menu[#Headers],0),FALSE),"CHECK")</f>
        <v>Snack</v>
      </c>
      <c r="G318" s="7">
        <f>IFERROR(INT(VLOOKUP($A318,Orders[],MATCH("OrderDateTime",Orders[#Headers],0),FALSE)),"CHECK")</f>
        <v>45894</v>
      </c>
      <c r="H318" s="7" t="str">
        <f>IFERROR(VLOOKUP($A318,Orders[],MATCH(H$1,Orders[#Headers],0),FALSE),"CHECK")</f>
        <v>Plant 2 Canteen</v>
      </c>
      <c r="I318">
        <f>IFERROR(VLOOKUP(OrderLines[[#This Row],[OrderID]],Orders[],MATCH(OrderLines[[#Headers],[DiscountPct]],Orders[#Headers],0),FALSE),"CHECK")</f>
        <v>0.03</v>
      </c>
      <c r="J318" t="str">
        <f>IFERROR(VLOOKUP(OrderLines[[#This Row],[OrderID]],Orders[],MATCH(OrderLines[[#Headers],[Shift]],Orders[#Headers],0),FALSE),"CHECK")</f>
        <v>Dinner</v>
      </c>
      <c r="K318" s="11">
        <f>OrderLines[[#This Row],[Qty]] * OrderLines[[#This Row],[UnitPrice]] * (1-OrderLines[[#This Row],[DiscountPct]])</f>
        <v>136.8476</v>
      </c>
      <c r="L318">
        <f>OrderLines[[#This Row],[Qty]]*OrderLines[[#This Row],[UnitCost]]</f>
        <v>71.62</v>
      </c>
    </row>
    <row r="319" spans="1:12" x14ac:dyDescent="0.25">
      <c r="A319" t="s">
        <v>165</v>
      </c>
      <c r="B319" t="s">
        <v>415</v>
      </c>
      <c r="C319">
        <v>2</v>
      </c>
      <c r="D319" s="9">
        <f>IFERROR(VLOOKUP($B319,Menu[],MATCH(D$1,Menu[#Headers],0),FALSE),"CHECK")</f>
        <v>256.91000000000003</v>
      </c>
      <c r="E319" s="9">
        <f>IFERROR(VLOOKUP($B319,Menu[],MATCH(E$1,Menu[#Headers],0),FALSE),"CHECK")</f>
        <v>121.24</v>
      </c>
      <c r="F319" t="str">
        <f>IFERROR(VLOOKUP($B319,Menu[],MATCH(F$1,Menu[#Headers],0),FALSE),"CHECK")</f>
        <v>Hot Meal</v>
      </c>
      <c r="G319" s="7">
        <f>IFERROR(INT(VLOOKUP($A319,Orders[],MATCH("OrderDateTime",Orders[#Headers],0),FALSE)),"CHECK")</f>
        <v>45894</v>
      </c>
      <c r="H319" s="7" t="str">
        <f>IFERROR(VLOOKUP($A319,Orders[],MATCH(H$1,Orders[#Headers],0),FALSE),"CHECK")</f>
        <v>Plant 2 Canteen</v>
      </c>
      <c r="I319">
        <f>IFERROR(VLOOKUP(OrderLines[[#This Row],[OrderID]],Orders[],MATCH(OrderLines[[#Headers],[DiscountPct]],Orders[#Headers],0),FALSE),"CHECK")</f>
        <v>0.03</v>
      </c>
      <c r="J319" t="str">
        <f>IFERROR(VLOOKUP(OrderLines[[#This Row],[OrderID]],Orders[],MATCH(OrderLines[[#Headers],[Shift]],Orders[#Headers],0),FALSE),"CHECK")</f>
        <v>Dinner</v>
      </c>
      <c r="K319" s="11">
        <f>OrderLines[[#This Row],[Qty]] * OrderLines[[#This Row],[UnitPrice]] * (1-OrderLines[[#This Row],[DiscountPct]])</f>
        <v>498.40540000000004</v>
      </c>
      <c r="L319">
        <f>OrderLines[[#This Row],[Qty]]*OrderLines[[#This Row],[UnitCost]]</f>
        <v>242.48</v>
      </c>
    </row>
    <row r="320" spans="1:12" x14ac:dyDescent="0.25">
      <c r="A320" t="s">
        <v>165</v>
      </c>
      <c r="B320" t="s">
        <v>404</v>
      </c>
      <c r="C320">
        <v>2</v>
      </c>
      <c r="D320" s="9">
        <f>IFERROR(VLOOKUP($B320,Menu[],MATCH(D$1,Menu[#Headers],0),FALSE),"CHECK")</f>
        <v>32.979999999999997</v>
      </c>
      <c r="E320" s="9">
        <f>IFERROR(VLOOKUP($B320,Menu[],MATCH(E$1,Menu[#Headers],0),FALSE),"CHECK")</f>
        <v>11.84</v>
      </c>
      <c r="F320" t="str">
        <f>IFERROR(VLOOKUP($B320,Menu[],MATCH(F$1,Menu[#Headers],0),FALSE),"CHECK")</f>
        <v>Beverage</v>
      </c>
      <c r="G320" s="7">
        <f>IFERROR(INT(VLOOKUP($A320,Orders[],MATCH("OrderDateTime",Orders[#Headers],0),FALSE)),"CHECK")</f>
        <v>45894</v>
      </c>
      <c r="H320" s="7" t="str">
        <f>IFERROR(VLOOKUP($A320,Orders[],MATCH(H$1,Orders[#Headers],0),FALSE),"CHECK")</f>
        <v>Plant 2 Canteen</v>
      </c>
      <c r="I320">
        <f>IFERROR(VLOOKUP(OrderLines[[#This Row],[OrderID]],Orders[],MATCH(OrderLines[[#Headers],[DiscountPct]],Orders[#Headers],0),FALSE),"CHECK")</f>
        <v>0.03</v>
      </c>
      <c r="J320" t="str">
        <f>IFERROR(VLOOKUP(OrderLines[[#This Row],[OrderID]],Orders[],MATCH(OrderLines[[#Headers],[Shift]],Orders[#Headers],0),FALSE),"CHECK")</f>
        <v>Dinner</v>
      </c>
      <c r="K320" s="11">
        <f>OrderLines[[#This Row],[Qty]] * OrderLines[[#This Row],[UnitPrice]] * (1-OrderLines[[#This Row],[DiscountPct]])</f>
        <v>63.981199999999994</v>
      </c>
      <c r="L320">
        <f>OrderLines[[#This Row],[Qty]]*OrderLines[[#This Row],[UnitCost]]</f>
        <v>23.68</v>
      </c>
    </row>
    <row r="321" spans="1:12" x14ac:dyDescent="0.25">
      <c r="A321" t="s">
        <v>166</v>
      </c>
      <c r="B321" t="s">
        <v>405</v>
      </c>
      <c r="C321">
        <v>2</v>
      </c>
      <c r="D321" s="9">
        <f>IFERROR(VLOOKUP($B321,Menu[],MATCH(D$1,Menu[#Headers],0),FALSE),"CHECK")</f>
        <v>170.83</v>
      </c>
      <c r="E321" s="9">
        <f>IFERROR(VLOOKUP($B321,Menu[],MATCH(E$1,Menu[#Headers],0),FALSE),"CHECK")</f>
        <v>74.069999999999993</v>
      </c>
      <c r="F321" t="str">
        <f>IFERROR(VLOOKUP($B321,Menu[],MATCH(F$1,Menu[#Headers],0),FALSE),"CHECK")</f>
        <v>Hot Meal</v>
      </c>
      <c r="G321" s="7">
        <f>IFERROR(INT(VLOOKUP($A321,Orders[],MATCH("OrderDateTime",Orders[#Headers],0),FALSE)),"CHECK")</f>
        <v>45872</v>
      </c>
      <c r="H321" s="7" t="str">
        <f>IFERROR(VLOOKUP($A321,Orders[],MATCH(H$1,Orders[#Headers],0),FALSE),"CHECK")</f>
        <v>Plant 1 Canteen</v>
      </c>
      <c r="I321">
        <f>IFERROR(VLOOKUP(OrderLines[[#This Row],[OrderID]],Orders[],MATCH(OrderLines[[#Headers],[DiscountPct]],Orders[#Headers],0),FALSE),"CHECK")</f>
        <v>0.02</v>
      </c>
      <c r="J321" t="str">
        <f>IFERROR(VLOOKUP(OrderLines[[#This Row],[OrderID]],Orders[],MATCH(OrderLines[[#Headers],[Shift]],Orders[#Headers],0),FALSE),"CHECK")</f>
        <v>Breakfast</v>
      </c>
      <c r="K321" s="11">
        <f>OrderLines[[#This Row],[Qty]] * OrderLines[[#This Row],[UnitPrice]] * (1-OrderLines[[#This Row],[DiscountPct]])</f>
        <v>334.82679999999999</v>
      </c>
      <c r="L321">
        <f>OrderLines[[#This Row],[Qty]]*OrderLines[[#This Row],[UnitCost]]</f>
        <v>148.13999999999999</v>
      </c>
    </row>
    <row r="322" spans="1:12" x14ac:dyDescent="0.25">
      <c r="A322" t="s">
        <v>166</v>
      </c>
      <c r="B322" t="s">
        <v>413</v>
      </c>
      <c r="C322">
        <v>3</v>
      </c>
      <c r="D322" s="9">
        <f>IFERROR(VLOOKUP($B322,Menu[],MATCH(D$1,Menu[#Headers],0),FALSE),"CHECK")</f>
        <v>54.2</v>
      </c>
      <c r="E322" s="9">
        <f>IFERROR(VLOOKUP($B322,Menu[],MATCH(E$1,Menu[#Headers],0),FALSE),"CHECK")</f>
        <v>21.95</v>
      </c>
      <c r="F322" t="str">
        <f>IFERROR(VLOOKUP($B322,Menu[],MATCH(F$1,Menu[#Headers],0),FALSE),"CHECK")</f>
        <v>Dessert</v>
      </c>
      <c r="G322" s="7">
        <f>IFERROR(INT(VLOOKUP($A322,Orders[],MATCH("OrderDateTime",Orders[#Headers],0),FALSE)),"CHECK")</f>
        <v>45872</v>
      </c>
      <c r="H322" s="7" t="str">
        <f>IFERROR(VLOOKUP($A322,Orders[],MATCH(H$1,Orders[#Headers],0),FALSE),"CHECK")</f>
        <v>Plant 1 Canteen</v>
      </c>
      <c r="I322">
        <f>IFERROR(VLOOKUP(OrderLines[[#This Row],[OrderID]],Orders[],MATCH(OrderLines[[#Headers],[DiscountPct]],Orders[#Headers],0),FALSE),"CHECK")</f>
        <v>0.02</v>
      </c>
      <c r="J322" t="str">
        <f>IFERROR(VLOOKUP(OrderLines[[#This Row],[OrderID]],Orders[],MATCH(OrderLines[[#Headers],[Shift]],Orders[#Headers],0),FALSE),"CHECK")</f>
        <v>Breakfast</v>
      </c>
      <c r="K322" s="11">
        <f>OrderLines[[#This Row],[Qty]] * OrderLines[[#This Row],[UnitPrice]] * (1-OrderLines[[#This Row],[DiscountPct]])</f>
        <v>159.34800000000001</v>
      </c>
      <c r="L322">
        <f>OrderLines[[#This Row],[Qty]]*OrderLines[[#This Row],[UnitCost]]</f>
        <v>65.849999999999994</v>
      </c>
    </row>
    <row r="323" spans="1:12" x14ac:dyDescent="0.25">
      <c r="A323" t="s">
        <v>166</v>
      </c>
      <c r="B323" t="s">
        <v>407</v>
      </c>
      <c r="C323">
        <v>1</v>
      </c>
      <c r="D323" s="9">
        <f>IFERROR(VLOOKUP($B323,Menu[],MATCH(D$1,Menu[#Headers],0),FALSE),"CHECK")</f>
        <v>246.09</v>
      </c>
      <c r="E323" s="9">
        <f>IFERROR(VLOOKUP($B323,Menu[],MATCH(E$1,Menu[#Headers],0),FALSE),"CHECK")</f>
        <v>112.08</v>
      </c>
      <c r="F323" t="str">
        <f>IFERROR(VLOOKUP($B323,Menu[],MATCH(F$1,Menu[#Headers],0),FALSE),"CHECK")</f>
        <v>Hot Meal</v>
      </c>
      <c r="G323" s="7">
        <f>IFERROR(INT(VLOOKUP($A323,Orders[],MATCH("OrderDateTime",Orders[#Headers],0),FALSE)),"CHECK")</f>
        <v>45872</v>
      </c>
      <c r="H323" s="7" t="str">
        <f>IFERROR(VLOOKUP($A323,Orders[],MATCH(H$1,Orders[#Headers],0),FALSE),"CHECK")</f>
        <v>Plant 1 Canteen</v>
      </c>
      <c r="I323">
        <f>IFERROR(VLOOKUP(OrderLines[[#This Row],[OrderID]],Orders[],MATCH(OrderLines[[#Headers],[DiscountPct]],Orders[#Headers],0),FALSE),"CHECK")</f>
        <v>0.02</v>
      </c>
      <c r="J323" t="str">
        <f>IFERROR(VLOOKUP(OrderLines[[#This Row],[OrderID]],Orders[],MATCH(OrderLines[[#Headers],[Shift]],Orders[#Headers],0),FALSE),"CHECK")</f>
        <v>Breakfast</v>
      </c>
      <c r="K323" s="11">
        <f>OrderLines[[#This Row],[Qty]] * OrderLines[[#This Row],[UnitPrice]] * (1-OrderLines[[#This Row],[DiscountPct]])</f>
        <v>241.16820000000001</v>
      </c>
      <c r="L323">
        <f>OrderLines[[#This Row],[Qty]]*OrderLines[[#This Row],[UnitCost]]</f>
        <v>112.08</v>
      </c>
    </row>
    <row r="324" spans="1:12" x14ac:dyDescent="0.25">
      <c r="A324" t="s">
        <v>167</v>
      </c>
      <c r="B324" t="s">
        <v>414</v>
      </c>
      <c r="C324">
        <v>1</v>
      </c>
      <c r="D324" s="9">
        <f>IFERROR(VLOOKUP($B324,Menu[],MATCH(D$1,Menu[#Headers],0),FALSE),"CHECK")</f>
        <v>116.8</v>
      </c>
      <c r="E324" s="9">
        <f>IFERROR(VLOOKUP($B324,Menu[],MATCH(E$1,Menu[#Headers],0),FALSE),"CHECK")</f>
        <v>48.97</v>
      </c>
      <c r="F324" t="str">
        <f>IFERROR(VLOOKUP($B324,Menu[],MATCH(F$1,Menu[#Headers],0),FALSE),"CHECK")</f>
        <v>Dessert</v>
      </c>
      <c r="G324" s="7">
        <f>IFERROR(INT(VLOOKUP($A324,Orders[],MATCH("OrderDateTime",Orders[#Headers],0),FALSE)),"CHECK")</f>
        <v>45850</v>
      </c>
      <c r="H324" s="7" t="str">
        <f>IFERROR(VLOOKUP($A324,Orders[],MATCH(H$1,Orders[#Headers],0),FALSE),"CHECK")</f>
        <v>Plant 1 Canteen</v>
      </c>
      <c r="I324">
        <f>IFERROR(VLOOKUP(OrderLines[[#This Row],[OrderID]],Orders[],MATCH(OrderLines[[#Headers],[DiscountPct]],Orders[#Headers],0),FALSE),"CHECK")</f>
        <v>0.03</v>
      </c>
      <c r="J324" t="str">
        <f>IFERROR(VLOOKUP(OrderLines[[#This Row],[OrderID]],Orders[],MATCH(OrderLines[[#Headers],[Shift]],Orders[#Headers],0),FALSE),"CHECK")</f>
        <v>Breakfast</v>
      </c>
      <c r="K324" s="11">
        <f>OrderLines[[#This Row],[Qty]] * OrderLines[[#This Row],[UnitPrice]] * (1-OrderLines[[#This Row],[DiscountPct]])</f>
        <v>113.29599999999999</v>
      </c>
      <c r="L324">
        <f>OrderLines[[#This Row],[Qty]]*OrderLines[[#This Row],[UnitCost]]</f>
        <v>48.97</v>
      </c>
    </row>
    <row r="325" spans="1:12" x14ac:dyDescent="0.25">
      <c r="A325" t="s">
        <v>167</v>
      </c>
      <c r="B325" t="s">
        <v>403</v>
      </c>
      <c r="C325">
        <v>3</v>
      </c>
      <c r="D325" s="9">
        <f>IFERROR(VLOOKUP($B325,Menu[],MATCH(D$1,Menu[#Headers],0),FALSE),"CHECK")</f>
        <v>76.55</v>
      </c>
      <c r="E325" s="9">
        <f>IFERROR(VLOOKUP($B325,Menu[],MATCH(E$1,Menu[#Headers],0),FALSE),"CHECK")</f>
        <v>38.229999999999997</v>
      </c>
      <c r="F325" t="str">
        <f>IFERROR(VLOOKUP($B325,Menu[],MATCH(F$1,Menu[#Headers],0),FALSE),"CHECK")</f>
        <v>Dessert</v>
      </c>
      <c r="G325" s="7">
        <f>IFERROR(INT(VLOOKUP($A325,Orders[],MATCH("OrderDateTime",Orders[#Headers],0),FALSE)),"CHECK")</f>
        <v>45850</v>
      </c>
      <c r="H325" s="7" t="str">
        <f>IFERROR(VLOOKUP($A325,Orders[],MATCH(H$1,Orders[#Headers],0),FALSE),"CHECK")</f>
        <v>Plant 1 Canteen</v>
      </c>
      <c r="I325">
        <f>IFERROR(VLOOKUP(OrderLines[[#This Row],[OrderID]],Orders[],MATCH(OrderLines[[#Headers],[DiscountPct]],Orders[#Headers],0),FALSE),"CHECK")</f>
        <v>0.03</v>
      </c>
      <c r="J325" t="str">
        <f>IFERROR(VLOOKUP(OrderLines[[#This Row],[OrderID]],Orders[],MATCH(OrderLines[[#Headers],[Shift]],Orders[#Headers],0),FALSE),"CHECK")</f>
        <v>Breakfast</v>
      </c>
      <c r="K325" s="11">
        <f>OrderLines[[#This Row],[Qty]] * OrderLines[[#This Row],[UnitPrice]] * (1-OrderLines[[#This Row],[DiscountPct]])</f>
        <v>222.76049999999998</v>
      </c>
      <c r="L325">
        <f>OrderLines[[#This Row],[Qty]]*OrderLines[[#This Row],[UnitCost]]</f>
        <v>114.69</v>
      </c>
    </row>
    <row r="326" spans="1:12" x14ac:dyDescent="0.25">
      <c r="A326" t="s">
        <v>167</v>
      </c>
      <c r="B326" t="s">
        <v>408</v>
      </c>
      <c r="C326">
        <v>1</v>
      </c>
      <c r="D326" s="9">
        <f>IFERROR(VLOOKUP($B326,Menu[],MATCH(D$1,Menu[#Headers],0),FALSE),"CHECK")</f>
        <v>70.540000000000006</v>
      </c>
      <c r="E326" s="9">
        <f>IFERROR(VLOOKUP($B326,Menu[],MATCH(E$1,Menu[#Headers],0),FALSE),"CHECK")</f>
        <v>35.81</v>
      </c>
      <c r="F326" t="str">
        <f>IFERROR(VLOOKUP($B326,Menu[],MATCH(F$1,Menu[#Headers],0),FALSE),"CHECK")</f>
        <v>Snack</v>
      </c>
      <c r="G326" s="7">
        <f>IFERROR(INT(VLOOKUP($A326,Orders[],MATCH("OrderDateTime",Orders[#Headers],0),FALSE)),"CHECK")</f>
        <v>45850</v>
      </c>
      <c r="H326" s="7" t="str">
        <f>IFERROR(VLOOKUP($A326,Orders[],MATCH(H$1,Orders[#Headers],0),FALSE),"CHECK")</f>
        <v>Plant 1 Canteen</v>
      </c>
      <c r="I326">
        <f>IFERROR(VLOOKUP(OrderLines[[#This Row],[OrderID]],Orders[],MATCH(OrderLines[[#Headers],[DiscountPct]],Orders[#Headers],0),FALSE),"CHECK")</f>
        <v>0.03</v>
      </c>
      <c r="J326" t="str">
        <f>IFERROR(VLOOKUP(OrderLines[[#This Row],[OrderID]],Orders[],MATCH(OrderLines[[#Headers],[Shift]],Orders[#Headers],0),FALSE),"CHECK")</f>
        <v>Breakfast</v>
      </c>
      <c r="K326" s="11">
        <f>OrderLines[[#This Row],[Qty]] * OrderLines[[#This Row],[UnitPrice]] * (1-OrderLines[[#This Row],[DiscountPct]])</f>
        <v>68.4238</v>
      </c>
      <c r="L326">
        <f>OrderLines[[#This Row],[Qty]]*OrderLines[[#This Row],[UnitCost]]</f>
        <v>35.81</v>
      </c>
    </row>
    <row r="327" spans="1:12" x14ac:dyDescent="0.25">
      <c r="A327" t="s">
        <v>168</v>
      </c>
      <c r="B327" t="s">
        <v>415</v>
      </c>
      <c r="C327">
        <v>1</v>
      </c>
      <c r="D327" s="9">
        <f>IFERROR(VLOOKUP($B327,Menu[],MATCH(D$1,Menu[#Headers],0),FALSE),"CHECK")</f>
        <v>256.91000000000003</v>
      </c>
      <c r="E327" s="9">
        <f>IFERROR(VLOOKUP($B327,Menu[],MATCH(E$1,Menu[#Headers],0),FALSE),"CHECK")</f>
        <v>121.24</v>
      </c>
      <c r="F327" t="str">
        <f>IFERROR(VLOOKUP($B327,Menu[],MATCH(F$1,Menu[#Headers],0),FALSE),"CHECK")</f>
        <v>Hot Meal</v>
      </c>
      <c r="G327" s="7">
        <f>IFERROR(INT(VLOOKUP($A327,Orders[],MATCH("OrderDateTime",Orders[#Headers],0),FALSE)),"CHECK")</f>
        <v>45895</v>
      </c>
      <c r="H327" s="7" t="str">
        <f>IFERROR(VLOOKUP($A327,Orders[],MATCH(H$1,Orders[#Headers],0),FALSE),"CHECK")</f>
        <v>Head Office Café</v>
      </c>
      <c r="I327">
        <f>IFERROR(VLOOKUP(OrderLines[[#This Row],[OrderID]],Orders[],MATCH(OrderLines[[#Headers],[DiscountPct]],Orders[#Headers],0),FALSE),"CHECK")</f>
        <v>0.06</v>
      </c>
      <c r="J327" t="str">
        <f>IFERROR(VLOOKUP(OrderLines[[#This Row],[OrderID]],Orders[],MATCH(OrderLines[[#Headers],[Shift]],Orders[#Headers],0),FALSE),"CHECK")</f>
        <v>Breakfast</v>
      </c>
      <c r="K327" s="11">
        <f>OrderLines[[#This Row],[Qty]] * OrderLines[[#This Row],[UnitPrice]] * (1-OrderLines[[#This Row],[DiscountPct]])</f>
        <v>241.49540000000002</v>
      </c>
      <c r="L327">
        <f>OrderLines[[#This Row],[Qty]]*OrderLines[[#This Row],[UnitCost]]</f>
        <v>121.24</v>
      </c>
    </row>
    <row r="328" spans="1:12" x14ac:dyDescent="0.25">
      <c r="A328" t="s">
        <v>168</v>
      </c>
      <c r="B328" t="s">
        <v>417</v>
      </c>
      <c r="C328">
        <v>1</v>
      </c>
      <c r="D328" s="9">
        <f>IFERROR(VLOOKUP($B328,Menu[],MATCH(D$1,Menu[#Headers],0),FALSE),"CHECK")</f>
        <v>146.4</v>
      </c>
      <c r="E328" s="9">
        <f>IFERROR(VLOOKUP($B328,Menu[],MATCH(E$1,Menu[#Headers],0),FALSE),"CHECK")</f>
        <v>80.92</v>
      </c>
      <c r="F328" t="str">
        <f>IFERROR(VLOOKUP($B328,Menu[],MATCH(F$1,Menu[#Headers],0),FALSE),"CHECK")</f>
        <v>Hot Meal</v>
      </c>
      <c r="G328" s="7">
        <f>IFERROR(INT(VLOOKUP($A328,Orders[],MATCH("OrderDateTime",Orders[#Headers],0),FALSE)),"CHECK")</f>
        <v>45895</v>
      </c>
      <c r="H328" s="7" t="str">
        <f>IFERROR(VLOOKUP($A328,Orders[],MATCH(H$1,Orders[#Headers],0),FALSE),"CHECK")</f>
        <v>Head Office Café</v>
      </c>
      <c r="I328">
        <f>IFERROR(VLOOKUP(OrderLines[[#This Row],[OrderID]],Orders[],MATCH(OrderLines[[#Headers],[DiscountPct]],Orders[#Headers],0),FALSE),"CHECK")</f>
        <v>0.06</v>
      </c>
      <c r="J328" t="str">
        <f>IFERROR(VLOOKUP(OrderLines[[#This Row],[OrderID]],Orders[],MATCH(OrderLines[[#Headers],[Shift]],Orders[#Headers],0),FALSE),"CHECK")</f>
        <v>Breakfast</v>
      </c>
      <c r="K328" s="11">
        <f>OrderLines[[#This Row],[Qty]] * OrderLines[[#This Row],[UnitPrice]] * (1-OrderLines[[#This Row],[DiscountPct]])</f>
        <v>137.61599999999999</v>
      </c>
      <c r="L328">
        <f>OrderLines[[#This Row],[Qty]]*OrderLines[[#This Row],[UnitCost]]</f>
        <v>80.92</v>
      </c>
    </row>
    <row r="329" spans="1:12" x14ac:dyDescent="0.25">
      <c r="A329" t="s">
        <v>168</v>
      </c>
      <c r="B329" t="s">
        <v>409</v>
      </c>
      <c r="C329">
        <v>2</v>
      </c>
      <c r="D329" s="9">
        <f>IFERROR(VLOOKUP($B329,Menu[],MATCH(D$1,Menu[#Headers],0),FALSE),"CHECK")</f>
        <v>28.43</v>
      </c>
      <c r="E329" s="9">
        <f>IFERROR(VLOOKUP($B329,Menu[],MATCH(E$1,Menu[#Headers],0),FALSE),"CHECK")</f>
        <v>13.89</v>
      </c>
      <c r="F329" t="str">
        <f>IFERROR(VLOOKUP($B329,Menu[],MATCH(F$1,Menu[#Headers],0),FALSE),"CHECK")</f>
        <v>Beverage</v>
      </c>
      <c r="G329" s="7">
        <f>IFERROR(INT(VLOOKUP($A329,Orders[],MATCH("OrderDateTime",Orders[#Headers],0),FALSE)),"CHECK")</f>
        <v>45895</v>
      </c>
      <c r="H329" s="7" t="str">
        <f>IFERROR(VLOOKUP($A329,Orders[],MATCH(H$1,Orders[#Headers],0),FALSE),"CHECK")</f>
        <v>Head Office Café</v>
      </c>
      <c r="I329">
        <f>IFERROR(VLOOKUP(OrderLines[[#This Row],[OrderID]],Orders[],MATCH(OrderLines[[#Headers],[DiscountPct]],Orders[#Headers],0),FALSE),"CHECK")</f>
        <v>0.06</v>
      </c>
      <c r="J329" t="str">
        <f>IFERROR(VLOOKUP(OrderLines[[#This Row],[OrderID]],Orders[],MATCH(OrderLines[[#Headers],[Shift]],Orders[#Headers],0),FALSE),"CHECK")</f>
        <v>Breakfast</v>
      </c>
      <c r="K329" s="11">
        <f>OrderLines[[#This Row],[Qty]] * OrderLines[[#This Row],[UnitPrice]] * (1-OrderLines[[#This Row],[DiscountPct]])</f>
        <v>53.448399999999999</v>
      </c>
      <c r="L329">
        <f>OrderLines[[#This Row],[Qty]]*OrderLines[[#This Row],[UnitCost]]</f>
        <v>27.78</v>
      </c>
    </row>
    <row r="330" spans="1:12" x14ac:dyDescent="0.25">
      <c r="A330" t="s">
        <v>168</v>
      </c>
      <c r="B330" t="s">
        <v>405</v>
      </c>
      <c r="C330">
        <v>1</v>
      </c>
      <c r="D330" s="9">
        <f>IFERROR(VLOOKUP($B330,Menu[],MATCH(D$1,Menu[#Headers],0),FALSE),"CHECK")</f>
        <v>170.83</v>
      </c>
      <c r="E330" s="9">
        <f>IFERROR(VLOOKUP($B330,Menu[],MATCH(E$1,Menu[#Headers],0),FALSE),"CHECK")</f>
        <v>74.069999999999993</v>
      </c>
      <c r="F330" t="str">
        <f>IFERROR(VLOOKUP($B330,Menu[],MATCH(F$1,Menu[#Headers],0),FALSE),"CHECK")</f>
        <v>Hot Meal</v>
      </c>
      <c r="G330" s="7">
        <f>IFERROR(INT(VLOOKUP($A330,Orders[],MATCH("OrderDateTime",Orders[#Headers],0),FALSE)),"CHECK")</f>
        <v>45895</v>
      </c>
      <c r="H330" s="7" t="str">
        <f>IFERROR(VLOOKUP($A330,Orders[],MATCH(H$1,Orders[#Headers],0),FALSE),"CHECK")</f>
        <v>Head Office Café</v>
      </c>
      <c r="I330">
        <f>IFERROR(VLOOKUP(OrderLines[[#This Row],[OrderID]],Orders[],MATCH(OrderLines[[#Headers],[DiscountPct]],Orders[#Headers],0),FALSE),"CHECK")</f>
        <v>0.06</v>
      </c>
      <c r="J330" t="str">
        <f>IFERROR(VLOOKUP(OrderLines[[#This Row],[OrderID]],Orders[],MATCH(OrderLines[[#Headers],[Shift]],Orders[#Headers],0),FALSE),"CHECK")</f>
        <v>Breakfast</v>
      </c>
      <c r="K330" s="11">
        <f>OrderLines[[#This Row],[Qty]] * OrderLines[[#This Row],[UnitPrice]] * (1-OrderLines[[#This Row],[DiscountPct]])</f>
        <v>160.58019999999999</v>
      </c>
      <c r="L330">
        <f>OrderLines[[#This Row],[Qty]]*OrderLines[[#This Row],[UnitCost]]</f>
        <v>74.069999999999993</v>
      </c>
    </row>
    <row r="331" spans="1:12" x14ac:dyDescent="0.25">
      <c r="A331" t="s">
        <v>169</v>
      </c>
      <c r="B331" t="s">
        <v>415</v>
      </c>
      <c r="C331">
        <v>1</v>
      </c>
      <c r="D331" s="9">
        <f>IFERROR(VLOOKUP($B331,Menu[],MATCH(D$1,Menu[#Headers],0),FALSE),"CHECK")</f>
        <v>256.91000000000003</v>
      </c>
      <c r="E331" s="9">
        <f>IFERROR(VLOOKUP($B331,Menu[],MATCH(E$1,Menu[#Headers],0),FALSE),"CHECK")</f>
        <v>121.24</v>
      </c>
      <c r="F331" t="str">
        <f>IFERROR(VLOOKUP($B331,Menu[],MATCH(F$1,Menu[#Headers],0),FALSE),"CHECK")</f>
        <v>Hot Meal</v>
      </c>
      <c r="G331" s="7">
        <f>IFERROR(INT(VLOOKUP($A331,Orders[],MATCH("OrderDateTime",Orders[#Headers],0),FALSE)),"CHECK")</f>
        <v>45853</v>
      </c>
      <c r="H331" s="7" t="str">
        <f>IFERROR(VLOOKUP($A331,Orders[],MATCH(H$1,Orders[#Headers],0),FALSE),"CHECK")</f>
        <v>Head Office Café</v>
      </c>
      <c r="I331">
        <f>IFERROR(VLOOKUP(OrderLines[[#This Row],[OrderID]],Orders[],MATCH(OrderLines[[#Headers],[DiscountPct]],Orders[#Headers],0),FALSE),"CHECK")</f>
        <v>7.0000000000000007E-2</v>
      </c>
      <c r="J331" t="str">
        <f>IFERROR(VLOOKUP(OrderLines[[#This Row],[OrderID]],Orders[],MATCH(OrderLines[[#Headers],[Shift]],Orders[#Headers],0),FALSE),"CHECK")</f>
        <v>Dinner</v>
      </c>
      <c r="K331" s="11">
        <f>OrderLines[[#This Row],[Qty]] * OrderLines[[#This Row],[UnitPrice]] * (1-OrderLines[[#This Row],[DiscountPct]])</f>
        <v>238.9263</v>
      </c>
      <c r="L331">
        <f>OrderLines[[#This Row],[Qty]]*OrderLines[[#This Row],[UnitCost]]</f>
        <v>121.24</v>
      </c>
    </row>
    <row r="332" spans="1:12" x14ac:dyDescent="0.25">
      <c r="A332" t="s">
        <v>169</v>
      </c>
      <c r="B332" t="s">
        <v>414</v>
      </c>
      <c r="C332">
        <v>2</v>
      </c>
      <c r="D332" s="9">
        <f>IFERROR(VLOOKUP($B332,Menu[],MATCH(D$1,Menu[#Headers],0),FALSE),"CHECK")</f>
        <v>116.8</v>
      </c>
      <c r="E332" s="9">
        <f>IFERROR(VLOOKUP($B332,Menu[],MATCH(E$1,Menu[#Headers],0),FALSE),"CHECK")</f>
        <v>48.97</v>
      </c>
      <c r="F332" t="str">
        <f>IFERROR(VLOOKUP($B332,Menu[],MATCH(F$1,Menu[#Headers],0),FALSE),"CHECK")</f>
        <v>Dessert</v>
      </c>
      <c r="G332" s="7">
        <f>IFERROR(INT(VLOOKUP($A332,Orders[],MATCH("OrderDateTime",Orders[#Headers],0),FALSE)),"CHECK")</f>
        <v>45853</v>
      </c>
      <c r="H332" s="7" t="str">
        <f>IFERROR(VLOOKUP($A332,Orders[],MATCH(H$1,Orders[#Headers],0),FALSE),"CHECK")</f>
        <v>Head Office Café</v>
      </c>
      <c r="I332">
        <f>IFERROR(VLOOKUP(OrderLines[[#This Row],[OrderID]],Orders[],MATCH(OrderLines[[#Headers],[DiscountPct]],Orders[#Headers],0),FALSE),"CHECK")</f>
        <v>7.0000000000000007E-2</v>
      </c>
      <c r="J332" t="str">
        <f>IFERROR(VLOOKUP(OrderLines[[#This Row],[OrderID]],Orders[],MATCH(OrderLines[[#Headers],[Shift]],Orders[#Headers],0),FALSE),"CHECK")</f>
        <v>Dinner</v>
      </c>
      <c r="K332" s="11">
        <f>OrderLines[[#This Row],[Qty]] * OrderLines[[#This Row],[UnitPrice]] * (1-OrderLines[[#This Row],[DiscountPct]])</f>
        <v>217.24799999999999</v>
      </c>
      <c r="L332">
        <f>OrderLines[[#This Row],[Qty]]*OrderLines[[#This Row],[UnitCost]]</f>
        <v>97.94</v>
      </c>
    </row>
    <row r="333" spans="1:12" x14ac:dyDescent="0.25">
      <c r="A333" t="s">
        <v>170</v>
      </c>
      <c r="B333" t="s">
        <v>409</v>
      </c>
      <c r="C333">
        <v>1</v>
      </c>
      <c r="D333" s="9">
        <f>IFERROR(VLOOKUP($B333,Menu[],MATCH(D$1,Menu[#Headers],0),FALSE),"CHECK")</f>
        <v>28.43</v>
      </c>
      <c r="E333" s="9">
        <f>IFERROR(VLOOKUP($B333,Menu[],MATCH(E$1,Menu[#Headers],0),FALSE),"CHECK")</f>
        <v>13.89</v>
      </c>
      <c r="F333" t="str">
        <f>IFERROR(VLOOKUP($B333,Menu[],MATCH(F$1,Menu[#Headers],0),FALSE),"CHECK")</f>
        <v>Beverage</v>
      </c>
      <c r="G333" s="7">
        <f>IFERROR(INT(VLOOKUP($A333,Orders[],MATCH("OrderDateTime",Orders[#Headers],0),FALSE)),"CHECK")</f>
        <v>45850</v>
      </c>
      <c r="H333" s="7" t="str">
        <f>IFERROR(VLOOKUP($A333,Orders[],MATCH(H$1,Orders[#Headers],0),FALSE),"CHECK")</f>
        <v>Head Office Café</v>
      </c>
      <c r="I333">
        <f>IFERROR(VLOOKUP(OrderLines[[#This Row],[OrderID]],Orders[],MATCH(OrderLines[[#Headers],[DiscountPct]],Orders[#Headers],0),FALSE),"CHECK")</f>
        <v>7.0000000000000007E-2</v>
      </c>
      <c r="J333" t="str">
        <f>IFERROR(VLOOKUP(OrderLines[[#This Row],[OrderID]],Orders[],MATCH(OrderLines[[#Headers],[Shift]],Orders[#Headers],0),FALSE),"CHECK")</f>
        <v>Dinner</v>
      </c>
      <c r="K333" s="11">
        <f>OrderLines[[#This Row],[Qty]] * OrderLines[[#This Row],[UnitPrice]] * (1-OrderLines[[#This Row],[DiscountPct]])</f>
        <v>26.439899999999998</v>
      </c>
      <c r="L333">
        <f>OrderLines[[#This Row],[Qty]]*OrderLines[[#This Row],[UnitCost]]</f>
        <v>13.89</v>
      </c>
    </row>
    <row r="334" spans="1:12" x14ac:dyDescent="0.25">
      <c r="A334" t="s">
        <v>170</v>
      </c>
      <c r="B334" t="s">
        <v>412</v>
      </c>
      <c r="C334">
        <v>2</v>
      </c>
      <c r="D334" s="9">
        <f>IFERROR(VLOOKUP($B334,Menu[],MATCH(D$1,Menu[#Headers],0),FALSE),"CHECK")</f>
        <v>57.07</v>
      </c>
      <c r="E334" s="9">
        <f>IFERROR(VLOOKUP($B334,Menu[],MATCH(E$1,Menu[#Headers],0),FALSE),"CHECK")</f>
        <v>29.14</v>
      </c>
      <c r="F334" t="str">
        <f>IFERROR(VLOOKUP($B334,Menu[],MATCH(F$1,Menu[#Headers],0),FALSE),"CHECK")</f>
        <v>Dessert</v>
      </c>
      <c r="G334" s="7">
        <f>IFERROR(INT(VLOOKUP($A334,Orders[],MATCH("OrderDateTime",Orders[#Headers],0),FALSE)),"CHECK")</f>
        <v>45850</v>
      </c>
      <c r="H334" s="7" t="str">
        <f>IFERROR(VLOOKUP($A334,Orders[],MATCH(H$1,Orders[#Headers],0),FALSE),"CHECK")</f>
        <v>Head Office Café</v>
      </c>
      <c r="I334">
        <f>IFERROR(VLOOKUP(OrderLines[[#This Row],[OrderID]],Orders[],MATCH(OrderLines[[#Headers],[DiscountPct]],Orders[#Headers],0),FALSE),"CHECK")</f>
        <v>7.0000000000000007E-2</v>
      </c>
      <c r="J334" t="str">
        <f>IFERROR(VLOOKUP(OrderLines[[#This Row],[OrderID]],Orders[],MATCH(OrderLines[[#Headers],[Shift]],Orders[#Headers],0),FALSE),"CHECK")</f>
        <v>Dinner</v>
      </c>
      <c r="K334" s="11">
        <f>OrderLines[[#This Row],[Qty]] * OrderLines[[#This Row],[UnitPrice]] * (1-OrderLines[[#This Row],[DiscountPct]])</f>
        <v>106.1502</v>
      </c>
      <c r="L334">
        <f>OrderLines[[#This Row],[Qty]]*OrderLines[[#This Row],[UnitCost]]</f>
        <v>58.28</v>
      </c>
    </row>
    <row r="335" spans="1:12" x14ac:dyDescent="0.25">
      <c r="A335" t="s">
        <v>170</v>
      </c>
      <c r="B335" t="s">
        <v>414</v>
      </c>
      <c r="C335">
        <v>2</v>
      </c>
      <c r="D335" s="9">
        <f>IFERROR(VLOOKUP($B335,Menu[],MATCH(D$1,Menu[#Headers],0),FALSE),"CHECK")</f>
        <v>116.8</v>
      </c>
      <c r="E335" s="9">
        <f>IFERROR(VLOOKUP($B335,Menu[],MATCH(E$1,Menu[#Headers],0),FALSE),"CHECK")</f>
        <v>48.97</v>
      </c>
      <c r="F335" t="str">
        <f>IFERROR(VLOOKUP($B335,Menu[],MATCH(F$1,Menu[#Headers],0),FALSE),"CHECK")</f>
        <v>Dessert</v>
      </c>
      <c r="G335" s="7">
        <f>IFERROR(INT(VLOOKUP($A335,Orders[],MATCH("OrderDateTime",Orders[#Headers],0),FALSE)),"CHECK")</f>
        <v>45850</v>
      </c>
      <c r="H335" s="7" t="str">
        <f>IFERROR(VLOOKUP($A335,Orders[],MATCH(H$1,Orders[#Headers],0),FALSE),"CHECK")</f>
        <v>Head Office Café</v>
      </c>
      <c r="I335">
        <f>IFERROR(VLOOKUP(OrderLines[[#This Row],[OrderID]],Orders[],MATCH(OrderLines[[#Headers],[DiscountPct]],Orders[#Headers],0),FALSE),"CHECK")</f>
        <v>7.0000000000000007E-2</v>
      </c>
      <c r="J335" t="str">
        <f>IFERROR(VLOOKUP(OrderLines[[#This Row],[OrderID]],Orders[],MATCH(OrderLines[[#Headers],[Shift]],Orders[#Headers],0),FALSE),"CHECK")</f>
        <v>Dinner</v>
      </c>
      <c r="K335" s="11">
        <f>OrderLines[[#This Row],[Qty]] * OrderLines[[#This Row],[UnitPrice]] * (1-OrderLines[[#This Row],[DiscountPct]])</f>
        <v>217.24799999999999</v>
      </c>
      <c r="L335">
        <f>OrderLines[[#This Row],[Qty]]*OrderLines[[#This Row],[UnitCost]]</f>
        <v>97.94</v>
      </c>
    </row>
    <row r="336" spans="1:12" x14ac:dyDescent="0.25">
      <c r="A336" t="s">
        <v>171</v>
      </c>
      <c r="B336" t="s">
        <v>404</v>
      </c>
      <c r="C336">
        <v>3</v>
      </c>
      <c r="D336" s="9">
        <f>IFERROR(VLOOKUP($B336,Menu[],MATCH(D$1,Menu[#Headers],0),FALSE),"CHECK")</f>
        <v>32.979999999999997</v>
      </c>
      <c r="E336" s="9">
        <f>IFERROR(VLOOKUP($B336,Menu[],MATCH(E$1,Menu[#Headers],0),FALSE),"CHECK")</f>
        <v>11.84</v>
      </c>
      <c r="F336" t="str">
        <f>IFERROR(VLOOKUP($B336,Menu[],MATCH(F$1,Menu[#Headers],0),FALSE),"CHECK")</f>
        <v>Beverage</v>
      </c>
      <c r="G336" s="7">
        <f>IFERROR(INT(VLOOKUP($A336,Orders[],MATCH("OrderDateTime",Orders[#Headers],0),FALSE)),"CHECK")</f>
        <v>45889</v>
      </c>
      <c r="H336" s="7" t="str">
        <f>IFERROR(VLOOKUP($A336,Orders[],MATCH(H$1,Orders[#Headers],0),FALSE),"CHECK")</f>
        <v>Plant 2 Canteen</v>
      </c>
      <c r="I336">
        <f>IFERROR(VLOOKUP(OrderLines[[#This Row],[OrderID]],Orders[],MATCH(OrderLines[[#Headers],[DiscountPct]],Orders[#Headers],0),FALSE),"CHECK")</f>
        <v>0.09</v>
      </c>
      <c r="J336" t="str">
        <f>IFERROR(VLOOKUP(OrderLines[[#This Row],[OrderID]],Orders[],MATCH(OrderLines[[#Headers],[Shift]],Orders[#Headers],0),FALSE),"CHECK")</f>
        <v>Dinner</v>
      </c>
      <c r="K336" s="11">
        <f>OrderLines[[#This Row],[Qty]] * OrderLines[[#This Row],[UnitPrice]] * (1-OrderLines[[#This Row],[DiscountPct]])</f>
        <v>90.035399999999996</v>
      </c>
      <c r="L336">
        <f>OrderLines[[#This Row],[Qty]]*OrderLines[[#This Row],[UnitCost]]</f>
        <v>35.519999999999996</v>
      </c>
    </row>
    <row r="337" spans="1:12" x14ac:dyDescent="0.25">
      <c r="A337" t="s">
        <v>172</v>
      </c>
      <c r="B337" t="s">
        <v>412</v>
      </c>
      <c r="C337">
        <v>2</v>
      </c>
      <c r="D337" s="9">
        <f>IFERROR(VLOOKUP($B337,Menu[],MATCH(D$1,Menu[#Headers],0),FALSE),"CHECK")</f>
        <v>57.07</v>
      </c>
      <c r="E337" s="9">
        <f>IFERROR(VLOOKUP($B337,Menu[],MATCH(E$1,Menu[#Headers],0),FALSE),"CHECK")</f>
        <v>29.14</v>
      </c>
      <c r="F337" t="str">
        <f>IFERROR(VLOOKUP($B337,Menu[],MATCH(F$1,Menu[#Headers],0),FALSE),"CHECK")</f>
        <v>Dessert</v>
      </c>
      <c r="G337" s="7">
        <f>IFERROR(INT(VLOOKUP($A337,Orders[],MATCH("OrderDateTime",Orders[#Headers],0),FALSE)),"CHECK")</f>
        <v>45896</v>
      </c>
      <c r="H337" s="7" t="str">
        <f>IFERROR(VLOOKUP($A337,Orders[],MATCH(H$1,Orders[#Headers],0),FALSE),"CHECK")</f>
        <v>Plant 2 Canteen</v>
      </c>
      <c r="I337">
        <f>IFERROR(VLOOKUP(OrderLines[[#This Row],[OrderID]],Orders[],MATCH(OrderLines[[#Headers],[DiscountPct]],Orders[#Headers],0),FALSE),"CHECK")</f>
        <v>0.06</v>
      </c>
      <c r="J337" t="str">
        <f>IFERROR(VLOOKUP(OrderLines[[#This Row],[OrderID]],Orders[],MATCH(OrderLines[[#Headers],[Shift]],Orders[#Headers],0),FALSE),"CHECK")</f>
        <v>Breakfast</v>
      </c>
      <c r="K337" s="11">
        <f>OrderLines[[#This Row],[Qty]] * OrderLines[[#This Row],[UnitPrice]] * (1-OrderLines[[#This Row],[DiscountPct]])</f>
        <v>107.29159999999999</v>
      </c>
      <c r="L337">
        <f>OrderLines[[#This Row],[Qty]]*OrderLines[[#This Row],[UnitCost]]</f>
        <v>58.28</v>
      </c>
    </row>
    <row r="338" spans="1:12" x14ac:dyDescent="0.25">
      <c r="A338" t="s">
        <v>172</v>
      </c>
      <c r="B338" t="s">
        <v>410</v>
      </c>
      <c r="C338">
        <v>1</v>
      </c>
      <c r="D338" s="9">
        <f>IFERROR(VLOOKUP($B338,Menu[],MATCH(D$1,Menu[#Headers],0),FALSE),"CHECK")</f>
        <v>20.11</v>
      </c>
      <c r="E338" s="9">
        <f>IFERROR(VLOOKUP($B338,Menu[],MATCH(E$1,Menu[#Headers],0),FALSE),"CHECK")</f>
        <v>8</v>
      </c>
      <c r="F338" t="str">
        <f>IFERROR(VLOOKUP($B338,Menu[],MATCH(F$1,Menu[#Headers],0),FALSE),"CHECK")</f>
        <v>Beverage</v>
      </c>
      <c r="G338" s="7">
        <f>IFERROR(INT(VLOOKUP($A338,Orders[],MATCH("OrderDateTime",Orders[#Headers],0),FALSE)),"CHECK")</f>
        <v>45896</v>
      </c>
      <c r="H338" s="7" t="str">
        <f>IFERROR(VLOOKUP($A338,Orders[],MATCH(H$1,Orders[#Headers],0),FALSE),"CHECK")</f>
        <v>Plant 2 Canteen</v>
      </c>
      <c r="I338">
        <f>IFERROR(VLOOKUP(OrderLines[[#This Row],[OrderID]],Orders[],MATCH(OrderLines[[#Headers],[DiscountPct]],Orders[#Headers],0),FALSE),"CHECK")</f>
        <v>0.06</v>
      </c>
      <c r="J338" t="str">
        <f>IFERROR(VLOOKUP(OrderLines[[#This Row],[OrderID]],Orders[],MATCH(OrderLines[[#Headers],[Shift]],Orders[#Headers],0),FALSE),"CHECK")</f>
        <v>Breakfast</v>
      </c>
      <c r="K338" s="11">
        <f>OrderLines[[#This Row],[Qty]] * OrderLines[[#This Row],[UnitPrice]] * (1-OrderLines[[#This Row],[DiscountPct]])</f>
        <v>18.903399999999998</v>
      </c>
      <c r="L338">
        <f>OrderLines[[#This Row],[Qty]]*OrderLines[[#This Row],[UnitCost]]</f>
        <v>8</v>
      </c>
    </row>
    <row r="339" spans="1:12" x14ac:dyDescent="0.25">
      <c r="A339" t="s">
        <v>172</v>
      </c>
      <c r="B339" t="s">
        <v>404</v>
      </c>
      <c r="C339">
        <v>2</v>
      </c>
      <c r="D339" s="9">
        <f>IFERROR(VLOOKUP($B339,Menu[],MATCH(D$1,Menu[#Headers],0),FALSE),"CHECK")</f>
        <v>32.979999999999997</v>
      </c>
      <c r="E339" s="9">
        <f>IFERROR(VLOOKUP($B339,Menu[],MATCH(E$1,Menu[#Headers],0),FALSE),"CHECK")</f>
        <v>11.84</v>
      </c>
      <c r="F339" t="str">
        <f>IFERROR(VLOOKUP($B339,Menu[],MATCH(F$1,Menu[#Headers],0),FALSE),"CHECK")</f>
        <v>Beverage</v>
      </c>
      <c r="G339" s="7">
        <f>IFERROR(INT(VLOOKUP($A339,Orders[],MATCH("OrderDateTime",Orders[#Headers],0),FALSE)),"CHECK")</f>
        <v>45896</v>
      </c>
      <c r="H339" s="7" t="str">
        <f>IFERROR(VLOOKUP($A339,Orders[],MATCH(H$1,Orders[#Headers],0),FALSE),"CHECK")</f>
        <v>Plant 2 Canteen</v>
      </c>
      <c r="I339">
        <f>IFERROR(VLOOKUP(OrderLines[[#This Row],[OrderID]],Orders[],MATCH(OrderLines[[#Headers],[DiscountPct]],Orders[#Headers],0),FALSE),"CHECK")</f>
        <v>0.06</v>
      </c>
      <c r="J339" t="str">
        <f>IFERROR(VLOOKUP(OrderLines[[#This Row],[OrderID]],Orders[],MATCH(OrderLines[[#Headers],[Shift]],Orders[#Headers],0),FALSE),"CHECK")</f>
        <v>Breakfast</v>
      </c>
      <c r="K339" s="11">
        <f>OrderLines[[#This Row],[Qty]] * OrderLines[[#This Row],[UnitPrice]] * (1-OrderLines[[#This Row],[DiscountPct]])</f>
        <v>62.002399999999987</v>
      </c>
      <c r="L339">
        <f>OrderLines[[#This Row],[Qty]]*OrderLines[[#This Row],[UnitCost]]</f>
        <v>23.68</v>
      </c>
    </row>
    <row r="340" spans="1:12" x14ac:dyDescent="0.25">
      <c r="A340" t="s">
        <v>173</v>
      </c>
      <c r="B340" t="s">
        <v>401</v>
      </c>
      <c r="C340">
        <v>2</v>
      </c>
      <c r="D340" s="9">
        <f>IFERROR(VLOOKUP($B340,Menu[],MATCH(D$1,Menu[#Headers],0),FALSE),"CHECK")</f>
        <v>52.45</v>
      </c>
      <c r="E340" s="9">
        <f>IFERROR(VLOOKUP($B340,Menu[],MATCH(E$1,Menu[#Headers],0),FALSE),"CHECK")</f>
        <v>25.8</v>
      </c>
      <c r="F340" t="str">
        <f>IFERROR(VLOOKUP($B340,Menu[],MATCH(F$1,Menu[#Headers],0),FALSE),"CHECK")</f>
        <v>Snack</v>
      </c>
      <c r="G340" s="7">
        <f>IFERROR(INT(VLOOKUP($A340,Orders[],MATCH("OrderDateTime",Orders[#Headers],0),FALSE)),"CHECK")</f>
        <v>45898</v>
      </c>
      <c r="H340" s="7" t="str">
        <f>IFERROR(VLOOKUP($A340,Orders[],MATCH(H$1,Orders[#Headers],0),FALSE),"CHECK")</f>
        <v>Head Office Café</v>
      </c>
      <c r="I340">
        <f>IFERROR(VLOOKUP(OrderLines[[#This Row],[OrderID]],Orders[],MATCH(OrderLines[[#Headers],[DiscountPct]],Orders[#Headers],0),FALSE),"CHECK")</f>
        <v>0.12</v>
      </c>
      <c r="J340" t="str">
        <f>IFERROR(VLOOKUP(OrderLines[[#This Row],[OrderID]],Orders[],MATCH(OrderLines[[#Headers],[Shift]],Orders[#Headers],0),FALSE),"CHECK")</f>
        <v>Breakfast</v>
      </c>
      <c r="K340" s="11">
        <f>OrderLines[[#This Row],[Qty]] * OrderLines[[#This Row],[UnitPrice]] * (1-OrderLines[[#This Row],[DiscountPct]])</f>
        <v>92.312000000000012</v>
      </c>
      <c r="L340">
        <f>OrderLines[[#This Row],[Qty]]*OrderLines[[#This Row],[UnitCost]]</f>
        <v>51.6</v>
      </c>
    </row>
    <row r="341" spans="1:12" x14ac:dyDescent="0.25">
      <c r="A341" t="s">
        <v>173</v>
      </c>
      <c r="B341" t="s">
        <v>416</v>
      </c>
      <c r="C341">
        <v>2</v>
      </c>
      <c r="D341" s="9">
        <f>IFERROR(VLOOKUP($B341,Menu[],MATCH(D$1,Menu[#Headers],0),FALSE),"CHECK")</f>
        <v>227.61</v>
      </c>
      <c r="E341" s="9">
        <f>IFERROR(VLOOKUP($B341,Menu[],MATCH(E$1,Menu[#Headers],0),FALSE),"CHECK")</f>
        <v>96.22</v>
      </c>
      <c r="F341" t="str">
        <f>IFERROR(VLOOKUP($B341,Menu[],MATCH(F$1,Menu[#Headers],0),FALSE),"CHECK")</f>
        <v>Hot Meal</v>
      </c>
      <c r="G341" s="7">
        <f>IFERROR(INT(VLOOKUP($A341,Orders[],MATCH("OrderDateTime",Orders[#Headers],0),FALSE)),"CHECK")</f>
        <v>45898</v>
      </c>
      <c r="H341" s="7" t="str">
        <f>IFERROR(VLOOKUP($A341,Orders[],MATCH(H$1,Orders[#Headers],0),FALSE),"CHECK")</f>
        <v>Head Office Café</v>
      </c>
      <c r="I341">
        <f>IFERROR(VLOOKUP(OrderLines[[#This Row],[OrderID]],Orders[],MATCH(OrderLines[[#Headers],[DiscountPct]],Orders[#Headers],0),FALSE),"CHECK")</f>
        <v>0.12</v>
      </c>
      <c r="J341" t="str">
        <f>IFERROR(VLOOKUP(OrderLines[[#This Row],[OrderID]],Orders[],MATCH(OrderLines[[#Headers],[Shift]],Orders[#Headers],0),FALSE),"CHECK")</f>
        <v>Breakfast</v>
      </c>
      <c r="K341" s="11">
        <f>OrderLines[[#This Row],[Qty]] * OrderLines[[#This Row],[UnitPrice]] * (1-OrderLines[[#This Row],[DiscountPct]])</f>
        <v>400.59360000000004</v>
      </c>
      <c r="L341">
        <f>OrderLines[[#This Row],[Qty]]*OrderLines[[#This Row],[UnitCost]]</f>
        <v>192.44</v>
      </c>
    </row>
    <row r="342" spans="1:12" x14ac:dyDescent="0.25">
      <c r="A342" t="s">
        <v>174</v>
      </c>
      <c r="B342" t="s">
        <v>411</v>
      </c>
      <c r="C342">
        <v>1</v>
      </c>
      <c r="D342" s="9">
        <f>IFERROR(VLOOKUP($B342,Menu[],MATCH(D$1,Menu[#Headers],0),FALSE),"CHECK")</f>
        <v>22.2</v>
      </c>
      <c r="E342" s="9">
        <f>IFERROR(VLOOKUP($B342,Menu[],MATCH(E$1,Menu[#Headers],0),FALSE),"CHECK")</f>
        <v>9.3800000000000008</v>
      </c>
      <c r="F342" t="str">
        <f>IFERROR(VLOOKUP($B342,Menu[],MATCH(F$1,Menu[#Headers],0),FALSE),"CHECK")</f>
        <v>Beverage</v>
      </c>
      <c r="G342" s="7">
        <f>IFERROR(INT(VLOOKUP($A342,Orders[],MATCH("OrderDateTime",Orders[#Headers],0),FALSE)),"CHECK")</f>
        <v>45864</v>
      </c>
      <c r="H342" s="7" t="str">
        <f>IFERROR(VLOOKUP($A342,Orders[],MATCH(H$1,Orders[#Headers],0),FALSE),"CHECK")</f>
        <v>Head Office Café</v>
      </c>
      <c r="I342">
        <f>IFERROR(VLOOKUP(OrderLines[[#This Row],[OrderID]],Orders[],MATCH(OrderLines[[#Headers],[DiscountPct]],Orders[#Headers],0),FALSE),"CHECK")</f>
        <v>0.05</v>
      </c>
      <c r="J342" t="str">
        <f>IFERROR(VLOOKUP(OrderLines[[#This Row],[OrderID]],Orders[],MATCH(OrderLines[[#Headers],[Shift]],Orders[#Headers],0),FALSE),"CHECK")</f>
        <v>Dinner</v>
      </c>
      <c r="K342" s="11">
        <f>OrderLines[[#This Row],[Qty]] * OrderLines[[#This Row],[UnitPrice]] * (1-OrderLines[[#This Row],[DiscountPct]])</f>
        <v>21.09</v>
      </c>
      <c r="L342">
        <f>OrderLines[[#This Row],[Qty]]*OrderLines[[#This Row],[UnitCost]]</f>
        <v>9.3800000000000008</v>
      </c>
    </row>
    <row r="343" spans="1:12" x14ac:dyDescent="0.25">
      <c r="A343" t="s">
        <v>174</v>
      </c>
      <c r="B343" t="s">
        <v>404</v>
      </c>
      <c r="C343">
        <v>1</v>
      </c>
      <c r="D343" s="9">
        <f>IFERROR(VLOOKUP($B343,Menu[],MATCH(D$1,Menu[#Headers],0),FALSE),"CHECK")</f>
        <v>32.979999999999997</v>
      </c>
      <c r="E343" s="9">
        <f>IFERROR(VLOOKUP($B343,Menu[],MATCH(E$1,Menu[#Headers],0),FALSE),"CHECK")</f>
        <v>11.84</v>
      </c>
      <c r="F343" t="str">
        <f>IFERROR(VLOOKUP($B343,Menu[],MATCH(F$1,Menu[#Headers],0),FALSE),"CHECK")</f>
        <v>Beverage</v>
      </c>
      <c r="G343" s="7">
        <f>IFERROR(INT(VLOOKUP($A343,Orders[],MATCH("OrderDateTime",Orders[#Headers],0),FALSE)),"CHECK")</f>
        <v>45864</v>
      </c>
      <c r="H343" s="7" t="str">
        <f>IFERROR(VLOOKUP($A343,Orders[],MATCH(H$1,Orders[#Headers],0),FALSE),"CHECK")</f>
        <v>Head Office Café</v>
      </c>
      <c r="I343">
        <f>IFERROR(VLOOKUP(OrderLines[[#This Row],[OrderID]],Orders[],MATCH(OrderLines[[#Headers],[DiscountPct]],Orders[#Headers],0),FALSE),"CHECK")</f>
        <v>0.05</v>
      </c>
      <c r="J343" t="str">
        <f>IFERROR(VLOOKUP(OrderLines[[#This Row],[OrderID]],Orders[],MATCH(OrderLines[[#Headers],[Shift]],Orders[#Headers],0),FALSE),"CHECK")</f>
        <v>Dinner</v>
      </c>
      <c r="K343" s="11">
        <f>OrderLines[[#This Row],[Qty]] * OrderLines[[#This Row],[UnitPrice]] * (1-OrderLines[[#This Row],[DiscountPct]])</f>
        <v>31.330999999999996</v>
      </c>
      <c r="L343">
        <f>OrderLines[[#This Row],[Qty]]*OrderLines[[#This Row],[UnitCost]]</f>
        <v>11.84</v>
      </c>
    </row>
    <row r="344" spans="1:12" x14ac:dyDescent="0.25">
      <c r="A344" t="s">
        <v>174</v>
      </c>
      <c r="B344" t="s">
        <v>412</v>
      </c>
      <c r="C344">
        <v>2</v>
      </c>
      <c r="D344" s="9">
        <f>IFERROR(VLOOKUP($B344,Menu[],MATCH(D$1,Menu[#Headers],0),FALSE),"CHECK")</f>
        <v>57.07</v>
      </c>
      <c r="E344" s="9">
        <f>IFERROR(VLOOKUP($B344,Menu[],MATCH(E$1,Menu[#Headers],0),FALSE),"CHECK")</f>
        <v>29.14</v>
      </c>
      <c r="F344" t="str">
        <f>IFERROR(VLOOKUP($B344,Menu[],MATCH(F$1,Menu[#Headers],0),FALSE),"CHECK")</f>
        <v>Dessert</v>
      </c>
      <c r="G344" s="7">
        <f>IFERROR(INT(VLOOKUP($A344,Orders[],MATCH("OrderDateTime",Orders[#Headers],0),FALSE)),"CHECK")</f>
        <v>45864</v>
      </c>
      <c r="H344" s="7" t="str">
        <f>IFERROR(VLOOKUP($A344,Orders[],MATCH(H$1,Orders[#Headers],0),FALSE),"CHECK")</f>
        <v>Head Office Café</v>
      </c>
      <c r="I344">
        <f>IFERROR(VLOOKUP(OrderLines[[#This Row],[OrderID]],Orders[],MATCH(OrderLines[[#Headers],[DiscountPct]],Orders[#Headers],0),FALSE),"CHECK")</f>
        <v>0.05</v>
      </c>
      <c r="J344" t="str">
        <f>IFERROR(VLOOKUP(OrderLines[[#This Row],[OrderID]],Orders[],MATCH(OrderLines[[#Headers],[Shift]],Orders[#Headers],0),FALSE),"CHECK")</f>
        <v>Dinner</v>
      </c>
      <c r="K344" s="11">
        <f>OrderLines[[#This Row],[Qty]] * OrderLines[[#This Row],[UnitPrice]] * (1-OrderLines[[#This Row],[DiscountPct]])</f>
        <v>108.43299999999999</v>
      </c>
      <c r="L344">
        <f>OrderLines[[#This Row],[Qty]]*OrderLines[[#This Row],[UnitCost]]</f>
        <v>58.28</v>
      </c>
    </row>
    <row r="345" spans="1:12" x14ac:dyDescent="0.25">
      <c r="A345" t="s">
        <v>174</v>
      </c>
      <c r="B345" t="s">
        <v>417</v>
      </c>
      <c r="C345">
        <v>1</v>
      </c>
      <c r="D345" s="9">
        <f>IFERROR(VLOOKUP($B345,Menu[],MATCH(D$1,Menu[#Headers],0),FALSE),"CHECK")</f>
        <v>146.4</v>
      </c>
      <c r="E345" s="9">
        <f>IFERROR(VLOOKUP($B345,Menu[],MATCH(E$1,Menu[#Headers],0),FALSE),"CHECK")</f>
        <v>80.92</v>
      </c>
      <c r="F345" t="str">
        <f>IFERROR(VLOOKUP($B345,Menu[],MATCH(F$1,Menu[#Headers],0),FALSE),"CHECK")</f>
        <v>Hot Meal</v>
      </c>
      <c r="G345" s="7">
        <f>IFERROR(INT(VLOOKUP($A345,Orders[],MATCH("OrderDateTime",Orders[#Headers],0),FALSE)),"CHECK")</f>
        <v>45864</v>
      </c>
      <c r="H345" s="7" t="str">
        <f>IFERROR(VLOOKUP($A345,Orders[],MATCH(H$1,Orders[#Headers],0),FALSE),"CHECK")</f>
        <v>Head Office Café</v>
      </c>
      <c r="I345">
        <f>IFERROR(VLOOKUP(OrderLines[[#This Row],[OrderID]],Orders[],MATCH(OrderLines[[#Headers],[DiscountPct]],Orders[#Headers],0),FALSE),"CHECK")</f>
        <v>0.05</v>
      </c>
      <c r="J345" t="str">
        <f>IFERROR(VLOOKUP(OrderLines[[#This Row],[OrderID]],Orders[],MATCH(OrderLines[[#Headers],[Shift]],Orders[#Headers],0),FALSE),"CHECK")</f>
        <v>Dinner</v>
      </c>
      <c r="K345" s="11">
        <f>OrderLines[[#This Row],[Qty]] * OrderLines[[#This Row],[UnitPrice]] * (1-OrderLines[[#This Row],[DiscountPct]])</f>
        <v>139.08000000000001</v>
      </c>
      <c r="L345">
        <f>OrderLines[[#This Row],[Qty]]*OrderLines[[#This Row],[UnitCost]]</f>
        <v>80.92</v>
      </c>
    </row>
    <row r="346" spans="1:12" x14ac:dyDescent="0.25">
      <c r="A346" t="s">
        <v>175</v>
      </c>
      <c r="B346" t="s">
        <v>419</v>
      </c>
      <c r="C346">
        <v>2</v>
      </c>
      <c r="D346" s="9">
        <f>IFERROR(VLOOKUP($B346,Menu[],MATCH(D$1,Menu[#Headers],0),FALSE),"CHECK")</f>
        <v>50.19</v>
      </c>
      <c r="E346" s="9">
        <f>IFERROR(VLOOKUP($B346,Menu[],MATCH(E$1,Menu[#Headers],0),FALSE),"CHECK")</f>
        <v>22.61</v>
      </c>
      <c r="F346" t="str">
        <f>IFERROR(VLOOKUP($B346,Menu[],MATCH(F$1,Menu[#Headers],0),FALSE),"CHECK")</f>
        <v>Snack</v>
      </c>
      <c r="G346" s="7">
        <f>IFERROR(INT(VLOOKUP($A346,Orders[],MATCH("OrderDateTime",Orders[#Headers],0),FALSE)),"CHECK")</f>
        <v>45856</v>
      </c>
      <c r="H346" s="7" t="str">
        <f>IFERROR(VLOOKUP($A346,Orders[],MATCH(H$1,Orders[#Headers],0),FALSE),"CHECK")</f>
        <v>Head Office Café</v>
      </c>
      <c r="I346">
        <f>IFERROR(VLOOKUP(OrderLines[[#This Row],[OrderID]],Orders[],MATCH(OrderLines[[#Headers],[DiscountPct]],Orders[#Headers],0),FALSE),"CHECK")</f>
        <v>0.17</v>
      </c>
      <c r="J346" t="str">
        <f>IFERROR(VLOOKUP(OrderLines[[#This Row],[OrderID]],Orders[],MATCH(OrderLines[[#Headers],[Shift]],Orders[#Headers],0),FALSE),"CHECK")</f>
        <v>Breakfast</v>
      </c>
      <c r="K346" s="11">
        <f>OrderLines[[#This Row],[Qty]] * OrderLines[[#This Row],[UnitPrice]] * (1-OrderLines[[#This Row],[DiscountPct]])</f>
        <v>83.315399999999997</v>
      </c>
      <c r="L346">
        <f>OrderLines[[#This Row],[Qty]]*OrderLines[[#This Row],[UnitCost]]</f>
        <v>45.22</v>
      </c>
    </row>
    <row r="347" spans="1:12" x14ac:dyDescent="0.25">
      <c r="A347" t="s">
        <v>176</v>
      </c>
      <c r="B347" t="s">
        <v>412</v>
      </c>
      <c r="C347">
        <v>2</v>
      </c>
      <c r="D347" s="9">
        <f>IFERROR(VLOOKUP($B347,Menu[],MATCH(D$1,Menu[#Headers],0),FALSE),"CHECK")</f>
        <v>57.07</v>
      </c>
      <c r="E347" s="9">
        <f>IFERROR(VLOOKUP($B347,Menu[],MATCH(E$1,Menu[#Headers],0),FALSE),"CHECK")</f>
        <v>29.14</v>
      </c>
      <c r="F347" t="str">
        <f>IFERROR(VLOOKUP($B347,Menu[],MATCH(F$1,Menu[#Headers],0),FALSE),"CHECK")</f>
        <v>Dessert</v>
      </c>
      <c r="G347" s="7">
        <f>IFERROR(INT(VLOOKUP($A347,Orders[],MATCH("OrderDateTime",Orders[#Headers],0),FALSE)),"CHECK")</f>
        <v>45878</v>
      </c>
      <c r="H347" s="7" t="str">
        <f>IFERROR(VLOOKUP($A347,Orders[],MATCH(H$1,Orders[#Headers],0),FALSE),"CHECK")</f>
        <v>Plant 2 Canteen</v>
      </c>
      <c r="I347">
        <f>IFERROR(VLOOKUP(OrderLines[[#This Row],[OrderID]],Orders[],MATCH(OrderLines[[#Headers],[DiscountPct]],Orders[#Headers],0),FALSE),"CHECK")</f>
        <v>0.09</v>
      </c>
      <c r="J347" t="str">
        <f>IFERROR(VLOOKUP(OrderLines[[#This Row],[OrderID]],Orders[],MATCH(OrderLines[[#Headers],[Shift]],Orders[#Headers],0),FALSE),"CHECK")</f>
        <v>Dinner</v>
      </c>
      <c r="K347" s="11">
        <f>OrderLines[[#This Row],[Qty]] * OrderLines[[#This Row],[UnitPrice]] * (1-OrderLines[[#This Row],[DiscountPct]])</f>
        <v>103.8674</v>
      </c>
      <c r="L347">
        <f>OrderLines[[#This Row],[Qty]]*OrderLines[[#This Row],[UnitCost]]</f>
        <v>58.28</v>
      </c>
    </row>
    <row r="348" spans="1:12" x14ac:dyDescent="0.25">
      <c r="A348" t="s">
        <v>176</v>
      </c>
      <c r="B348" t="s">
        <v>416</v>
      </c>
      <c r="C348">
        <v>2</v>
      </c>
      <c r="D348" s="9">
        <f>IFERROR(VLOOKUP($B348,Menu[],MATCH(D$1,Menu[#Headers],0),FALSE),"CHECK")</f>
        <v>227.61</v>
      </c>
      <c r="E348" s="9">
        <f>IFERROR(VLOOKUP($B348,Menu[],MATCH(E$1,Menu[#Headers],0),FALSE),"CHECK")</f>
        <v>96.22</v>
      </c>
      <c r="F348" t="str">
        <f>IFERROR(VLOOKUP($B348,Menu[],MATCH(F$1,Menu[#Headers],0),FALSE),"CHECK")</f>
        <v>Hot Meal</v>
      </c>
      <c r="G348" s="7">
        <f>IFERROR(INT(VLOOKUP($A348,Orders[],MATCH("OrderDateTime",Orders[#Headers],0),FALSE)),"CHECK")</f>
        <v>45878</v>
      </c>
      <c r="H348" s="7" t="str">
        <f>IFERROR(VLOOKUP($A348,Orders[],MATCH(H$1,Orders[#Headers],0),FALSE),"CHECK")</f>
        <v>Plant 2 Canteen</v>
      </c>
      <c r="I348">
        <f>IFERROR(VLOOKUP(OrderLines[[#This Row],[OrderID]],Orders[],MATCH(OrderLines[[#Headers],[DiscountPct]],Orders[#Headers],0),FALSE),"CHECK")</f>
        <v>0.09</v>
      </c>
      <c r="J348" t="str">
        <f>IFERROR(VLOOKUP(OrderLines[[#This Row],[OrderID]],Orders[],MATCH(OrderLines[[#Headers],[Shift]],Orders[#Headers],0),FALSE),"CHECK")</f>
        <v>Dinner</v>
      </c>
      <c r="K348" s="11">
        <f>OrderLines[[#This Row],[Qty]] * OrderLines[[#This Row],[UnitPrice]] * (1-OrderLines[[#This Row],[DiscountPct]])</f>
        <v>414.25020000000006</v>
      </c>
      <c r="L348">
        <f>OrderLines[[#This Row],[Qty]]*OrderLines[[#This Row],[UnitCost]]</f>
        <v>192.44</v>
      </c>
    </row>
    <row r="349" spans="1:12" x14ac:dyDescent="0.25">
      <c r="A349" t="s">
        <v>176</v>
      </c>
      <c r="B349" t="s">
        <v>401</v>
      </c>
      <c r="C349">
        <v>3</v>
      </c>
      <c r="D349" s="9">
        <f>IFERROR(VLOOKUP($B349,Menu[],MATCH(D$1,Menu[#Headers],0),FALSE),"CHECK")</f>
        <v>52.45</v>
      </c>
      <c r="E349" s="9">
        <f>IFERROR(VLOOKUP($B349,Menu[],MATCH(E$1,Menu[#Headers],0),FALSE),"CHECK")</f>
        <v>25.8</v>
      </c>
      <c r="F349" t="str">
        <f>IFERROR(VLOOKUP($B349,Menu[],MATCH(F$1,Menu[#Headers],0),FALSE),"CHECK")</f>
        <v>Snack</v>
      </c>
      <c r="G349" s="7">
        <f>IFERROR(INT(VLOOKUP($A349,Orders[],MATCH("OrderDateTime",Orders[#Headers],0),FALSE)),"CHECK")</f>
        <v>45878</v>
      </c>
      <c r="H349" s="7" t="str">
        <f>IFERROR(VLOOKUP($A349,Orders[],MATCH(H$1,Orders[#Headers],0),FALSE),"CHECK")</f>
        <v>Plant 2 Canteen</v>
      </c>
      <c r="I349">
        <f>IFERROR(VLOOKUP(OrderLines[[#This Row],[OrderID]],Orders[],MATCH(OrderLines[[#Headers],[DiscountPct]],Orders[#Headers],0),FALSE),"CHECK")</f>
        <v>0.09</v>
      </c>
      <c r="J349" t="str">
        <f>IFERROR(VLOOKUP(OrderLines[[#This Row],[OrderID]],Orders[],MATCH(OrderLines[[#Headers],[Shift]],Orders[#Headers],0),FALSE),"CHECK")</f>
        <v>Dinner</v>
      </c>
      <c r="K349" s="11">
        <f>OrderLines[[#This Row],[Qty]] * OrderLines[[#This Row],[UnitPrice]] * (1-OrderLines[[#This Row],[DiscountPct]])</f>
        <v>143.18850000000003</v>
      </c>
      <c r="L349">
        <f>OrderLines[[#This Row],[Qty]]*OrderLines[[#This Row],[UnitCost]]</f>
        <v>77.400000000000006</v>
      </c>
    </row>
    <row r="350" spans="1:12" x14ac:dyDescent="0.25">
      <c r="A350" t="s">
        <v>177</v>
      </c>
      <c r="B350" t="s">
        <v>419</v>
      </c>
      <c r="C350">
        <v>3</v>
      </c>
      <c r="D350" s="9">
        <f>IFERROR(VLOOKUP($B350,Menu[],MATCH(D$1,Menu[#Headers],0),FALSE),"CHECK")</f>
        <v>50.19</v>
      </c>
      <c r="E350" s="9">
        <f>IFERROR(VLOOKUP($B350,Menu[],MATCH(E$1,Menu[#Headers],0),FALSE),"CHECK")</f>
        <v>22.61</v>
      </c>
      <c r="F350" t="str">
        <f>IFERROR(VLOOKUP($B350,Menu[],MATCH(F$1,Menu[#Headers],0),FALSE),"CHECK")</f>
        <v>Snack</v>
      </c>
      <c r="G350" s="7">
        <f>IFERROR(INT(VLOOKUP($A350,Orders[],MATCH("OrderDateTime",Orders[#Headers],0),FALSE)),"CHECK")</f>
        <v>45867</v>
      </c>
      <c r="H350" s="7" t="str">
        <f>IFERROR(VLOOKUP($A350,Orders[],MATCH(H$1,Orders[#Headers],0),FALSE),"CHECK")</f>
        <v>Plant 1 Canteen</v>
      </c>
      <c r="I350">
        <f>IFERROR(VLOOKUP(OrderLines[[#This Row],[OrderID]],Orders[],MATCH(OrderLines[[#Headers],[DiscountPct]],Orders[#Headers],0),FALSE),"CHECK")</f>
        <v>0.03</v>
      </c>
      <c r="J350" t="str">
        <f>IFERROR(VLOOKUP(OrderLines[[#This Row],[OrderID]],Orders[],MATCH(OrderLines[[#Headers],[Shift]],Orders[#Headers],0),FALSE),"CHECK")</f>
        <v>Lunch</v>
      </c>
      <c r="K350" s="11">
        <f>OrderLines[[#This Row],[Qty]] * OrderLines[[#This Row],[UnitPrice]] * (1-OrderLines[[#This Row],[DiscountPct]])</f>
        <v>146.05289999999999</v>
      </c>
      <c r="L350">
        <f>OrderLines[[#This Row],[Qty]]*OrderLines[[#This Row],[UnitCost]]</f>
        <v>67.83</v>
      </c>
    </row>
    <row r="351" spans="1:12" x14ac:dyDescent="0.25">
      <c r="A351" t="s">
        <v>177</v>
      </c>
      <c r="B351" t="s">
        <v>406</v>
      </c>
      <c r="C351">
        <v>2</v>
      </c>
      <c r="D351" s="9">
        <f>IFERROR(VLOOKUP($B351,Menu[],MATCH(D$1,Menu[#Headers],0),FALSE),"CHECK")</f>
        <v>38.06</v>
      </c>
      <c r="E351" s="9">
        <f>IFERROR(VLOOKUP($B351,Menu[],MATCH(E$1,Menu[#Headers],0),FALSE),"CHECK")</f>
        <v>19.55</v>
      </c>
      <c r="F351" t="str">
        <f>IFERROR(VLOOKUP($B351,Menu[],MATCH(F$1,Menu[#Headers],0),FALSE),"CHECK")</f>
        <v>Snack</v>
      </c>
      <c r="G351" s="7">
        <f>IFERROR(INT(VLOOKUP($A351,Orders[],MATCH("OrderDateTime",Orders[#Headers],0),FALSE)),"CHECK")</f>
        <v>45867</v>
      </c>
      <c r="H351" s="7" t="str">
        <f>IFERROR(VLOOKUP($A351,Orders[],MATCH(H$1,Orders[#Headers],0),FALSE),"CHECK")</f>
        <v>Plant 1 Canteen</v>
      </c>
      <c r="I351">
        <f>IFERROR(VLOOKUP(OrderLines[[#This Row],[OrderID]],Orders[],MATCH(OrderLines[[#Headers],[DiscountPct]],Orders[#Headers],0),FALSE),"CHECK")</f>
        <v>0.03</v>
      </c>
      <c r="J351" t="str">
        <f>IFERROR(VLOOKUP(OrderLines[[#This Row],[OrderID]],Orders[],MATCH(OrderLines[[#Headers],[Shift]],Orders[#Headers],0),FALSE),"CHECK")</f>
        <v>Lunch</v>
      </c>
      <c r="K351" s="11">
        <f>OrderLines[[#This Row],[Qty]] * OrderLines[[#This Row],[UnitPrice]] * (1-OrderLines[[#This Row],[DiscountPct]])</f>
        <v>73.836399999999998</v>
      </c>
      <c r="L351">
        <f>OrderLines[[#This Row],[Qty]]*OrderLines[[#This Row],[UnitCost]]</f>
        <v>39.1</v>
      </c>
    </row>
    <row r="352" spans="1:12" x14ac:dyDescent="0.25">
      <c r="A352" t="s">
        <v>177</v>
      </c>
      <c r="B352" t="s">
        <v>404</v>
      </c>
      <c r="C352">
        <v>1</v>
      </c>
      <c r="D352" s="9">
        <f>IFERROR(VLOOKUP($B352,Menu[],MATCH(D$1,Menu[#Headers],0),FALSE),"CHECK")</f>
        <v>32.979999999999997</v>
      </c>
      <c r="E352" s="9">
        <f>IFERROR(VLOOKUP($B352,Menu[],MATCH(E$1,Menu[#Headers],0),FALSE),"CHECK")</f>
        <v>11.84</v>
      </c>
      <c r="F352" t="str">
        <f>IFERROR(VLOOKUP($B352,Menu[],MATCH(F$1,Menu[#Headers],0),FALSE),"CHECK")</f>
        <v>Beverage</v>
      </c>
      <c r="G352" s="7">
        <f>IFERROR(INT(VLOOKUP($A352,Orders[],MATCH("OrderDateTime",Orders[#Headers],0),FALSE)),"CHECK")</f>
        <v>45867</v>
      </c>
      <c r="H352" s="7" t="str">
        <f>IFERROR(VLOOKUP($A352,Orders[],MATCH(H$1,Orders[#Headers],0),FALSE),"CHECK")</f>
        <v>Plant 1 Canteen</v>
      </c>
      <c r="I352">
        <f>IFERROR(VLOOKUP(OrderLines[[#This Row],[OrderID]],Orders[],MATCH(OrderLines[[#Headers],[DiscountPct]],Orders[#Headers],0),FALSE),"CHECK")</f>
        <v>0.03</v>
      </c>
      <c r="J352" t="str">
        <f>IFERROR(VLOOKUP(OrderLines[[#This Row],[OrderID]],Orders[],MATCH(OrderLines[[#Headers],[Shift]],Orders[#Headers],0),FALSE),"CHECK")</f>
        <v>Lunch</v>
      </c>
      <c r="K352" s="11">
        <f>OrderLines[[#This Row],[Qty]] * OrderLines[[#This Row],[UnitPrice]] * (1-OrderLines[[#This Row],[DiscountPct]])</f>
        <v>31.990599999999997</v>
      </c>
      <c r="L352">
        <f>OrderLines[[#This Row],[Qty]]*OrderLines[[#This Row],[UnitCost]]</f>
        <v>11.84</v>
      </c>
    </row>
    <row r="353" spans="1:12" x14ac:dyDescent="0.25">
      <c r="A353" t="s">
        <v>177</v>
      </c>
      <c r="B353" t="s">
        <v>402</v>
      </c>
      <c r="C353">
        <v>2</v>
      </c>
      <c r="D353" s="9">
        <f>IFERROR(VLOOKUP($B353,Menu[],MATCH(D$1,Menu[#Headers],0),FALSE),"CHECK")</f>
        <v>30.34</v>
      </c>
      <c r="E353" s="9">
        <f>IFERROR(VLOOKUP($B353,Menu[],MATCH(E$1,Menu[#Headers],0),FALSE),"CHECK")</f>
        <v>14.18</v>
      </c>
      <c r="F353" t="str">
        <f>IFERROR(VLOOKUP($B353,Menu[],MATCH(F$1,Menu[#Headers],0),FALSE),"CHECK")</f>
        <v>Beverage</v>
      </c>
      <c r="G353" s="7">
        <f>IFERROR(INT(VLOOKUP($A353,Orders[],MATCH("OrderDateTime",Orders[#Headers],0),FALSE)),"CHECK")</f>
        <v>45867</v>
      </c>
      <c r="H353" s="7" t="str">
        <f>IFERROR(VLOOKUP($A353,Orders[],MATCH(H$1,Orders[#Headers],0),FALSE),"CHECK")</f>
        <v>Plant 1 Canteen</v>
      </c>
      <c r="I353">
        <f>IFERROR(VLOOKUP(OrderLines[[#This Row],[OrderID]],Orders[],MATCH(OrderLines[[#Headers],[DiscountPct]],Orders[#Headers],0),FALSE),"CHECK")</f>
        <v>0.03</v>
      </c>
      <c r="J353" t="str">
        <f>IFERROR(VLOOKUP(OrderLines[[#This Row],[OrderID]],Orders[],MATCH(OrderLines[[#Headers],[Shift]],Orders[#Headers],0),FALSE),"CHECK")</f>
        <v>Lunch</v>
      </c>
      <c r="K353" s="11">
        <f>OrderLines[[#This Row],[Qty]] * OrderLines[[#This Row],[UnitPrice]] * (1-OrderLines[[#This Row],[DiscountPct]])</f>
        <v>58.8596</v>
      </c>
      <c r="L353">
        <f>OrderLines[[#This Row],[Qty]]*OrderLines[[#This Row],[UnitCost]]</f>
        <v>28.36</v>
      </c>
    </row>
    <row r="354" spans="1:12" x14ac:dyDescent="0.25">
      <c r="A354" t="s">
        <v>178</v>
      </c>
      <c r="B354" t="s">
        <v>401</v>
      </c>
      <c r="C354">
        <v>1</v>
      </c>
      <c r="D354" s="9">
        <f>IFERROR(VLOOKUP($B354,Menu[],MATCH(D$1,Menu[#Headers],0),FALSE),"CHECK")</f>
        <v>52.45</v>
      </c>
      <c r="E354" s="9">
        <f>IFERROR(VLOOKUP($B354,Menu[],MATCH(E$1,Menu[#Headers],0),FALSE),"CHECK")</f>
        <v>25.8</v>
      </c>
      <c r="F354" t="str">
        <f>IFERROR(VLOOKUP($B354,Menu[],MATCH(F$1,Menu[#Headers],0),FALSE),"CHECK")</f>
        <v>Snack</v>
      </c>
      <c r="G354" s="7">
        <f>IFERROR(INT(VLOOKUP($A354,Orders[],MATCH("OrderDateTime",Orders[#Headers],0),FALSE)),"CHECK")</f>
        <v>45883</v>
      </c>
      <c r="H354" s="7" t="str">
        <f>IFERROR(VLOOKUP($A354,Orders[],MATCH(H$1,Orders[#Headers],0),FALSE),"CHECK")</f>
        <v>Plant 1 Canteen</v>
      </c>
      <c r="I354">
        <f>IFERROR(VLOOKUP(OrderLines[[#This Row],[OrderID]],Orders[],MATCH(OrderLines[[#Headers],[DiscountPct]],Orders[#Headers],0),FALSE),"CHECK")</f>
        <v>0.02</v>
      </c>
      <c r="J354" t="str">
        <f>IFERROR(VLOOKUP(OrderLines[[#This Row],[OrderID]],Orders[],MATCH(OrderLines[[#Headers],[Shift]],Orders[#Headers],0),FALSE),"CHECK")</f>
        <v>Breakfast</v>
      </c>
      <c r="K354" s="11">
        <f>OrderLines[[#This Row],[Qty]] * OrderLines[[#This Row],[UnitPrice]] * (1-OrderLines[[#This Row],[DiscountPct]])</f>
        <v>51.401000000000003</v>
      </c>
      <c r="L354">
        <f>OrderLines[[#This Row],[Qty]]*OrderLines[[#This Row],[UnitCost]]</f>
        <v>25.8</v>
      </c>
    </row>
    <row r="355" spans="1:12" x14ac:dyDescent="0.25">
      <c r="A355" t="s">
        <v>178</v>
      </c>
      <c r="B355" t="s">
        <v>409</v>
      </c>
      <c r="C355">
        <v>1</v>
      </c>
      <c r="D355" s="9">
        <f>IFERROR(VLOOKUP($B355,Menu[],MATCH(D$1,Menu[#Headers],0),FALSE),"CHECK")</f>
        <v>28.43</v>
      </c>
      <c r="E355" s="9">
        <f>IFERROR(VLOOKUP($B355,Menu[],MATCH(E$1,Menu[#Headers],0),FALSE),"CHECK")</f>
        <v>13.89</v>
      </c>
      <c r="F355" t="str">
        <f>IFERROR(VLOOKUP($B355,Menu[],MATCH(F$1,Menu[#Headers],0),FALSE),"CHECK")</f>
        <v>Beverage</v>
      </c>
      <c r="G355" s="7">
        <f>IFERROR(INT(VLOOKUP($A355,Orders[],MATCH("OrderDateTime",Orders[#Headers],0),FALSE)),"CHECK")</f>
        <v>45883</v>
      </c>
      <c r="H355" s="7" t="str">
        <f>IFERROR(VLOOKUP($A355,Orders[],MATCH(H$1,Orders[#Headers],0),FALSE),"CHECK")</f>
        <v>Plant 1 Canteen</v>
      </c>
      <c r="I355">
        <f>IFERROR(VLOOKUP(OrderLines[[#This Row],[OrderID]],Orders[],MATCH(OrderLines[[#Headers],[DiscountPct]],Orders[#Headers],0),FALSE),"CHECK")</f>
        <v>0.02</v>
      </c>
      <c r="J355" t="str">
        <f>IFERROR(VLOOKUP(OrderLines[[#This Row],[OrderID]],Orders[],MATCH(OrderLines[[#Headers],[Shift]],Orders[#Headers],0),FALSE),"CHECK")</f>
        <v>Breakfast</v>
      </c>
      <c r="K355" s="11">
        <f>OrderLines[[#This Row],[Qty]] * OrderLines[[#This Row],[UnitPrice]] * (1-OrderLines[[#This Row],[DiscountPct]])</f>
        <v>27.8614</v>
      </c>
      <c r="L355">
        <f>OrderLines[[#This Row],[Qty]]*OrderLines[[#This Row],[UnitCost]]</f>
        <v>13.89</v>
      </c>
    </row>
    <row r="356" spans="1:12" x14ac:dyDescent="0.25">
      <c r="A356" t="s">
        <v>179</v>
      </c>
      <c r="B356" t="s">
        <v>409</v>
      </c>
      <c r="C356">
        <v>1</v>
      </c>
      <c r="D356" s="9">
        <f>IFERROR(VLOOKUP($B356,Menu[],MATCH(D$1,Menu[#Headers],0),FALSE),"CHECK")</f>
        <v>28.43</v>
      </c>
      <c r="E356" s="9">
        <f>IFERROR(VLOOKUP($B356,Menu[],MATCH(E$1,Menu[#Headers],0),FALSE),"CHECK")</f>
        <v>13.89</v>
      </c>
      <c r="F356" t="str">
        <f>IFERROR(VLOOKUP($B356,Menu[],MATCH(F$1,Menu[#Headers],0),FALSE),"CHECK")</f>
        <v>Beverage</v>
      </c>
      <c r="G356" s="7">
        <f>IFERROR(INT(VLOOKUP($A356,Orders[],MATCH("OrderDateTime",Orders[#Headers],0),FALSE)),"CHECK")</f>
        <v>45896</v>
      </c>
      <c r="H356" s="7" t="str">
        <f>IFERROR(VLOOKUP($A356,Orders[],MATCH(H$1,Orders[#Headers],0),FALSE),"CHECK")</f>
        <v>Head Office Café</v>
      </c>
      <c r="I356">
        <f>IFERROR(VLOOKUP(OrderLines[[#This Row],[OrderID]],Orders[],MATCH(OrderLines[[#Headers],[DiscountPct]],Orders[#Headers],0),FALSE),"CHECK")</f>
        <v>0.08</v>
      </c>
      <c r="J356" t="str">
        <f>IFERROR(VLOOKUP(OrderLines[[#This Row],[OrderID]],Orders[],MATCH(OrderLines[[#Headers],[Shift]],Orders[#Headers],0),FALSE),"CHECK")</f>
        <v>Lunch</v>
      </c>
      <c r="K356" s="11">
        <f>OrderLines[[#This Row],[Qty]] * OrderLines[[#This Row],[UnitPrice]] * (1-OrderLines[[#This Row],[DiscountPct]])</f>
        <v>26.1556</v>
      </c>
      <c r="L356">
        <f>OrderLines[[#This Row],[Qty]]*OrderLines[[#This Row],[UnitCost]]</f>
        <v>13.89</v>
      </c>
    </row>
    <row r="357" spans="1:12" x14ac:dyDescent="0.25">
      <c r="A357" t="s">
        <v>179</v>
      </c>
      <c r="B357" t="s">
        <v>419</v>
      </c>
      <c r="C357">
        <v>3</v>
      </c>
      <c r="D357" s="9">
        <f>IFERROR(VLOOKUP($B357,Menu[],MATCH(D$1,Menu[#Headers],0),FALSE),"CHECK")</f>
        <v>50.19</v>
      </c>
      <c r="E357" s="9">
        <f>IFERROR(VLOOKUP($B357,Menu[],MATCH(E$1,Menu[#Headers],0),FALSE),"CHECK")</f>
        <v>22.61</v>
      </c>
      <c r="F357" t="str">
        <f>IFERROR(VLOOKUP($B357,Menu[],MATCH(F$1,Menu[#Headers],0),FALSE),"CHECK")</f>
        <v>Snack</v>
      </c>
      <c r="G357" s="7">
        <f>IFERROR(INT(VLOOKUP($A357,Orders[],MATCH("OrderDateTime",Orders[#Headers],0),FALSE)),"CHECK")</f>
        <v>45896</v>
      </c>
      <c r="H357" s="7" t="str">
        <f>IFERROR(VLOOKUP($A357,Orders[],MATCH(H$1,Orders[#Headers],0),FALSE),"CHECK")</f>
        <v>Head Office Café</v>
      </c>
      <c r="I357">
        <f>IFERROR(VLOOKUP(OrderLines[[#This Row],[OrderID]],Orders[],MATCH(OrderLines[[#Headers],[DiscountPct]],Orders[#Headers],0),FALSE),"CHECK")</f>
        <v>0.08</v>
      </c>
      <c r="J357" t="str">
        <f>IFERROR(VLOOKUP(OrderLines[[#This Row],[OrderID]],Orders[],MATCH(OrderLines[[#Headers],[Shift]],Orders[#Headers],0),FALSE),"CHECK")</f>
        <v>Lunch</v>
      </c>
      <c r="K357" s="11">
        <f>OrderLines[[#This Row],[Qty]] * OrderLines[[#This Row],[UnitPrice]] * (1-OrderLines[[#This Row],[DiscountPct]])</f>
        <v>138.52439999999999</v>
      </c>
      <c r="L357">
        <f>OrderLines[[#This Row],[Qty]]*OrderLines[[#This Row],[UnitCost]]</f>
        <v>67.83</v>
      </c>
    </row>
    <row r="358" spans="1:12" x14ac:dyDescent="0.25">
      <c r="A358" t="s">
        <v>180</v>
      </c>
      <c r="B358" t="s">
        <v>410</v>
      </c>
      <c r="C358">
        <v>2</v>
      </c>
      <c r="D358" s="9">
        <f>IFERROR(VLOOKUP($B358,Menu[],MATCH(D$1,Menu[#Headers],0),FALSE),"CHECK")</f>
        <v>20.11</v>
      </c>
      <c r="E358" s="9">
        <f>IFERROR(VLOOKUP($B358,Menu[],MATCH(E$1,Menu[#Headers],0),FALSE),"CHECK")</f>
        <v>8</v>
      </c>
      <c r="F358" t="str">
        <f>IFERROR(VLOOKUP($B358,Menu[],MATCH(F$1,Menu[#Headers],0),FALSE),"CHECK")</f>
        <v>Beverage</v>
      </c>
      <c r="G358" s="7">
        <f>IFERROR(INT(VLOOKUP($A358,Orders[],MATCH("OrderDateTime",Orders[#Headers],0),FALSE)),"CHECK")</f>
        <v>45892</v>
      </c>
      <c r="H358" s="7" t="str">
        <f>IFERROR(VLOOKUP($A358,Orders[],MATCH(H$1,Orders[#Headers],0),FALSE),"CHECK")</f>
        <v>Plant 1 Canteen</v>
      </c>
      <c r="I358">
        <f>IFERROR(VLOOKUP(OrderLines[[#This Row],[OrderID]],Orders[],MATCH(OrderLines[[#Headers],[DiscountPct]],Orders[#Headers],0),FALSE),"CHECK")</f>
        <v>0.05</v>
      </c>
      <c r="J358" t="str">
        <f>IFERROR(VLOOKUP(OrderLines[[#This Row],[OrderID]],Orders[],MATCH(OrderLines[[#Headers],[Shift]],Orders[#Headers],0),FALSE),"CHECK")</f>
        <v>Breakfast</v>
      </c>
      <c r="K358" s="11">
        <f>OrderLines[[#This Row],[Qty]] * OrderLines[[#This Row],[UnitPrice]] * (1-OrderLines[[#This Row],[DiscountPct]])</f>
        <v>38.208999999999996</v>
      </c>
      <c r="L358">
        <f>OrderLines[[#This Row],[Qty]]*OrderLines[[#This Row],[UnitCost]]</f>
        <v>16</v>
      </c>
    </row>
    <row r="359" spans="1:12" x14ac:dyDescent="0.25">
      <c r="A359" t="s">
        <v>181</v>
      </c>
      <c r="B359" t="s">
        <v>401</v>
      </c>
      <c r="C359">
        <v>1</v>
      </c>
      <c r="D359" s="9">
        <f>IFERROR(VLOOKUP($B359,Menu[],MATCH(D$1,Menu[#Headers],0),FALSE),"CHECK")</f>
        <v>52.45</v>
      </c>
      <c r="E359" s="9">
        <f>IFERROR(VLOOKUP($B359,Menu[],MATCH(E$1,Menu[#Headers],0),FALSE),"CHECK")</f>
        <v>25.8</v>
      </c>
      <c r="F359" t="str">
        <f>IFERROR(VLOOKUP($B359,Menu[],MATCH(F$1,Menu[#Headers],0),FALSE),"CHECK")</f>
        <v>Snack</v>
      </c>
      <c r="G359" s="7">
        <f>IFERROR(INT(VLOOKUP($A359,Orders[],MATCH("OrderDateTime",Orders[#Headers],0),FALSE)),"CHECK")</f>
        <v>45853</v>
      </c>
      <c r="H359" s="7" t="str">
        <f>IFERROR(VLOOKUP($A359,Orders[],MATCH(H$1,Orders[#Headers],0),FALSE),"CHECK")</f>
        <v>Plant 1 Canteen</v>
      </c>
      <c r="I359">
        <f>IFERROR(VLOOKUP(OrderLines[[#This Row],[OrderID]],Orders[],MATCH(OrderLines[[#Headers],[DiscountPct]],Orders[#Headers],0),FALSE),"CHECK")</f>
        <v>0.09</v>
      </c>
      <c r="J359" t="str">
        <f>IFERROR(VLOOKUP(OrderLines[[#This Row],[OrderID]],Orders[],MATCH(OrderLines[[#Headers],[Shift]],Orders[#Headers],0),FALSE),"CHECK")</f>
        <v>Breakfast</v>
      </c>
      <c r="K359" s="11">
        <f>OrderLines[[#This Row],[Qty]] * OrderLines[[#This Row],[UnitPrice]] * (1-OrderLines[[#This Row],[DiscountPct]])</f>
        <v>47.729500000000002</v>
      </c>
      <c r="L359">
        <f>OrderLines[[#This Row],[Qty]]*OrderLines[[#This Row],[UnitCost]]</f>
        <v>25.8</v>
      </c>
    </row>
    <row r="360" spans="1:12" x14ac:dyDescent="0.25">
      <c r="A360" t="s">
        <v>182</v>
      </c>
      <c r="B360" t="s">
        <v>404</v>
      </c>
      <c r="C360">
        <v>2</v>
      </c>
      <c r="D360" s="9">
        <f>IFERROR(VLOOKUP($B360,Menu[],MATCH(D$1,Menu[#Headers],0),FALSE),"CHECK")</f>
        <v>32.979999999999997</v>
      </c>
      <c r="E360" s="9">
        <f>IFERROR(VLOOKUP($B360,Menu[],MATCH(E$1,Menu[#Headers],0),FALSE),"CHECK")</f>
        <v>11.84</v>
      </c>
      <c r="F360" t="str">
        <f>IFERROR(VLOOKUP($B360,Menu[],MATCH(F$1,Menu[#Headers],0),FALSE),"CHECK")</f>
        <v>Beverage</v>
      </c>
      <c r="G360" s="7">
        <f>IFERROR(INT(VLOOKUP($A360,Orders[],MATCH("OrderDateTime",Orders[#Headers],0),FALSE)),"CHECK")</f>
        <v>45897</v>
      </c>
      <c r="H360" s="7" t="str">
        <f>IFERROR(VLOOKUP($A360,Orders[],MATCH(H$1,Orders[#Headers],0),FALSE),"CHECK")</f>
        <v>Head Office Café</v>
      </c>
      <c r="I360">
        <f>IFERROR(VLOOKUP(OrderLines[[#This Row],[OrderID]],Orders[],MATCH(OrderLines[[#Headers],[DiscountPct]],Orders[#Headers],0),FALSE),"CHECK")</f>
        <v>0.08</v>
      </c>
      <c r="J360" t="str">
        <f>IFERROR(VLOOKUP(OrderLines[[#This Row],[OrderID]],Orders[],MATCH(OrderLines[[#Headers],[Shift]],Orders[#Headers],0),FALSE),"CHECK")</f>
        <v>Breakfast</v>
      </c>
      <c r="K360" s="11">
        <f>OrderLines[[#This Row],[Qty]] * OrderLines[[#This Row],[UnitPrice]] * (1-OrderLines[[#This Row],[DiscountPct]])</f>
        <v>60.683199999999999</v>
      </c>
      <c r="L360">
        <f>OrderLines[[#This Row],[Qty]]*OrderLines[[#This Row],[UnitCost]]</f>
        <v>23.68</v>
      </c>
    </row>
    <row r="361" spans="1:12" x14ac:dyDescent="0.25">
      <c r="A361" t="s">
        <v>182</v>
      </c>
      <c r="B361" t="s">
        <v>412</v>
      </c>
      <c r="C361">
        <v>1</v>
      </c>
      <c r="D361" s="9">
        <f>IFERROR(VLOOKUP($B361,Menu[],MATCH(D$1,Menu[#Headers],0),FALSE),"CHECK")</f>
        <v>57.07</v>
      </c>
      <c r="E361" s="9">
        <f>IFERROR(VLOOKUP($B361,Menu[],MATCH(E$1,Menu[#Headers],0),FALSE),"CHECK")</f>
        <v>29.14</v>
      </c>
      <c r="F361" t="str">
        <f>IFERROR(VLOOKUP($B361,Menu[],MATCH(F$1,Menu[#Headers],0),FALSE),"CHECK")</f>
        <v>Dessert</v>
      </c>
      <c r="G361" s="7">
        <f>IFERROR(INT(VLOOKUP($A361,Orders[],MATCH("OrderDateTime",Orders[#Headers],0),FALSE)),"CHECK")</f>
        <v>45897</v>
      </c>
      <c r="H361" s="7" t="str">
        <f>IFERROR(VLOOKUP($A361,Orders[],MATCH(H$1,Orders[#Headers],0),FALSE),"CHECK")</f>
        <v>Head Office Café</v>
      </c>
      <c r="I361">
        <f>IFERROR(VLOOKUP(OrderLines[[#This Row],[OrderID]],Orders[],MATCH(OrderLines[[#Headers],[DiscountPct]],Orders[#Headers],0),FALSE),"CHECK")</f>
        <v>0.08</v>
      </c>
      <c r="J361" t="str">
        <f>IFERROR(VLOOKUP(OrderLines[[#This Row],[OrderID]],Orders[],MATCH(OrderLines[[#Headers],[Shift]],Orders[#Headers],0),FALSE),"CHECK")</f>
        <v>Breakfast</v>
      </c>
      <c r="K361" s="11">
        <f>OrderLines[[#This Row],[Qty]] * OrderLines[[#This Row],[UnitPrice]] * (1-OrderLines[[#This Row],[DiscountPct]])</f>
        <v>52.504400000000004</v>
      </c>
      <c r="L361">
        <f>OrderLines[[#This Row],[Qty]]*OrderLines[[#This Row],[UnitCost]]</f>
        <v>29.14</v>
      </c>
    </row>
    <row r="362" spans="1:12" x14ac:dyDescent="0.25">
      <c r="A362" t="s">
        <v>182</v>
      </c>
      <c r="B362" t="s">
        <v>414</v>
      </c>
      <c r="C362">
        <v>2</v>
      </c>
      <c r="D362" s="9">
        <f>IFERROR(VLOOKUP($B362,Menu[],MATCH(D$1,Menu[#Headers],0),FALSE),"CHECK")</f>
        <v>116.8</v>
      </c>
      <c r="E362" s="9">
        <f>IFERROR(VLOOKUP($B362,Menu[],MATCH(E$1,Menu[#Headers],0),FALSE),"CHECK")</f>
        <v>48.97</v>
      </c>
      <c r="F362" t="str">
        <f>IFERROR(VLOOKUP($B362,Menu[],MATCH(F$1,Menu[#Headers],0),FALSE),"CHECK")</f>
        <v>Dessert</v>
      </c>
      <c r="G362" s="7">
        <f>IFERROR(INT(VLOOKUP($A362,Orders[],MATCH("OrderDateTime",Orders[#Headers],0),FALSE)),"CHECK")</f>
        <v>45897</v>
      </c>
      <c r="H362" s="7" t="str">
        <f>IFERROR(VLOOKUP($A362,Orders[],MATCH(H$1,Orders[#Headers],0),FALSE),"CHECK")</f>
        <v>Head Office Café</v>
      </c>
      <c r="I362">
        <f>IFERROR(VLOOKUP(OrderLines[[#This Row],[OrderID]],Orders[],MATCH(OrderLines[[#Headers],[DiscountPct]],Orders[#Headers],0),FALSE),"CHECK")</f>
        <v>0.08</v>
      </c>
      <c r="J362" t="str">
        <f>IFERROR(VLOOKUP(OrderLines[[#This Row],[OrderID]],Orders[],MATCH(OrderLines[[#Headers],[Shift]],Orders[#Headers],0),FALSE),"CHECK")</f>
        <v>Breakfast</v>
      </c>
      <c r="K362" s="11">
        <f>OrderLines[[#This Row],[Qty]] * OrderLines[[#This Row],[UnitPrice]] * (1-OrderLines[[#This Row],[DiscountPct]])</f>
        <v>214.91200000000001</v>
      </c>
      <c r="L362">
        <f>OrderLines[[#This Row],[Qty]]*OrderLines[[#This Row],[UnitCost]]</f>
        <v>97.94</v>
      </c>
    </row>
    <row r="363" spans="1:12" x14ac:dyDescent="0.25">
      <c r="A363" t="s">
        <v>183</v>
      </c>
      <c r="B363" t="s">
        <v>415</v>
      </c>
      <c r="C363">
        <v>3</v>
      </c>
      <c r="D363" s="9">
        <f>IFERROR(VLOOKUP($B363,Menu[],MATCH(D$1,Menu[#Headers],0),FALSE),"CHECK")</f>
        <v>256.91000000000003</v>
      </c>
      <c r="E363" s="9">
        <f>IFERROR(VLOOKUP($B363,Menu[],MATCH(E$1,Menu[#Headers],0),FALSE),"CHECK")</f>
        <v>121.24</v>
      </c>
      <c r="F363" t="str">
        <f>IFERROR(VLOOKUP($B363,Menu[],MATCH(F$1,Menu[#Headers],0),FALSE),"CHECK")</f>
        <v>Hot Meal</v>
      </c>
      <c r="G363" s="7">
        <f>IFERROR(INT(VLOOKUP($A363,Orders[],MATCH("OrderDateTime",Orders[#Headers],0),FALSE)),"CHECK")</f>
        <v>45851</v>
      </c>
      <c r="H363" s="7" t="str">
        <f>IFERROR(VLOOKUP($A363,Orders[],MATCH(H$1,Orders[#Headers],0),FALSE),"CHECK")</f>
        <v>Plant 2 Canteen</v>
      </c>
      <c r="I363">
        <f>IFERROR(VLOOKUP(OrderLines[[#This Row],[OrderID]],Orders[],MATCH(OrderLines[[#Headers],[DiscountPct]],Orders[#Headers],0),FALSE),"CHECK")</f>
        <v>0.06</v>
      </c>
      <c r="J363" t="str">
        <f>IFERROR(VLOOKUP(OrderLines[[#This Row],[OrderID]],Orders[],MATCH(OrderLines[[#Headers],[Shift]],Orders[#Headers],0),FALSE),"CHECK")</f>
        <v>Breakfast</v>
      </c>
      <c r="K363" s="11">
        <f>OrderLines[[#This Row],[Qty]] * OrderLines[[#This Row],[UnitPrice]] * (1-OrderLines[[#This Row],[DiscountPct]])</f>
        <v>724.48619999999994</v>
      </c>
      <c r="L363">
        <f>OrderLines[[#This Row],[Qty]]*OrderLines[[#This Row],[UnitCost]]</f>
        <v>363.71999999999997</v>
      </c>
    </row>
    <row r="364" spans="1:12" x14ac:dyDescent="0.25">
      <c r="A364" t="s">
        <v>183</v>
      </c>
      <c r="B364" t="s">
        <v>411</v>
      </c>
      <c r="C364">
        <v>2</v>
      </c>
      <c r="D364" s="9">
        <f>IFERROR(VLOOKUP($B364,Menu[],MATCH(D$1,Menu[#Headers],0),FALSE),"CHECK")</f>
        <v>22.2</v>
      </c>
      <c r="E364" s="9">
        <f>IFERROR(VLOOKUP($B364,Menu[],MATCH(E$1,Menu[#Headers],0),FALSE),"CHECK")</f>
        <v>9.3800000000000008</v>
      </c>
      <c r="F364" t="str">
        <f>IFERROR(VLOOKUP($B364,Menu[],MATCH(F$1,Menu[#Headers],0),FALSE),"CHECK")</f>
        <v>Beverage</v>
      </c>
      <c r="G364" s="7">
        <f>IFERROR(INT(VLOOKUP($A364,Orders[],MATCH("OrderDateTime",Orders[#Headers],0),FALSE)),"CHECK")</f>
        <v>45851</v>
      </c>
      <c r="H364" s="7" t="str">
        <f>IFERROR(VLOOKUP($A364,Orders[],MATCH(H$1,Orders[#Headers],0),FALSE),"CHECK")</f>
        <v>Plant 2 Canteen</v>
      </c>
      <c r="I364">
        <f>IFERROR(VLOOKUP(OrderLines[[#This Row],[OrderID]],Orders[],MATCH(OrderLines[[#Headers],[DiscountPct]],Orders[#Headers],0),FALSE),"CHECK")</f>
        <v>0.06</v>
      </c>
      <c r="J364" t="str">
        <f>IFERROR(VLOOKUP(OrderLines[[#This Row],[OrderID]],Orders[],MATCH(OrderLines[[#Headers],[Shift]],Orders[#Headers],0),FALSE),"CHECK")</f>
        <v>Breakfast</v>
      </c>
      <c r="K364" s="11">
        <f>OrderLines[[#This Row],[Qty]] * OrderLines[[#This Row],[UnitPrice]] * (1-OrderLines[[#This Row],[DiscountPct]])</f>
        <v>41.735999999999997</v>
      </c>
      <c r="L364">
        <f>OrderLines[[#This Row],[Qty]]*OrderLines[[#This Row],[UnitCost]]</f>
        <v>18.760000000000002</v>
      </c>
    </row>
    <row r="365" spans="1:12" x14ac:dyDescent="0.25">
      <c r="A365" t="s">
        <v>183</v>
      </c>
      <c r="B365" t="s">
        <v>414</v>
      </c>
      <c r="C365">
        <v>1</v>
      </c>
      <c r="D365" s="9">
        <f>IFERROR(VLOOKUP($B365,Menu[],MATCH(D$1,Menu[#Headers],0),FALSE),"CHECK")</f>
        <v>116.8</v>
      </c>
      <c r="E365" s="9">
        <f>IFERROR(VLOOKUP($B365,Menu[],MATCH(E$1,Menu[#Headers],0),FALSE),"CHECK")</f>
        <v>48.97</v>
      </c>
      <c r="F365" t="str">
        <f>IFERROR(VLOOKUP($B365,Menu[],MATCH(F$1,Menu[#Headers],0),FALSE),"CHECK")</f>
        <v>Dessert</v>
      </c>
      <c r="G365" s="7">
        <f>IFERROR(INT(VLOOKUP($A365,Orders[],MATCH("OrderDateTime",Orders[#Headers],0),FALSE)),"CHECK")</f>
        <v>45851</v>
      </c>
      <c r="H365" s="7" t="str">
        <f>IFERROR(VLOOKUP($A365,Orders[],MATCH(H$1,Orders[#Headers],0),FALSE),"CHECK")</f>
        <v>Plant 2 Canteen</v>
      </c>
      <c r="I365">
        <f>IFERROR(VLOOKUP(OrderLines[[#This Row],[OrderID]],Orders[],MATCH(OrderLines[[#Headers],[DiscountPct]],Orders[#Headers],0),FALSE),"CHECK")</f>
        <v>0.06</v>
      </c>
      <c r="J365" t="str">
        <f>IFERROR(VLOOKUP(OrderLines[[#This Row],[OrderID]],Orders[],MATCH(OrderLines[[#Headers],[Shift]],Orders[#Headers],0),FALSE),"CHECK")</f>
        <v>Breakfast</v>
      </c>
      <c r="K365" s="11">
        <f>OrderLines[[#This Row],[Qty]] * OrderLines[[#This Row],[UnitPrice]] * (1-OrderLines[[#This Row],[DiscountPct]])</f>
        <v>109.79199999999999</v>
      </c>
      <c r="L365">
        <f>OrderLines[[#This Row],[Qty]]*OrderLines[[#This Row],[UnitCost]]</f>
        <v>48.97</v>
      </c>
    </row>
    <row r="366" spans="1:12" x14ac:dyDescent="0.25">
      <c r="A366" t="s">
        <v>183</v>
      </c>
      <c r="B366" t="s">
        <v>407</v>
      </c>
      <c r="C366">
        <v>3</v>
      </c>
      <c r="D366" s="9">
        <f>IFERROR(VLOOKUP($B366,Menu[],MATCH(D$1,Menu[#Headers],0),FALSE),"CHECK")</f>
        <v>246.09</v>
      </c>
      <c r="E366" s="9">
        <f>IFERROR(VLOOKUP($B366,Menu[],MATCH(E$1,Menu[#Headers],0),FALSE),"CHECK")</f>
        <v>112.08</v>
      </c>
      <c r="F366" t="str">
        <f>IFERROR(VLOOKUP($B366,Menu[],MATCH(F$1,Menu[#Headers],0),FALSE),"CHECK")</f>
        <v>Hot Meal</v>
      </c>
      <c r="G366" s="7">
        <f>IFERROR(INT(VLOOKUP($A366,Orders[],MATCH("OrderDateTime",Orders[#Headers],0),FALSE)),"CHECK")</f>
        <v>45851</v>
      </c>
      <c r="H366" s="7" t="str">
        <f>IFERROR(VLOOKUP($A366,Orders[],MATCH(H$1,Orders[#Headers],0),FALSE),"CHECK")</f>
        <v>Plant 2 Canteen</v>
      </c>
      <c r="I366">
        <f>IFERROR(VLOOKUP(OrderLines[[#This Row],[OrderID]],Orders[],MATCH(OrderLines[[#Headers],[DiscountPct]],Orders[#Headers],0),FALSE),"CHECK")</f>
        <v>0.06</v>
      </c>
      <c r="J366" t="str">
        <f>IFERROR(VLOOKUP(OrderLines[[#This Row],[OrderID]],Orders[],MATCH(OrderLines[[#Headers],[Shift]],Orders[#Headers],0),FALSE),"CHECK")</f>
        <v>Breakfast</v>
      </c>
      <c r="K366" s="11">
        <f>OrderLines[[#This Row],[Qty]] * OrderLines[[#This Row],[UnitPrice]] * (1-OrderLines[[#This Row],[DiscountPct]])</f>
        <v>693.97379999999998</v>
      </c>
      <c r="L366">
        <f>OrderLines[[#This Row],[Qty]]*OrderLines[[#This Row],[UnitCost]]</f>
        <v>336.24</v>
      </c>
    </row>
    <row r="367" spans="1:12" x14ac:dyDescent="0.25">
      <c r="A367" t="s">
        <v>184</v>
      </c>
      <c r="B367" t="s">
        <v>408</v>
      </c>
      <c r="C367">
        <v>1</v>
      </c>
      <c r="D367" s="9">
        <f>IFERROR(VLOOKUP($B367,Menu[],MATCH(D$1,Menu[#Headers],0),FALSE),"CHECK")</f>
        <v>70.540000000000006</v>
      </c>
      <c r="E367" s="9">
        <f>IFERROR(VLOOKUP($B367,Menu[],MATCH(E$1,Menu[#Headers],0),FALSE),"CHECK")</f>
        <v>35.81</v>
      </c>
      <c r="F367" t="str">
        <f>IFERROR(VLOOKUP($B367,Menu[],MATCH(F$1,Menu[#Headers],0),FALSE),"CHECK")</f>
        <v>Snack</v>
      </c>
      <c r="G367" s="7">
        <f>IFERROR(INT(VLOOKUP($A367,Orders[],MATCH("OrderDateTime",Orders[#Headers],0),FALSE)),"CHECK")</f>
        <v>45865</v>
      </c>
      <c r="H367" s="7" t="str">
        <f>IFERROR(VLOOKUP($A367,Orders[],MATCH(H$1,Orders[#Headers],0),FALSE),"CHECK")</f>
        <v>Head Office Café</v>
      </c>
      <c r="I367">
        <f>IFERROR(VLOOKUP(OrderLines[[#This Row],[OrderID]],Orders[],MATCH(OrderLines[[#Headers],[DiscountPct]],Orders[#Headers],0),FALSE),"CHECK")</f>
        <v>0.03</v>
      </c>
      <c r="J367" t="str">
        <f>IFERROR(VLOOKUP(OrderLines[[#This Row],[OrderID]],Orders[],MATCH(OrderLines[[#Headers],[Shift]],Orders[#Headers],0),FALSE),"CHECK")</f>
        <v>Dinner</v>
      </c>
      <c r="K367" s="11">
        <f>OrderLines[[#This Row],[Qty]] * OrderLines[[#This Row],[UnitPrice]] * (1-OrderLines[[#This Row],[DiscountPct]])</f>
        <v>68.4238</v>
      </c>
      <c r="L367">
        <f>OrderLines[[#This Row],[Qty]]*OrderLines[[#This Row],[UnitCost]]</f>
        <v>35.81</v>
      </c>
    </row>
    <row r="368" spans="1:12" x14ac:dyDescent="0.25">
      <c r="A368" t="s">
        <v>184</v>
      </c>
      <c r="B368" t="s">
        <v>405</v>
      </c>
      <c r="C368">
        <v>1</v>
      </c>
      <c r="D368" s="9">
        <f>IFERROR(VLOOKUP($B368,Menu[],MATCH(D$1,Menu[#Headers],0),FALSE),"CHECK")</f>
        <v>170.83</v>
      </c>
      <c r="E368" s="9">
        <f>IFERROR(VLOOKUP($B368,Menu[],MATCH(E$1,Menu[#Headers],0),FALSE),"CHECK")</f>
        <v>74.069999999999993</v>
      </c>
      <c r="F368" t="str">
        <f>IFERROR(VLOOKUP($B368,Menu[],MATCH(F$1,Menu[#Headers],0),FALSE),"CHECK")</f>
        <v>Hot Meal</v>
      </c>
      <c r="G368" s="7">
        <f>IFERROR(INT(VLOOKUP($A368,Orders[],MATCH("OrderDateTime",Orders[#Headers],0),FALSE)),"CHECK")</f>
        <v>45865</v>
      </c>
      <c r="H368" s="7" t="str">
        <f>IFERROR(VLOOKUP($A368,Orders[],MATCH(H$1,Orders[#Headers],0),FALSE),"CHECK")</f>
        <v>Head Office Café</v>
      </c>
      <c r="I368">
        <f>IFERROR(VLOOKUP(OrderLines[[#This Row],[OrderID]],Orders[],MATCH(OrderLines[[#Headers],[DiscountPct]],Orders[#Headers],0),FALSE),"CHECK")</f>
        <v>0.03</v>
      </c>
      <c r="J368" t="str">
        <f>IFERROR(VLOOKUP(OrderLines[[#This Row],[OrderID]],Orders[],MATCH(OrderLines[[#Headers],[Shift]],Orders[#Headers],0),FALSE),"CHECK")</f>
        <v>Dinner</v>
      </c>
      <c r="K368" s="11">
        <f>OrderLines[[#This Row],[Qty]] * OrderLines[[#This Row],[UnitPrice]] * (1-OrderLines[[#This Row],[DiscountPct]])</f>
        <v>165.70510000000002</v>
      </c>
      <c r="L368">
        <f>OrderLines[[#This Row],[Qty]]*OrderLines[[#This Row],[UnitCost]]</f>
        <v>74.069999999999993</v>
      </c>
    </row>
    <row r="369" spans="1:12" x14ac:dyDescent="0.25">
      <c r="A369" t="s">
        <v>184</v>
      </c>
      <c r="B369" t="s">
        <v>404</v>
      </c>
      <c r="C369">
        <v>3</v>
      </c>
      <c r="D369" s="9">
        <f>IFERROR(VLOOKUP($B369,Menu[],MATCH(D$1,Menu[#Headers],0),FALSE),"CHECK")</f>
        <v>32.979999999999997</v>
      </c>
      <c r="E369" s="9">
        <f>IFERROR(VLOOKUP($B369,Menu[],MATCH(E$1,Menu[#Headers],0),FALSE),"CHECK")</f>
        <v>11.84</v>
      </c>
      <c r="F369" t="str">
        <f>IFERROR(VLOOKUP($B369,Menu[],MATCH(F$1,Menu[#Headers],0),FALSE),"CHECK")</f>
        <v>Beverage</v>
      </c>
      <c r="G369" s="7">
        <f>IFERROR(INT(VLOOKUP($A369,Orders[],MATCH("OrderDateTime",Orders[#Headers],0),FALSE)),"CHECK")</f>
        <v>45865</v>
      </c>
      <c r="H369" s="7" t="str">
        <f>IFERROR(VLOOKUP($A369,Orders[],MATCH(H$1,Orders[#Headers],0),FALSE),"CHECK")</f>
        <v>Head Office Café</v>
      </c>
      <c r="I369">
        <f>IFERROR(VLOOKUP(OrderLines[[#This Row],[OrderID]],Orders[],MATCH(OrderLines[[#Headers],[DiscountPct]],Orders[#Headers],0),FALSE),"CHECK")</f>
        <v>0.03</v>
      </c>
      <c r="J369" t="str">
        <f>IFERROR(VLOOKUP(OrderLines[[#This Row],[OrderID]],Orders[],MATCH(OrderLines[[#Headers],[Shift]],Orders[#Headers],0),FALSE),"CHECK")</f>
        <v>Dinner</v>
      </c>
      <c r="K369" s="11">
        <f>OrderLines[[#This Row],[Qty]] * OrderLines[[#This Row],[UnitPrice]] * (1-OrderLines[[#This Row],[DiscountPct]])</f>
        <v>95.971800000000002</v>
      </c>
      <c r="L369">
        <f>OrderLines[[#This Row],[Qty]]*OrderLines[[#This Row],[UnitCost]]</f>
        <v>35.519999999999996</v>
      </c>
    </row>
    <row r="370" spans="1:12" x14ac:dyDescent="0.25">
      <c r="A370" t="s">
        <v>184</v>
      </c>
      <c r="B370" t="s">
        <v>409</v>
      </c>
      <c r="C370">
        <v>1</v>
      </c>
      <c r="D370" s="9">
        <f>IFERROR(VLOOKUP($B370,Menu[],MATCH(D$1,Menu[#Headers],0),FALSE),"CHECK")</f>
        <v>28.43</v>
      </c>
      <c r="E370" s="9">
        <f>IFERROR(VLOOKUP($B370,Menu[],MATCH(E$1,Menu[#Headers],0),FALSE),"CHECK")</f>
        <v>13.89</v>
      </c>
      <c r="F370" t="str">
        <f>IFERROR(VLOOKUP($B370,Menu[],MATCH(F$1,Menu[#Headers],0),FALSE),"CHECK")</f>
        <v>Beverage</v>
      </c>
      <c r="G370" s="7">
        <f>IFERROR(INT(VLOOKUP($A370,Orders[],MATCH("OrderDateTime",Orders[#Headers],0),FALSE)),"CHECK")</f>
        <v>45865</v>
      </c>
      <c r="H370" s="7" t="str">
        <f>IFERROR(VLOOKUP($A370,Orders[],MATCH(H$1,Orders[#Headers],0),FALSE),"CHECK")</f>
        <v>Head Office Café</v>
      </c>
      <c r="I370">
        <f>IFERROR(VLOOKUP(OrderLines[[#This Row],[OrderID]],Orders[],MATCH(OrderLines[[#Headers],[DiscountPct]],Orders[#Headers],0),FALSE),"CHECK")</f>
        <v>0.03</v>
      </c>
      <c r="J370" t="str">
        <f>IFERROR(VLOOKUP(OrderLines[[#This Row],[OrderID]],Orders[],MATCH(OrderLines[[#Headers],[Shift]],Orders[#Headers],0),FALSE),"CHECK")</f>
        <v>Dinner</v>
      </c>
      <c r="K370" s="11">
        <f>OrderLines[[#This Row],[Qty]] * OrderLines[[#This Row],[UnitPrice]] * (1-OrderLines[[#This Row],[DiscountPct]])</f>
        <v>27.577099999999998</v>
      </c>
      <c r="L370">
        <f>OrderLines[[#This Row],[Qty]]*OrderLines[[#This Row],[UnitCost]]</f>
        <v>13.89</v>
      </c>
    </row>
    <row r="371" spans="1:12" x14ac:dyDescent="0.25">
      <c r="A371" t="s">
        <v>185</v>
      </c>
      <c r="B371" t="s">
        <v>402</v>
      </c>
      <c r="C371">
        <v>1</v>
      </c>
      <c r="D371" s="9">
        <f>IFERROR(VLOOKUP($B371,Menu[],MATCH(D$1,Menu[#Headers],0),FALSE),"CHECK")</f>
        <v>30.34</v>
      </c>
      <c r="E371" s="9">
        <f>IFERROR(VLOOKUP($B371,Menu[],MATCH(E$1,Menu[#Headers],0),FALSE),"CHECK")</f>
        <v>14.18</v>
      </c>
      <c r="F371" t="str">
        <f>IFERROR(VLOOKUP($B371,Menu[],MATCH(F$1,Menu[#Headers],0),FALSE),"CHECK")</f>
        <v>Beverage</v>
      </c>
      <c r="G371" s="7">
        <f>IFERROR(INT(VLOOKUP($A371,Orders[],MATCH("OrderDateTime",Orders[#Headers],0),FALSE)),"CHECK")</f>
        <v>45847</v>
      </c>
      <c r="H371" s="7" t="str">
        <f>IFERROR(VLOOKUP($A371,Orders[],MATCH(H$1,Orders[#Headers],0),FALSE),"CHECK")</f>
        <v>Head Office Café</v>
      </c>
      <c r="I371">
        <f>IFERROR(VLOOKUP(OrderLines[[#This Row],[OrderID]],Orders[],MATCH(OrderLines[[#Headers],[DiscountPct]],Orders[#Headers],0),FALSE),"CHECK")</f>
        <v>0</v>
      </c>
      <c r="J371" t="str">
        <f>IFERROR(VLOOKUP(OrderLines[[#This Row],[OrderID]],Orders[],MATCH(OrderLines[[#Headers],[Shift]],Orders[#Headers],0),FALSE),"CHECK")</f>
        <v>Breakfast</v>
      </c>
      <c r="K371" s="11">
        <f>OrderLines[[#This Row],[Qty]] * OrderLines[[#This Row],[UnitPrice]] * (1-OrderLines[[#This Row],[DiscountPct]])</f>
        <v>30.34</v>
      </c>
      <c r="L371">
        <f>OrderLines[[#This Row],[Qty]]*OrderLines[[#This Row],[UnitCost]]</f>
        <v>14.18</v>
      </c>
    </row>
    <row r="372" spans="1:12" x14ac:dyDescent="0.25">
      <c r="A372" t="s">
        <v>185</v>
      </c>
      <c r="B372" t="s">
        <v>418</v>
      </c>
      <c r="C372">
        <v>1</v>
      </c>
      <c r="D372" s="9">
        <f>IFERROR(VLOOKUP($B372,Menu[],MATCH(D$1,Menu[#Headers],0),FALSE),"CHECK")</f>
        <v>39.950000000000003</v>
      </c>
      <c r="E372" s="9">
        <f>IFERROR(VLOOKUP($B372,Menu[],MATCH(E$1,Menu[#Headers],0),FALSE),"CHECK")</f>
        <v>15.51</v>
      </c>
      <c r="F372" t="str">
        <f>IFERROR(VLOOKUP($B372,Menu[],MATCH(F$1,Menu[#Headers],0),FALSE),"CHECK")</f>
        <v>Snack</v>
      </c>
      <c r="G372" s="7">
        <f>IFERROR(INT(VLOOKUP($A372,Orders[],MATCH("OrderDateTime",Orders[#Headers],0),FALSE)),"CHECK")</f>
        <v>45847</v>
      </c>
      <c r="H372" s="7" t="str">
        <f>IFERROR(VLOOKUP($A372,Orders[],MATCH(H$1,Orders[#Headers],0),FALSE),"CHECK")</f>
        <v>Head Office Café</v>
      </c>
      <c r="I372">
        <f>IFERROR(VLOOKUP(OrderLines[[#This Row],[OrderID]],Orders[],MATCH(OrderLines[[#Headers],[DiscountPct]],Orders[#Headers],0),FALSE),"CHECK")</f>
        <v>0</v>
      </c>
      <c r="J372" t="str">
        <f>IFERROR(VLOOKUP(OrderLines[[#This Row],[OrderID]],Orders[],MATCH(OrderLines[[#Headers],[Shift]],Orders[#Headers],0),FALSE),"CHECK")</f>
        <v>Breakfast</v>
      </c>
      <c r="K372" s="11">
        <f>OrderLines[[#This Row],[Qty]] * OrderLines[[#This Row],[UnitPrice]] * (1-OrderLines[[#This Row],[DiscountPct]])</f>
        <v>39.950000000000003</v>
      </c>
      <c r="L372">
        <f>OrderLines[[#This Row],[Qty]]*OrderLines[[#This Row],[UnitCost]]</f>
        <v>15.51</v>
      </c>
    </row>
    <row r="373" spans="1:12" x14ac:dyDescent="0.25">
      <c r="A373" t="s">
        <v>186</v>
      </c>
      <c r="B373" t="s">
        <v>416</v>
      </c>
      <c r="C373">
        <v>1</v>
      </c>
      <c r="D373" s="9">
        <f>IFERROR(VLOOKUP($B373,Menu[],MATCH(D$1,Menu[#Headers],0),FALSE),"CHECK")</f>
        <v>227.61</v>
      </c>
      <c r="E373" s="9">
        <f>IFERROR(VLOOKUP($B373,Menu[],MATCH(E$1,Menu[#Headers],0),FALSE),"CHECK")</f>
        <v>96.22</v>
      </c>
      <c r="F373" t="str">
        <f>IFERROR(VLOOKUP($B373,Menu[],MATCH(F$1,Menu[#Headers],0),FALSE),"CHECK")</f>
        <v>Hot Meal</v>
      </c>
      <c r="G373" s="7">
        <f>IFERROR(INT(VLOOKUP($A373,Orders[],MATCH("OrderDateTime",Orders[#Headers],0),FALSE)),"CHECK")</f>
        <v>45897</v>
      </c>
      <c r="H373" s="7" t="str">
        <f>IFERROR(VLOOKUP($A373,Orders[],MATCH(H$1,Orders[#Headers],0),FALSE),"CHECK")</f>
        <v>Plant 2 Canteen</v>
      </c>
      <c r="I373">
        <f>IFERROR(VLOOKUP(OrderLines[[#This Row],[OrderID]],Orders[],MATCH(OrderLines[[#Headers],[DiscountPct]],Orders[#Headers],0),FALSE),"CHECK")</f>
        <v>0.04</v>
      </c>
      <c r="J373" t="str">
        <f>IFERROR(VLOOKUP(OrderLines[[#This Row],[OrderID]],Orders[],MATCH(OrderLines[[#Headers],[Shift]],Orders[#Headers],0),FALSE),"CHECK")</f>
        <v>Dinner</v>
      </c>
      <c r="K373" s="11">
        <f>OrderLines[[#This Row],[Qty]] * OrderLines[[#This Row],[UnitPrice]] * (1-OrderLines[[#This Row],[DiscountPct]])</f>
        <v>218.50560000000002</v>
      </c>
      <c r="L373">
        <f>OrderLines[[#This Row],[Qty]]*OrderLines[[#This Row],[UnitCost]]</f>
        <v>96.22</v>
      </c>
    </row>
    <row r="374" spans="1:12" x14ac:dyDescent="0.25">
      <c r="A374" t="s">
        <v>186</v>
      </c>
      <c r="B374" t="s">
        <v>408</v>
      </c>
      <c r="C374">
        <v>1</v>
      </c>
      <c r="D374" s="9">
        <f>IFERROR(VLOOKUP($B374,Menu[],MATCH(D$1,Menu[#Headers],0),FALSE),"CHECK")</f>
        <v>70.540000000000006</v>
      </c>
      <c r="E374" s="9">
        <f>IFERROR(VLOOKUP($B374,Menu[],MATCH(E$1,Menu[#Headers],0),FALSE),"CHECK")</f>
        <v>35.81</v>
      </c>
      <c r="F374" t="str">
        <f>IFERROR(VLOOKUP($B374,Menu[],MATCH(F$1,Menu[#Headers],0),FALSE),"CHECK")</f>
        <v>Snack</v>
      </c>
      <c r="G374" s="7">
        <f>IFERROR(INT(VLOOKUP($A374,Orders[],MATCH("OrderDateTime",Orders[#Headers],0),FALSE)),"CHECK")</f>
        <v>45897</v>
      </c>
      <c r="H374" s="7" t="str">
        <f>IFERROR(VLOOKUP($A374,Orders[],MATCH(H$1,Orders[#Headers],0),FALSE),"CHECK")</f>
        <v>Plant 2 Canteen</v>
      </c>
      <c r="I374">
        <f>IFERROR(VLOOKUP(OrderLines[[#This Row],[OrderID]],Orders[],MATCH(OrderLines[[#Headers],[DiscountPct]],Orders[#Headers],0),FALSE),"CHECK")</f>
        <v>0.04</v>
      </c>
      <c r="J374" t="str">
        <f>IFERROR(VLOOKUP(OrderLines[[#This Row],[OrderID]],Orders[],MATCH(OrderLines[[#Headers],[Shift]],Orders[#Headers],0),FALSE),"CHECK")</f>
        <v>Dinner</v>
      </c>
      <c r="K374" s="11">
        <f>OrderLines[[#This Row],[Qty]] * OrderLines[[#This Row],[UnitPrice]] * (1-OrderLines[[#This Row],[DiscountPct]])</f>
        <v>67.718400000000003</v>
      </c>
      <c r="L374">
        <f>OrderLines[[#This Row],[Qty]]*OrderLines[[#This Row],[UnitCost]]</f>
        <v>35.81</v>
      </c>
    </row>
    <row r="375" spans="1:12" x14ac:dyDescent="0.25">
      <c r="A375" t="s">
        <v>187</v>
      </c>
      <c r="B375" t="s">
        <v>405</v>
      </c>
      <c r="C375">
        <v>2</v>
      </c>
      <c r="D375" s="9">
        <f>IFERROR(VLOOKUP($B375,Menu[],MATCH(D$1,Menu[#Headers],0),FALSE),"CHECK")</f>
        <v>170.83</v>
      </c>
      <c r="E375" s="9">
        <f>IFERROR(VLOOKUP($B375,Menu[],MATCH(E$1,Menu[#Headers],0),FALSE),"CHECK")</f>
        <v>74.069999999999993</v>
      </c>
      <c r="F375" t="str">
        <f>IFERROR(VLOOKUP($B375,Menu[],MATCH(F$1,Menu[#Headers],0),FALSE),"CHECK")</f>
        <v>Hot Meal</v>
      </c>
      <c r="G375" s="7">
        <f>IFERROR(INT(VLOOKUP($A375,Orders[],MATCH("OrderDateTime",Orders[#Headers],0),FALSE)),"CHECK")</f>
        <v>45895</v>
      </c>
      <c r="H375" s="7" t="str">
        <f>IFERROR(VLOOKUP($A375,Orders[],MATCH(H$1,Orders[#Headers],0),FALSE),"CHECK")</f>
        <v>Head Office Café</v>
      </c>
      <c r="I375">
        <f>IFERROR(VLOOKUP(OrderLines[[#This Row],[OrderID]],Orders[],MATCH(OrderLines[[#Headers],[DiscountPct]],Orders[#Headers],0),FALSE),"CHECK")</f>
        <v>0.09</v>
      </c>
      <c r="J375" t="str">
        <f>IFERROR(VLOOKUP(OrderLines[[#This Row],[OrderID]],Orders[],MATCH(OrderLines[[#Headers],[Shift]],Orders[#Headers],0),FALSE),"CHECK")</f>
        <v>Breakfast</v>
      </c>
      <c r="K375" s="11">
        <f>OrderLines[[#This Row],[Qty]] * OrderLines[[#This Row],[UnitPrice]] * (1-OrderLines[[#This Row],[DiscountPct]])</f>
        <v>310.91060000000004</v>
      </c>
      <c r="L375">
        <f>OrderLines[[#This Row],[Qty]]*OrderLines[[#This Row],[UnitCost]]</f>
        <v>148.13999999999999</v>
      </c>
    </row>
    <row r="376" spans="1:12" x14ac:dyDescent="0.25">
      <c r="A376" t="s">
        <v>187</v>
      </c>
      <c r="B376" t="s">
        <v>407</v>
      </c>
      <c r="C376">
        <v>1</v>
      </c>
      <c r="D376" s="9">
        <f>IFERROR(VLOOKUP($B376,Menu[],MATCH(D$1,Menu[#Headers],0),FALSE),"CHECK")</f>
        <v>246.09</v>
      </c>
      <c r="E376" s="9">
        <f>IFERROR(VLOOKUP($B376,Menu[],MATCH(E$1,Menu[#Headers],0),FALSE),"CHECK")</f>
        <v>112.08</v>
      </c>
      <c r="F376" t="str">
        <f>IFERROR(VLOOKUP($B376,Menu[],MATCH(F$1,Menu[#Headers],0),FALSE),"CHECK")</f>
        <v>Hot Meal</v>
      </c>
      <c r="G376" s="7">
        <f>IFERROR(INT(VLOOKUP($A376,Orders[],MATCH("OrderDateTime",Orders[#Headers],0),FALSE)),"CHECK")</f>
        <v>45895</v>
      </c>
      <c r="H376" s="7" t="str">
        <f>IFERROR(VLOOKUP($A376,Orders[],MATCH(H$1,Orders[#Headers],0),FALSE),"CHECK")</f>
        <v>Head Office Café</v>
      </c>
      <c r="I376">
        <f>IFERROR(VLOOKUP(OrderLines[[#This Row],[OrderID]],Orders[],MATCH(OrderLines[[#Headers],[DiscountPct]],Orders[#Headers],0),FALSE),"CHECK")</f>
        <v>0.09</v>
      </c>
      <c r="J376" t="str">
        <f>IFERROR(VLOOKUP(OrderLines[[#This Row],[OrderID]],Orders[],MATCH(OrderLines[[#Headers],[Shift]],Orders[#Headers],0),FALSE),"CHECK")</f>
        <v>Breakfast</v>
      </c>
      <c r="K376" s="11">
        <f>OrderLines[[#This Row],[Qty]] * OrderLines[[#This Row],[UnitPrice]] * (1-OrderLines[[#This Row],[DiscountPct]])</f>
        <v>223.9419</v>
      </c>
      <c r="L376">
        <f>OrderLines[[#This Row],[Qty]]*OrderLines[[#This Row],[UnitCost]]</f>
        <v>112.08</v>
      </c>
    </row>
    <row r="377" spans="1:12" x14ac:dyDescent="0.25">
      <c r="A377" t="s">
        <v>187</v>
      </c>
      <c r="B377" t="s">
        <v>416</v>
      </c>
      <c r="C377">
        <v>1</v>
      </c>
      <c r="D377" s="9">
        <f>IFERROR(VLOOKUP($B377,Menu[],MATCH(D$1,Menu[#Headers],0),FALSE),"CHECK")</f>
        <v>227.61</v>
      </c>
      <c r="E377" s="9">
        <f>IFERROR(VLOOKUP($B377,Menu[],MATCH(E$1,Menu[#Headers],0),FALSE),"CHECK")</f>
        <v>96.22</v>
      </c>
      <c r="F377" t="str">
        <f>IFERROR(VLOOKUP($B377,Menu[],MATCH(F$1,Menu[#Headers],0),FALSE),"CHECK")</f>
        <v>Hot Meal</v>
      </c>
      <c r="G377" s="7">
        <f>IFERROR(INT(VLOOKUP($A377,Orders[],MATCH("OrderDateTime",Orders[#Headers],0),FALSE)),"CHECK")</f>
        <v>45895</v>
      </c>
      <c r="H377" s="7" t="str">
        <f>IFERROR(VLOOKUP($A377,Orders[],MATCH(H$1,Orders[#Headers],0),FALSE),"CHECK")</f>
        <v>Head Office Café</v>
      </c>
      <c r="I377">
        <f>IFERROR(VLOOKUP(OrderLines[[#This Row],[OrderID]],Orders[],MATCH(OrderLines[[#Headers],[DiscountPct]],Orders[#Headers],0),FALSE),"CHECK")</f>
        <v>0.09</v>
      </c>
      <c r="J377" t="str">
        <f>IFERROR(VLOOKUP(OrderLines[[#This Row],[OrderID]],Orders[],MATCH(OrderLines[[#Headers],[Shift]],Orders[#Headers],0),FALSE),"CHECK")</f>
        <v>Breakfast</v>
      </c>
      <c r="K377" s="11">
        <f>OrderLines[[#This Row],[Qty]] * OrderLines[[#This Row],[UnitPrice]] * (1-OrderLines[[#This Row],[DiscountPct]])</f>
        <v>207.12510000000003</v>
      </c>
      <c r="L377">
        <f>OrderLines[[#This Row],[Qty]]*OrderLines[[#This Row],[UnitCost]]</f>
        <v>96.22</v>
      </c>
    </row>
    <row r="378" spans="1:12" x14ac:dyDescent="0.25">
      <c r="A378" t="s">
        <v>188</v>
      </c>
      <c r="B378" t="s">
        <v>416</v>
      </c>
      <c r="C378">
        <v>2</v>
      </c>
      <c r="D378" s="9">
        <f>IFERROR(VLOOKUP($B378,Menu[],MATCH(D$1,Menu[#Headers],0),FALSE),"CHECK")</f>
        <v>227.61</v>
      </c>
      <c r="E378" s="9">
        <f>IFERROR(VLOOKUP($B378,Menu[],MATCH(E$1,Menu[#Headers],0),FALSE),"CHECK")</f>
        <v>96.22</v>
      </c>
      <c r="F378" t="str">
        <f>IFERROR(VLOOKUP($B378,Menu[],MATCH(F$1,Menu[#Headers],0),FALSE),"CHECK")</f>
        <v>Hot Meal</v>
      </c>
      <c r="G378" s="7">
        <f>IFERROR(INT(VLOOKUP($A378,Orders[],MATCH("OrderDateTime",Orders[#Headers],0),FALSE)),"CHECK")</f>
        <v>45895</v>
      </c>
      <c r="H378" s="7" t="str">
        <f>IFERROR(VLOOKUP($A378,Orders[],MATCH(H$1,Orders[#Headers],0),FALSE),"CHECK")</f>
        <v>Plant 1 Canteen</v>
      </c>
      <c r="I378">
        <f>IFERROR(VLOOKUP(OrderLines[[#This Row],[OrderID]],Orders[],MATCH(OrderLines[[#Headers],[DiscountPct]],Orders[#Headers],0),FALSE),"CHECK")</f>
        <v>7.0000000000000007E-2</v>
      </c>
      <c r="J378" t="str">
        <f>IFERROR(VLOOKUP(OrderLines[[#This Row],[OrderID]],Orders[],MATCH(OrderLines[[#Headers],[Shift]],Orders[#Headers],0),FALSE),"CHECK")</f>
        <v>Breakfast</v>
      </c>
      <c r="K378" s="11">
        <f>OrderLines[[#This Row],[Qty]] * OrderLines[[#This Row],[UnitPrice]] * (1-OrderLines[[#This Row],[DiscountPct]])</f>
        <v>423.3546</v>
      </c>
      <c r="L378">
        <f>OrderLines[[#This Row],[Qty]]*OrderLines[[#This Row],[UnitCost]]</f>
        <v>192.44</v>
      </c>
    </row>
    <row r="379" spans="1:12" x14ac:dyDescent="0.25">
      <c r="A379" t="s">
        <v>188</v>
      </c>
      <c r="B379" t="s">
        <v>417</v>
      </c>
      <c r="C379">
        <v>3</v>
      </c>
      <c r="D379" s="9">
        <f>IFERROR(VLOOKUP($B379,Menu[],MATCH(D$1,Menu[#Headers],0),FALSE),"CHECK")</f>
        <v>146.4</v>
      </c>
      <c r="E379" s="9">
        <f>IFERROR(VLOOKUP($B379,Menu[],MATCH(E$1,Menu[#Headers],0),FALSE),"CHECK")</f>
        <v>80.92</v>
      </c>
      <c r="F379" t="str">
        <f>IFERROR(VLOOKUP($B379,Menu[],MATCH(F$1,Menu[#Headers],0),FALSE),"CHECK")</f>
        <v>Hot Meal</v>
      </c>
      <c r="G379" s="7">
        <f>IFERROR(INT(VLOOKUP($A379,Orders[],MATCH("OrderDateTime",Orders[#Headers],0),FALSE)),"CHECK")</f>
        <v>45895</v>
      </c>
      <c r="H379" s="7" t="str">
        <f>IFERROR(VLOOKUP($A379,Orders[],MATCH(H$1,Orders[#Headers],0),FALSE),"CHECK")</f>
        <v>Plant 1 Canteen</v>
      </c>
      <c r="I379">
        <f>IFERROR(VLOOKUP(OrderLines[[#This Row],[OrderID]],Orders[],MATCH(OrderLines[[#Headers],[DiscountPct]],Orders[#Headers],0),FALSE),"CHECK")</f>
        <v>7.0000000000000007E-2</v>
      </c>
      <c r="J379" t="str">
        <f>IFERROR(VLOOKUP(OrderLines[[#This Row],[OrderID]],Orders[],MATCH(OrderLines[[#Headers],[Shift]],Orders[#Headers],0),FALSE),"CHECK")</f>
        <v>Breakfast</v>
      </c>
      <c r="K379" s="11">
        <f>OrderLines[[#This Row],[Qty]] * OrderLines[[#This Row],[UnitPrice]] * (1-OrderLines[[#This Row],[DiscountPct]])</f>
        <v>408.45600000000002</v>
      </c>
      <c r="L379">
        <f>OrderLines[[#This Row],[Qty]]*OrderLines[[#This Row],[UnitCost]]</f>
        <v>242.76</v>
      </c>
    </row>
    <row r="380" spans="1:12" x14ac:dyDescent="0.25">
      <c r="A380" t="s">
        <v>188</v>
      </c>
      <c r="B380" t="s">
        <v>407</v>
      </c>
      <c r="C380">
        <v>3</v>
      </c>
      <c r="D380" s="9">
        <f>IFERROR(VLOOKUP($B380,Menu[],MATCH(D$1,Menu[#Headers],0),FALSE),"CHECK")</f>
        <v>246.09</v>
      </c>
      <c r="E380" s="9">
        <f>IFERROR(VLOOKUP($B380,Menu[],MATCH(E$1,Menu[#Headers],0),FALSE),"CHECK")</f>
        <v>112.08</v>
      </c>
      <c r="F380" t="str">
        <f>IFERROR(VLOOKUP($B380,Menu[],MATCH(F$1,Menu[#Headers],0),FALSE),"CHECK")</f>
        <v>Hot Meal</v>
      </c>
      <c r="G380" s="7">
        <f>IFERROR(INT(VLOOKUP($A380,Orders[],MATCH("OrderDateTime",Orders[#Headers],0),FALSE)),"CHECK")</f>
        <v>45895</v>
      </c>
      <c r="H380" s="7" t="str">
        <f>IFERROR(VLOOKUP($A380,Orders[],MATCH(H$1,Orders[#Headers],0),FALSE),"CHECK")</f>
        <v>Plant 1 Canteen</v>
      </c>
      <c r="I380">
        <f>IFERROR(VLOOKUP(OrderLines[[#This Row],[OrderID]],Orders[],MATCH(OrderLines[[#Headers],[DiscountPct]],Orders[#Headers],0),FALSE),"CHECK")</f>
        <v>7.0000000000000007E-2</v>
      </c>
      <c r="J380" t="str">
        <f>IFERROR(VLOOKUP(OrderLines[[#This Row],[OrderID]],Orders[],MATCH(OrderLines[[#Headers],[Shift]],Orders[#Headers],0),FALSE),"CHECK")</f>
        <v>Breakfast</v>
      </c>
      <c r="K380" s="11">
        <f>OrderLines[[#This Row],[Qty]] * OrderLines[[#This Row],[UnitPrice]] * (1-OrderLines[[#This Row],[DiscountPct]])</f>
        <v>686.59109999999998</v>
      </c>
      <c r="L380">
        <f>OrderLines[[#This Row],[Qty]]*OrderLines[[#This Row],[UnitCost]]</f>
        <v>336.24</v>
      </c>
    </row>
    <row r="381" spans="1:12" x14ac:dyDescent="0.25">
      <c r="A381" t="s">
        <v>189</v>
      </c>
      <c r="B381" t="s">
        <v>417</v>
      </c>
      <c r="C381">
        <v>1</v>
      </c>
      <c r="D381" s="9">
        <f>IFERROR(VLOOKUP($B381,Menu[],MATCH(D$1,Menu[#Headers],0),FALSE),"CHECK")</f>
        <v>146.4</v>
      </c>
      <c r="E381" s="9">
        <f>IFERROR(VLOOKUP($B381,Menu[],MATCH(E$1,Menu[#Headers],0),FALSE),"CHECK")</f>
        <v>80.92</v>
      </c>
      <c r="F381" t="str">
        <f>IFERROR(VLOOKUP($B381,Menu[],MATCH(F$1,Menu[#Headers],0),FALSE),"CHECK")</f>
        <v>Hot Meal</v>
      </c>
      <c r="G381" s="7">
        <f>IFERROR(INT(VLOOKUP($A381,Orders[],MATCH("OrderDateTime",Orders[#Headers],0),FALSE)),"CHECK")</f>
        <v>45882</v>
      </c>
      <c r="H381" s="7" t="str">
        <f>IFERROR(VLOOKUP($A381,Orders[],MATCH(H$1,Orders[#Headers],0),FALSE),"CHECK")</f>
        <v>Plant 2 Canteen</v>
      </c>
      <c r="I381">
        <f>IFERROR(VLOOKUP(OrderLines[[#This Row],[OrderID]],Orders[],MATCH(OrderLines[[#Headers],[DiscountPct]],Orders[#Headers],0),FALSE),"CHECK")</f>
        <v>0.01</v>
      </c>
      <c r="J381" t="str">
        <f>IFERROR(VLOOKUP(OrderLines[[#This Row],[OrderID]],Orders[],MATCH(OrderLines[[#Headers],[Shift]],Orders[#Headers],0),FALSE),"CHECK")</f>
        <v>Breakfast</v>
      </c>
      <c r="K381" s="11">
        <f>OrderLines[[#This Row],[Qty]] * OrderLines[[#This Row],[UnitPrice]] * (1-OrderLines[[#This Row],[DiscountPct]])</f>
        <v>144.93600000000001</v>
      </c>
      <c r="L381">
        <f>OrderLines[[#This Row],[Qty]]*OrderLines[[#This Row],[UnitCost]]</f>
        <v>80.92</v>
      </c>
    </row>
    <row r="382" spans="1:12" x14ac:dyDescent="0.25">
      <c r="A382" t="s">
        <v>189</v>
      </c>
      <c r="B382" t="s">
        <v>402</v>
      </c>
      <c r="C382">
        <v>3</v>
      </c>
      <c r="D382" s="9">
        <f>IFERROR(VLOOKUP($B382,Menu[],MATCH(D$1,Menu[#Headers],0),FALSE),"CHECK")</f>
        <v>30.34</v>
      </c>
      <c r="E382" s="9">
        <f>IFERROR(VLOOKUP($B382,Menu[],MATCH(E$1,Menu[#Headers],0),FALSE),"CHECK")</f>
        <v>14.18</v>
      </c>
      <c r="F382" t="str">
        <f>IFERROR(VLOOKUP($B382,Menu[],MATCH(F$1,Menu[#Headers],0),FALSE),"CHECK")</f>
        <v>Beverage</v>
      </c>
      <c r="G382" s="7">
        <f>IFERROR(INT(VLOOKUP($A382,Orders[],MATCH("OrderDateTime",Orders[#Headers],0),FALSE)),"CHECK")</f>
        <v>45882</v>
      </c>
      <c r="H382" s="7" t="str">
        <f>IFERROR(VLOOKUP($A382,Orders[],MATCH(H$1,Orders[#Headers],0),FALSE),"CHECK")</f>
        <v>Plant 2 Canteen</v>
      </c>
      <c r="I382">
        <f>IFERROR(VLOOKUP(OrderLines[[#This Row],[OrderID]],Orders[],MATCH(OrderLines[[#Headers],[DiscountPct]],Orders[#Headers],0),FALSE),"CHECK")</f>
        <v>0.01</v>
      </c>
      <c r="J382" t="str">
        <f>IFERROR(VLOOKUP(OrderLines[[#This Row],[OrderID]],Orders[],MATCH(OrderLines[[#Headers],[Shift]],Orders[#Headers],0),FALSE),"CHECK")</f>
        <v>Breakfast</v>
      </c>
      <c r="K382" s="11">
        <f>OrderLines[[#This Row],[Qty]] * OrderLines[[#This Row],[UnitPrice]] * (1-OrderLines[[#This Row],[DiscountPct]])</f>
        <v>90.109799999999993</v>
      </c>
      <c r="L382">
        <f>OrderLines[[#This Row],[Qty]]*OrderLines[[#This Row],[UnitCost]]</f>
        <v>42.54</v>
      </c>
    </row>
    <row r="383" spans="1:12" x14ac:dyDescent="0.25">
      <c r="A383" t="s">
        <v>190</v>
      </c>
      <c r="B383" t="s">
        <v>410</v>
      </c>
      <c r="C383">
        <v>1</v>
      </c>
      <c r="D383" s="9">
        <f>IFERROR(VLOOKUP($B383,Menu[],MATCH(D$1,Menu[#Headers],0),FALSE),"CHECK")</f>
        <v>20.11</v>
      </c>
      <c r="E383" s="9">
        <f>IFERROR(VLOOKUP($B383,Menu[],MATCH(E$1,Menu[#Headers],0),FALSE),"CHECK")</f>
        <v>8</v>
      </c>
      <c r="F383" t="str">
        <f>IFERROR(VLOOKUP($B383,Menu[],MATCH(F$1,Menu[#Headers],0),FALSE),"CHECK")</f>
        <v>Beverage</v>
      </c>
      <c r="G383" s="7">
        <f>IFERROR(INT(VLOOKUP($A383,Orders[],MATCH("OrderDateTime",Orders[#Headers],0),FALSE)),"CHECK")</f>
        <v>45886</v>
      </c>
      <c r="H383" s="7" t="str">
        <f>IFERROR(VLOOKUP($A383,Orders[],MATCH(H$1,Orders[#Headers],0),FALSE),"CHECK")</f>
        <v>Plant 1 Canteen</v>
      </c>
      <c r="I383">
        <f>IFERROR(VLOOKUP(OrderLines[[#This Row],[OrderID]],Orders[],MATCH(OrderLines[[#Headers],[DiscountPct]],Orders[#Headers],0),FALSE),"CHECK")</f>
        <v>7.0000000000000007E-2</v>
      </c>
      <c r="J383" t="str">
        <f>IFERROR(VLOOKUP(OrderLines[[#This Row],[OrderID]],Orders[],MATCH(OrderLines[[#Headers],[Shift]],Orders[#Headers],0),FALSE),"CHECK")</f>
        <v>Dinner</v>
      </c>
      <c r="K383" s="11">
        <f>OrderLines[[#This Row],[Qty]] * OrderLines[[#This Row],[UnitPrice]] * (1-OrderLines[[#This Row],[DiscountPct]])</f>
        <v>18.702299999999997</v>
      </c>
      <c r="L383">
        <f>OrderLines[[#This Row],[Qty]]*OrderLines[[#This Row],[UnitCost]]</f>
        <v>8</v>
      </c>
    </row>
    <row r="384" spans="1:12" x14ac:dyDescent="0.25">
      <c r="A384" t="s">
        <v>190</v>
      </c>
      <c r="B384" t="s">
        <v>409</v>
      </c>
      <c r="C384">
        <v>2</v>
      </c>
      <c r="D384" s="9">
        <f>IFERROR(VLOOKUP($B384,Menu[],MATCH(D$1,Menu[#Headers],0),FALSE),"CHECK")</f>
        <v>28.43</v>
      </c>
      <c r="E384" s="9">
        <f>IFERROR(VLOOKUP($B384,Menu[],MATCH(E$1,Menu[#Headers],0),FALSE),"CHECK")</f>
        <v>13.89</v>
      </c>
      <c r="F384" t="str">
        <f>IFERROR(VLOOKUP($B384,Menu[],MATCH(F$1,Menu[#Headers],0),FALSE),"CHECK")</f>
        <v>Beverage</v>
      </c>
      <c r="G384" s="7">
        <f>IFERROR(INT(VLOOKUP($A384,Orders[],MATCH("OrderDateTime",Orders[#Headers],0),FALSE)),"CHECK")</f>
        <v>45886</v>
      </c>
      <c r="H384" s="7" t="str">
        <f>IFERROR(VLOOKUP($A384,Orders[],MATCH(H$1,Orders[#Headers],0),FALSE),"CHECK")</f>
        <v>Plant 1 Canteen</v>
      </c>
      <c r="I384">
        <f>IFERROR(VLOOKUP(OrderLines[[#This Row],[OrderID]],Orders[],MATCH(OrderLines[[#Headers],[DiscountPct]],Orders[#Headers],0),FALSE),"CHECK")</f>
        <v>7.0000000000000007E-2</v>
      </c>
      <c r="J384" t="str">
        <f>IFERROR(VLOOKUP(OrderLines[[#This Row],[OrderID]],Orders[],MATCH(OrderLines[[#Headers],[Shift]],Orders[#Headers],0),FALSE),"CHECK")</f>
        <v>Dinner</v>
      </c>
      <c r="K384" s="11">
        <f>OrderLines[[#This Row],[Qty]] * OrderLines[[#This Row],[UnitPrice]] * (1-OrderLines[[#This Row],[DiscountPct]])</f>
        <v>52.879799999999996</v>
      </c>
      <c r="L384">
        <f>OrderLines[[#This Row],[Qty]]*OrderLines[[#This Row],[UnitCost]]</f>
        <v>27.78</v>
      </c>
    </row>
    <row r="385" spans="1:12" x14ac:dyDescent="0.25">
      <c r="A385" t="s">
        <v>191</v>
      </c>
      <c r="B385" t="s">
        <v>419</v>
      </c>
      <c r="C385">
        <v>1</v>
      </c>
      <c r="D385" s="9">
        <f>IFERROR(VLOOKUP($B385,Menu[],MATCH(D$1,Menu[#Headers],0),FALSE),"CHECK")</f>
        <v>50.19</v>
      </c>
      <c r="E385" s="9">
        <f>IFERROR(VLOOKUP($B385,Menu[],MATCH(E$1,Menu[#Headers],0),FALSE),"CHECK")</f>
        <v>22.61</v>
      </c>
      <c r="F385" t="str">
        <f>IFERROR(VLOOKUP($B385,Menu[],MATCH(F$1,Menu[#Headers],0),FALSE),"CHECK")</f>
        <v>Snack</v>
      </c>
      <c r="G385" s="7">
        <f>IFERROR(INT(VLOOKUP($A385,Orders[],MATCH("OrderDateTime",Orders[#Headers],0),FALSE)),"CHECK")</f>
        <v>45871</v>
      </c>
      <c r="H385" s="7" t="str">
        <f>IFERROR(VLOOKUP($A385,Orders[],MATCH(H$1,Orders[#Headers],0),FALSE),"CHECK")</f>
        <v>Plant 2 Canteen</v>
      </c>
      <c r="I385">
        <f>IFERROR(VLOOKUP(OrderLines[[#This Row],[OrderID]],Orders[],MATCH(OrderLines[[#Headers],[DiscountPct]],Orders[#Headers],0),FALSE),"CHECK")</f>
        <v>0.08</v>
      </c>
      <c r="J385" t="str">
        <f>IFERROR(VLOOKUP(OrderLines[[#This Row],[OrderID]],Orders[],MATCH(OrderLines[[#Headers],[Shift]],Orders[#Headers],0),FALSE),"CHECK")</f>
        <v>Lunch</v>
      </c>
      <c r="K385" s="11">
        <f>OrderLines[[#This Row],[Qty]] * OrderLines[[#This Row],[UnitPrice]] * (1-OrderLines[[#This Row],[DiscountPct]])</f>
        <v>46.174799999999998</v>
      </c>
      <c r="L385">
        <f>OrderLines[[#This Row],[Qty]]*OrderLines[[#This Row],[UnitCost]]</f>
        <v>22.61</v>
      </c>
    </row>
    <row r="386" spans="1:12" x14ac:dyDescent="0.25">
      <c r="A386" t="s">
        <v>191</v>
      </c>
      <c r="B386" t="s">
        <v>409</v>
      </c>
      <c r="C386">
        <v>2</v>
      </c>
      <c r="D386" s="9">
        <f>IFERROR(VLOOKUP($B386,Menu[],MATCH(D$1,Menu[#Headers],0),FALSE),"CHECK")</f>
        <v>28.43</v>
      </c>
      <c r="E386" s="9">
        <f>IFERROR(VLOOKUP($B386,Menu[],MATCH(E$1,Menu[#Headers],0),FALSE),"CHECK")</f>
        <v>13.89</v>
      </c>
      <c r="F386" t="str">
        <f>IFERROR(VLOOKUP($B386,Menu[],MATCH(F$1,Menu[#Headers],0),FALSE),"CHECK")</f>
        <v>Beverage</v>
      </c>
      <c r="G386" s="7">
        <f>IFERROR(INT(VLOOKUP($A386,Orders[],MATCH("OrderDateTime",Orders[#Headers],0),FALSE)),"CHECK")</f>
        <v>45871</v>
      </c>
      <c r="H386" s="7" t="str">
        <f>IFERROR(VLOOKUP($A386,Orders[],MATCH(H$1,Orders[#Headers],0),FALSE),"CHECK")</f>
        <v>Plant 2 Canteen</v>
      </c>
      <c r="I386">
        <f>IFERROR(VLOOKUP(OrderLines[[#This Row],[OrderID]],Orders[],MATCH(OrderLines[[#Headers],[DiscountPct]],Orders[#Headers],0),FALSE),"CHECK")</f>
        <v>0.08</v>
      </c>
      <c r="J386" t="str">
        <f>IFERROR(VLOOKUP(OrderLines[[#This Row],[OrderID]],Orders[],MATCH(OrderLines[[#Headers],[Shift]],Orders[#Headers],0),FALSE),"CHECK")</f>
        <v>Lunch</v>
      </c>
      <c r="K386" s="11">
        <f>OrderLines[[#This Row],[Qty]] * OrderLines[[#This Row],[UnitPrice]] * (1-OrderLines[[#This Row],[DiscountPct]])</f>
        <v>52.311199999999999</v>
      </c>
      <c r="L386">
        <f>OrderLines[[#This Row],[Qty]]*OrderLines[[#This Row],[UnitCost]]</f>
        <v>27.78</v>
      </c>
    </row>
    <row r="387" spans="1:12" x14ac:dyDescent="0.25">
      <c r="A387" t="s">
        <v>191</v>
      </c>
      <c r="B387" t="s">
        <v>414</v>
      </c>
      <c r="C387">
        <v>2</v>
      </c>
      <c r="D387" s="9">
        <f>IFERROR(VLOOKUP($B387,Menu[],MATCH(D$1,Menu[#Headers],0),FALSE),"CHECK")</f>
        <v>116.8</v>
      </c>
      <c r="E387" s="9">
        <f>IFERROR(VLOOKUP($B387,Menu[],MATCH(E$1,Menu[#Headers],0),FALSE),"CHECK")</f>
        <v>48.97</v>
      </c>
      <c r="F387" t="str">
        <f>IFERROR(VLOOKUP($B387,Menu[],MATCH(F$1,Menu[#Headers],0),FALSE),"CHECK")</f>
        <v>Dessert</v>
      </c>
      <c r="G387" s="7">
        <f>IFERROR(INT(VLOOKUP($A387,Orders[],MATCH("OrderDateTime",Orders[#Headers],0),FALSE)),"CHECK")</f>
        <v>45871</v>
      </c>
      <c r="H387" s="7" t="str">
        <f>IFERROR(VLOOKUP($A387,Orders[],MATCH(H$1,Orders[#Headers],0),FALSE),"CHECK")</f>
        <v>Plant 2 Canteen</v>
      </c>
      <c r="I387">
        <f>IFERROR(VLOOKUP(OrderLines[[#This Row],[OrderID]],Orders[],MATCH(OrderLines[[#Headers],[DiscountPct]],Orders[#Headers],0),FALSE),"CHECK")</f>
        <v>0.08</v>
      </c>
      <c r="J387" t="str">
        <f>IFERROR(VLOOKUP(OrderLines[[#This Row],[OrderID]],Orders[],MATCH(OrderLines[[#Headers],[Shift]],Orders[#Headers],0),FALSE),"CHECK")</f>
        <v>Lunch</v>
      </c>
      <c r="K387" s="11">
        <f>OrderLines[[#This Row],[Qty]] * OrderLines[[#This Row],[UnitPrice]] * (1-OrderLines[[#This Row],[DiscountPct]])</f>
        <v>214.91200000000001</v>
      </c>
      <c r="L387">
        <f>OrderLines[[#This Row],[Qty]]*OrderLines[[#This Row],[UnitCost]]</f>
        <v>97.94</v>
      </c>
    </row>
    <row r="388" spans="1:12" x14ac:dyDescent="0.25">
      <c r="A388" t="s">
        <v>191</v>
      </c>
      <c r="B388" t="s">
        <v>404</v>
      </c>
      <c r="C388">
        <v>1</v>
      </c>
      <c r="D388" s="9">
        <f>IFERROR(VLOOKUP($B388,Menu[],MATCH(D$1,Menu[#Headers],0),FALSE),"CHECK")</f>
        <v>32.979999999999997</v>
      </c>
      <c r="E388" s="9">
        <f>IFERROR(VLOOKUP($B388,Menu[],MATCH(E$1,Menu[#Headers],0),FALSE),"CHECK")</f>
        <v>11.84</v>
      </c>
      <c r="F388" t="str">
        <f>IFERROR(VLOOKUP($B388,Menu[],MATCH(F$1,Menu[#Headers],0),FALSE),"CHECK")</f>
        <v>Beverage</v>
      </c>
      <c r="G388" s="7">
        <f>IFERROR(INT(VLOOKUP($A388,Orders[],MATCH("OrderDateTime",Orders[#Headers],0),FALSE)),"CHECK")</f>
        <v>45871</v>
      </c>
      <c r="H388" s="7" t="str">
        <f>IFERROR(VLOOKUP($A388,Orders[],MATCH(H$1,Orders[#Headers],0),FALSE),"CHECK")</f>
        <v>Plant 2 Canteen</v>
      </c>
      <c r="I388">
        <f>IFERROR(VLOOKUP(OrderLines[[#This Row],[OrderID]],Orders[],MATCH(OrderLines[[#Headers],[DiscountPct]],Orders[#Headers],0),FALSE),"CHECK")</f>
        <v>0.08</v>
      </c>
      <c r="J388" t="str">
        <f>IFERROR(VLOOKUP(OrderLines[[#This Row],[OrderID]],Orders[],MATCH(OrderLines[[#Headers],[Shift]],Orders[#Headers],0),FALSE),"CHECK")</f>
        <v>Lunch</v>
      </c>
      <c r="K388" s="11">
        <f>OrderLines[[#This Row],[Qty]] * OrderLines[[#This Row],[UnitPrice]] * (1-OrderLines[[#This Row],[DiscountPct]])</f>
        <v>30.3416</v>
      </c>
      <c r="L388">
        <f>OrderLines[[#This Row],[Qty]]*OrderLines[[#This Row],[UnitCost]]</f>
        <v>11.84</v>
      </c>
    </row>
    <row r="389" spans="1:12" x14ac:dyDescent="0.25">
      <c r="A389" t="s">
        <v>192</v>
      </c>
      <c r="B389" t="s">
        <v>418</v>
      </c>
      <c r="C389">
        <v>2</v>
      </c>
      <c r="D389" s="9">
        <f>IFERROR(VLOOKUP($B389,Menu[],MATCH(D$1,Menu[#Headers],0),FALSE),"CHECK")</f>
        <v>39.950000000000003</v>
      </c>
      <c r="E389" s="9">
        <f>IFERROR(VLOOKUP($B389,Menu[],MATCH(E$1,Menu[#Headers],0),FALSE),"CHECK")</f>
        <v>15.51</v>
      </c>
      <c r="F389" t="str">
        <f>IFERROR(VLOOKUP($B389,Menu[],MATCH(F$1,Menu[#Headers],0),FALSE),"CHECK")</f>
        <v>Snack</v>
      </c>
      <c r="G389" s="7">
        <f>IFERROR(INT(VLOOKUP($A389,Orders[],MATCH("OrderDateTime",Orders[#Headers],0),FALSE)),"CHECK")</f>
        <v>45871</v>
      </c>
      <c r="H389" s="7" t="str">
        <f>IFERROR(VLOOKUP($A389,Orders[],MATCH(H$1,Orders[#Headers],0),FALSE),"CHECK")</f>
        <v>Plant 2 Canteen</v>
      </c>
      <c r="I389">
        <f>IFERROR(VLOOKUP(OrderLines[[#This Row],[OrderID]],Orders[],MATCH(OrderLines[[#Headers],[DiscountPct]],Orders[#Headers],0),FALSE),"CHECK")</f>
        <v>0.02</v>
      </c>
      <c r="J389" t="str">
        <f>IFERROR(VLOOKUP(OrderLines[[#This Row],[OrderID]],Orders[],MATCH(OrderLines[[#Headers],[Shift]],Orders[#Headers],0),FALSE),"CHECK")</f>
        <v>Breakfast</v>
      </c>
      <c r="K389" s="11">
        <f>OrderLines[[#This Row],[Qty]] * OrderLines[[#This Row],[UnitPrice]] * (1-OrderLines[[#This Row],[DiscountPct]])</f>
        <v>78.302000000000007</v>
      </c>
      <c r="L389">
        <f>OrderLines[[#This Row],[Qty]]*OrderLines[[#This Row],[UnitCost]]</f>
        <v>31.02</v>
      </c>
    </row>
    <row r="390" spans="1:12" x14ac:dyDescent="0.25">
      <c r="A390" t="s">
        <v>192</v>
      </c>
      <c r="B390" t="s">
        <v>401</v>
      </c>
      <c r="C390">
        <v>3</v>
      </c>
      <c r="D390" s="9">
        <f>IFERROR(VLOOKUP($B390,Menu[],MATCH(D$1,Menu[#Headers],0),FALSE),"CHECK")</f>
        <v>52.45</v>
      </c>
      <c r="E390" s="9">
        <f>IFERROR(VLOOKUP($B390,Menu[],MATCH(E$1,Menu[#Headers],0),FALSE),"CHECK")</f>
        <v>25.8</v>
      </c>
      <c r="F390" t="str">
        <f>IFERROR(VLOOKUP($B390,Menu[],MATCH(F$1,Menu[#Headers],0),FALSE),"CHECK")</f>
        <v>Snack</v>
      </c>
      <c r="G390" s="7">
        <f>IFERROR(INT(VLOOKUP($A390,Orders[],MATCH("OrderDateTime",Orders[#Headers],0),FALSE)),"CHECK")</f>
        <v>45871</v>
      </c>
      <c r="H390" s="7" t="str">
        <f>IFERROR(VLOOKUP($A390,Orders[],MATCH(H$1,Orders[#Headers],0),FALSE),"CHECK")</f>
        <v>Plant 2 Canteen</v>
      </c>
      <c r="I390">
        <f>IFERROR(VLOOKUP(OrderLines[[#This Row],[OrderID]],Orders[],MATCH(OrderLines[[#Headers],[DiscountPct]],Orders[#Headers],0),FALSE),"CHECK")</f>
        <v>0.02</v>
      </c>
      <c r="J390" t="str">
        <f>IFERROR(VLOOKUP(OrderLines[[#This Row],[OrderID]],Orders[],MATCH(OrderLines[[#Headers],[Shift]],Orders[#Headers],0),FALSE),"CHECK")</f>
        <v>Breakfast</v>
      </c>
      <c r="K390" s="11">
        <f>OrderLines[[#This Row],[Qty]] * OrderLines[[#This Row],[UnitPrice]] * (1-OrderLines[[#This Row],[DiscountPct]])</f>
        <v>154.20300000000003</v>
      </c>
      <c r="L390">
        <f>OrderLines[[#This Row],[Qty]]*OrderLines[[#This Row],[UnitCost]]</f>
        <v>77.400000000000006</v>
      </c>
    </row>
    <row r="391" spans="1:12" x14ac:dyDescent="0.25">
      <c r="A391" t="s">
        <v>192</v>
      </c>
      <c r="B391" t="s">
        <v>415</v>
      </c>
      <c r="C391">
        <v>2</v>
      </c>
      <c r="D391" s="9">
        <f>IFERROR(VLOOKUP($B391,Menu[],MATCH(D$1,Menu[#Headers],0),FALSE),"CHECK")</f>
        <v>256.91000000000003</v>
      </c>
      <c r="E391" s="9">
        <f>IFERROR(VLOOKUP($B391,Menu[],MATCH(E$1,Menu[#Headers],0),FALSE),"CHECK")</f>
        <v>121.24</v>
      </c>
      <c r="F391" t="str">
        <f>IFERROR(VLOOKUP($B391,Menu[],MATCH(F$1,Menu[#Headers],0),FALSE),"CHECK")</f>
        <v>Hot Meal</v>
      </c>
      <c r="G391" s="7">
        <f>IFERROR(INT(VLOOKUP($A391,Orders[],MATCH("OrderDateTime",Orders[#Headers],0),FALSE)),"CHECK")</f>
        <v>45871</v>
      </c>
      <c r="H391" s="7" t="str">
        <f>IFERROR(VLOOKUP($A391,Orders[],MATCH(H$1,Orders[#Headers],0),FALSE),"CHECK")</f>
        <v>Plant 2 Canteen</v>
      </c>
      <c r="I391">
        <f>IFERROR(VLOOKUP(OrderLines[[#This Row],[OrderID]],Orders[],MATCH(OrderLines[[#Headers],[DiscountPct]],Orders[#Headers],0),FALSE),"CHECK")</f>
        <v>0.02</v>
      </c>
      <c r="J391" t="str">
        <f>IFERROR(VLOOKUP(OrderLines[[#This Row],[OrderID]],Orders[],MATCH(OrderLines[[#Headers],[Shift]],Orders[#Headers],0),FALSE),"CHECK")</f>
        <v>Breakfast</v>
      </c>
      <c r="K391" s="11">
        <f>OrderLines[[#This Row],[Qty]] * OrderLines[[#This Row],[UnitPrice]] * (1-OrderLines[[#This Row],[DiscountPct]])</f>
        <v>503.54360000000003</v>
      </c>
      <c r="L391">
        <f>OrderLines[[#This Row],[Qty]]*OrderLines[[#This Row],[UnitCost]]</f>
        <v>242.48</v>
      </c>
    </row>
    <row r="392" spans="1:12" x14ac:dyDescent="0.25">
      <c r="A392" t="s">
        <v>192</v>
      </c>
      <c r="B392" t="s">
        <v>412</v>
      </c>
      <c r="C392">
        <v>1</v>
      </c>
      <c r="D392" s="9">
        <f>IFERROR(VLOOKUP($B392,Menu[],MATCH(D$1,Menu[#Headers],0),FALSE),"CHECK")</f>
        <v>57.07</v>
      </c>
      <c r="E392" s="9">
        <f>IFERROR(VLOOKUP($B392,Menu[],MATCH(E$1,Menu[#Headers],0),FALSE),"CHECK")</f>
        <v>29.14</v>
      </c>
      <c r="F392" t="str">
        <f>IFERROR(VLOOKUP($B392,Menu[],MATCH(F$1,Menu[#Headers],0),FALSE),"CHECK")</f>
        <v>Dessert</v>
      </c>
      <c r="G392" s="7">
        <f>IFERROR(INT(VLOOKUP($A392,Orders[],MATCH("OrderDateTime",Orders[#Headers],0),FALSE)),"CHECK")</f>
        <v>45871</v>
      </c>
      <c r="H392" s="7" t="str">
        <f>IFERROR(VLOOKUP($A392,Orders[],MATCH(H$1,Orders[#Headers],0),FALSE),"CHECK")</f>
        <v>Plant 2 Canteen</v>
      </c>
      <c r="I392">
        <f>IFERROR(VLOOKUP(OrderLines[[#This Row],[OrderID]],Orders[],MATCH(OrderLines[[#Headers],[DiscountPct]],Orders[#Headers],0),FALSE),"CHECK")</f>
        <v>0.02</v>
      </c>
      <c r="J392" t="str">
        <f>IFERROR(VLOOKUP(OrderLines[[#This Row],[OrderID]],Orders[],MATCH(OrderLines[[#Headers],[Shift]],Orders[#Headers],0),FALSE),"CHECK")</f>
        <v>Breakfast</v>
      </c>
      <c r="K392" s="11">
        <f>OrderLines[[#This Row],[Qty]] * OrderLines[[#This Row],[UnitPrice]] * (1-OrderLines[[#This Row],[DiscountPct]])</f>
        <v>55.928599999999996</v>
      </c>
      <c r="L392">
        <f>OrderLines[[#This Row],[Qty]]*OrderLines[[#This Row],[UnitCost]]</f>
        <v>29.14</v>
      </c>
    </row>
    <row r="393" spans="1:12" x14ac:dyDescent="0.25">
      <c r="A393" t="s">
        <v>193</v>
      </c>
      <c r="B393" t="s">
        <v>402</v>
      </c>
      <c r="C393">
        <v>3</v>
      </c>
      <c r="D393" s="9">
        <f>IFERROR(VLOOKUP($B393,Menu[],MATCH(D$1,Menu[#Headers],0),FALSE),"CHECK")</f>
        <v>30.34</v>
      </c>
      <c r="E393" s="9">
        <f>IFERROR(VLOOKUP($B393,Menu[],MATCH(E$1,Menu[#Headers],0),FALSE),"CHECK")</f>
        <v>14.18</v>
      </c>
      <c r="F393" t="str">
        <f>IFERROR(VLOOKUP($B393,Menu[],MATCH(F$1,Menu[#Headers],0),FALSE),"CHECK")</f>
        <v>Beverage</v>
      </c>
      <c r="G393" s="7">
        <f>IFERROR(INT(VLOOKUP($A393,Orders[],MATCH("OrderDateTime",Orders[#Headers],0),FALSE)),"CHECK")</f>
        <v>45878</v>
      </c>
      <c r="H393" s="7" t="str">
        <f>IFERROR(VLOOKUP($A393,Orders[],MATCH(H$1,Orders[#Headers],0),FALSE),"CHECK")</f>
        <v>Head Office Café</v>
      </c>
      <c r="I393">
        <f>IFERROR(VLOOKUP(OrderLines[[#This Row],[OrderID]],Orders[],MATCH(OrderLines[[#Headers],[DiscountPct]],Orders[#Headers],0),FALSE),"CHECK")</f>
        <v>7.0000000000000007E-2</v>
      </c>
      <c r="J393" t="str">
        <f>IFERROR(VLOOKUP(OrderLines[[#This Row],[OrderID]],Orders[],MATCH(OrderLines[[#Headers],[Shift]],Orders[#Headers],0),FALSE),"CHECK")</f>
        <v>Breakfast</v>
      </c>
      <c r="K393" s="11">
        <f>OrderLines[[#This Row],[Qty]] * OrderLines[[#This Row],[UnitPrice]] * (1-OrderLines[[#This Row],[DiscountPct]])</f>
        <v>84.648599999999988</v>
      </c>
      <c r="L393">
        <f>OrderLines[[#This Row],[Qty]]*OrderLines[[#This Row],[UnitCost]]</f>
        <v>42.54</v>
      </c>
    </row>
    <row r="394" spans="1:12" x14ac:dyDescent="0.25">
      <c r="A394" t="s">
        <v>193</v>
      </c>
      <c r="B394" t="s">
        <v>414</v>
      </c>
      <c r="C394">
        <v>1</v>
      </c>
      <c r="D394" s="9">
        <f>IFERROR(VLOOKUP($B394,Menu[],MATCH(D$1,Menu[#Headers],0),FALSE),"CHECK")</f>
        <v>116.8</v>
      </c>
      <c r="E394" s="9">
        <f>IFERROR(VLOOKUP($B394,Menu[],MATCH(E$1,Menu[#Headers],0),FALSE),"CHECK")</f>
        <v>48.97</v>
      </c>
      <c r="F394" t="str">
        <f>IFERROR(VLOOKUP($B394,Menu[],MATCH(F$1,Menu[#Headers],0),FALSE),"CHECK")</f>
        <v>Dessert</v>
      </c>
      <c r="G394" s="7">
        <f>IFERROR(INT(VLOOKUP($A394,Orders[],MATCH("OrderDateTime",Orders[#Headers],0),FALSE)),"CHECK")</f>
        <v>45878</v>
      </c>
      <c r="H394" s="7" t="str">
        <f>IFERROR(VLOOKUP($A394,Orders[],MATCH(H$1,Orders[#Headers],0),FALSE),"CHECK")</f>
        <v>Head Office Café</v>
      </c>
      <c r="I394">
        <f>IFERROR(VLOOKUP(OrderLines[[#This Row],[OrderID]],Orders[],MATCH(OrderLines[[#Headers],[DiscountPct]],Orders[#Headers],0),FALSE),"CHECK")</f>
        <v>7.0000000000000007E-2</v>
      </c>
      <c r="J394" t="str">
        <f>IFERROR(VLOOKUP(OrderLines[[#This Row],[OrderID]],Orders[],MATCH(OrderLines[[#Headers],[Shift]],Orders[#Headers],0),FALSE),"CHECK")</f>
        <v>Breakfast</v>
      </c>
      <c r="K394" s="11">
        <f>OrderLines[[#This Row],[Qty]] * OrderLines[[#This Row],[UnitPrice]] * (1-OrderLines[[#This Row],[DiscountPct]])</f>
        <v>108.624</v>
      </c>
      <c r="L394">
        <f>OrderLines[[#This Row],[Qty]]*OrderLines[[#This Row],[UnitCost]]</f>
        <v>48.97</v>
      </c>
    </row>
    <row r="395" spans="1:12" x14ac:dyDescent="0.25">
      <c r="A395" t="s">
        <v>193</v>
      </c>
      <c r="B395" t="s">
        <v>416</v>
      </c>
      <c r="C395">
        <v>3</v>
      </c>
      <c r="D395" s="9">
        <f>IFERROR(VLOOKUP($B395,Menu[],MATCH(D$1,Menu[#Headers],0),FALSE),"CHECK")</f>
        <v>227.61</v>
      </c>
      <c r="E395" s="9">
        <f>IFERROR(VLOOKUP($B395,Menu[],MATCH(E$1,Menu[#Headers],0),FALSE),"CHECK")</f>
        <v>96.22</v>
      </c>
      <c r="F395" t="str">
        <f>IFERROR(VLOOKUP($B395,Menu[],MATCH(F$1,Menu[#Headers],0),FALSE),"CHECK")</f>
        <v>Hot Meal</v>
      </c>
      <c r="G395" s="7">
        <f>IFERROR(INT(VLOOKUP($A395,Orders[],MATCH("OrderDateTime",Orders[#Headers],0),FALSE)),"CHECK")</f>
        <v>45878</v>
      </c>
      <c r="H395" s="7" t="str">
        <f>IFERROR(VLOOKUP($A395,Orders[],MATCH(H$1,Orders[#Headers],0),FALSE),"CHECK")</f>
        <v>Head Office Café</v>
      </c>
      <c r="I395">
        <f>IFERROR(VLOOKUP(OrderLines[[#This Row],[OrderID]],Orders[],MATCH(OrderLines[[#Headers],[DiscountPct]],Orders[#Headers],0),FALSE),"CHECK")</f>
        <v>7.0000000000000007E-2</v>
      </c>
      <c r="J395" t="str">
        <f>IFERROR(VLOOKUP(OrderLines[[#This Row],[OrderID]],Orders[],MATCH(OrderLines[[#Headers],[Shift]],Orders[#Headers],0),FALSE),"CHECK")</f>
        <v>Breakfast</v>
      </c>
      <c r="K395" s="11">
        <f>OrderLines[[#This Row],[Qty]] * OrderLines[[#This Row],[UnitPrice]] * (1-OrderLines[[#This Row],[DiscountPct]])</f>
        <v>635.03189999999995</v>
      </c>
      <c r="L395">
        <f>OrderLines[[#This Row],[Qty]]*OrderLines[[#This Row],[UnitCost]]</f>
        <v>288.65999999999997</v>
      </c>
    </row>
    <row r="396" spans="1:12" x14ac:dyDescent="0.25">
      <c r="A396" t="s">
        <v>193</v>
      </c>
      <c r="B396" t="s">
        <v>418</v>
      </c>
      <c r="C396">
        <v>3</v>
      </c>
      <c r="D396" s="9">
        <f>IFERROR(VLOOKUP($B396,Menu[],MATCH(D$1,Menu[#Headers],0),FALSE),"CHECK")</f>
        <v>39.950000000000003</v>
      </c>
      <c r="E396" s="9">
        <f>IFERROR(VLOOKUP($B396,Menu[],MATCH(E$1,Menu[#Headers],0),FALSE),"CHECK")</f>
        <v>15.51</v>
      </c>
      <c r="F396" t="str">
        <f>IFERROR(VLOOKUP($B396,Menu[],MATCH(F$1,Menu[#Headers],0),FALSE),"CHECK")</f>
        <v>Snack</v>
      </c>
      <c r="G396" s="7">
        <f>IFERROR(INT(VLOOKUP($A396,Orders[],MATCH("OrderDateTime",Orders[#Headers],0),FALSE)),"CHECK")</f>
        <v>45878</v>
      </c>
      <c r="H396" s="7" t="str">
        <f>IFERROR(VLOOKUP($A396,Orders[],MATCH(H$1,Orders[#Headers],0),FALSE),"CHECK")</f>
        <v>Head Office Café</v>
      </c>
      <c r="I396">
        <f>IFERROR(VLOOKUP(OrderLines[[#This Row],[OrderID]],Orders[],MATCH(OrderLines[[#Headers],[DiscountPct]],Orders[#Headers],0),FALSE),"CHECK")</f>
        <v>7.0000000000000007E-2</v>
      </c>
      <c r="J396" t="str">
        <f>IFERROR(VLOOKUP(OrderLines[[#This Row],[OrderID]],Orders[],MATCH(OrderLines[[#Headers],[Shift]],Orders[#Headers],0),FALSE),"CHECK")</f>
        <v>Breakfast</v>
      </c>
      <c r="K396" s="11">
        <f>OrderLines[[#This Row],[Qty]] * OrderLines[[#This Row],[UnitPrice]] * (1-OrderLines[[#This Row],[DiscountPct]])</f>
        <v>111.4605</v>
      </c>
      <c r="L396">
        <f>OrderLines[[#This Row],[Qty]]*OrderLines[[#This Row],[UnitCost]]</f>
        <v>46.53</v>
      </c>
    </row>
    <row r="397" spans="1:12" x14ac:dyDescent="0.25">
      <c r="A397" t="s">
        <v>194</v>
      </c>
      <c r="B397" t="s">
        <v>418</v>
      </c>
      <c r="C397">
        <v>3</v>
      </c>
      <c r="D397" s="9">
        <f>IFERROR(VLOOKUP($B397,Menu[],MATCH(D$1,Menu[#Headers],0),FALSE),"CHECK")</f>
        <v>39.950000000000003</v>
      </c>
      <c r="E397" s="9">
        <f>IFERROR(VLOOKUP($B397,Menu[],MATCH(E$1,Menu[#Headers],0),FALSE),"CHECK")</f>
        <v>15.51</v>
      </c>
      <c r="F397" t="str">
        <f>IFERROR(VLOOKUP($B397,Menu[],MATCH(F$1,Menu[#Headers],0),FALSE),"CHECK")</f>
        <v>Snack</v>
      </c>
      <c r="G397" s="7">
        <f>IFERROR(INT(VLOOKUP($A397,Orders[],MATCH("OrderDateTime",Orders[#Headers],0),FALSE)),"CHECK")</f>
        <v>45869</v>
      </c>
      <c r="H397" s="7" t="str">
        <f>IFERROR(VLOOKUP($A397,Orders[],MATCH(H$1,Orders[#Headers],0),FALSE),"CHECK")</f>
        <v>Plant 2 Canteen</v>
      </c>
      <c r="I397">
        <f>IFERROR(VLOOKUP(OrderLines[[#This Row],[OrderID]],Orders[],MATCH(OrderLines[[#Headers],[DiscountPct]],Orders[#Headers],0),FALSE),"CHECK")</f>
        <v>0.06</v>
      </c>
      <c r="J397" t="str">
        <f>IFERROR(VLOOKUP(OrderLines[[#This Row],[OrderID]],Orders[],MATCH(OrderLines[[#Headers],[Shift]],Orders[#Headers],0),FALSE),"CHECK")</f>
        <v>Dinner</v>
      </c>
      <c r="K397" s="11">
        <f>OrderLines[[#This Row],[Qty]] * OrderLines[[#This Row],[UnitPrice]] * (1-OrderLines[[#This Row],[DiscountPct]])</f>
        <v>112.65900000000001</v>
      </c>
      <c r="L397">
        <f>OrderLines[[#This Row],[Qty]]*OrderLines[[#This Row],[UnitCost]]</f>
        <v>46.53</v>
      </c>
    </row>
    <row r="398" spans="1:12" x14ac:dyDescent="0.25">
      <c r="A398" t="s">
        <v>194</v>
      </c>
      <c r="B398" t="s">
        <v>407</v>
      </c>
      <c r="C398">
        <v>3</v>
      </c>
      <c r="D398" s="9">
        <f>IFERROR(VLOOKUP($B398,Menu[],MATCH(D$1,Menu[#Headers],0),FALSE),"CHECK")</f>
        <v>246.09</v>
      </c>
      <c r="E398" s="9">
        <f>IFERROR(VLOOKUP($B398,Menu[],MATCH(E$1,Menu[#Headers],0),FALSE),"CHECK")</f>
        <v>112.08</v>
      </c>
      <c r="F398" t="str">
        <f>IFERROR(VLOOKUP($B398,Menu[],MATCH(F$1,Menu[#Headers],0),FALSE),"CHECK")</f>
        <v>Hot Meal</v>
      </c>
      <c r="G398" s="7">
        <f>IFERROR(INT(VLOOKUP($A398,Orders[],MATCH("OrderDateTime",Orders[#Headers],0),FALSE)),"CHECK")</f>
        <v>45869</v>
      </c>
      <c r="H398" s="7" t="str">
        <f>IFERROR(VLOOKUP($A398,Orders[],MATCH(H$1,Orders[#Headers],0),FALSE),"CHECK")</f>
        <v>Plant 2 Canteen</v>
      </c>
      <c r="I398">
        <f>IFERROR(VLOOKUP(OrderLines[[#This Row],[OrderID]],Orders[],MATCH(OrderLines[[#Headers],[DiscountPct]],Orders[#Headers],0),FALSE),"CHECK")</f>
        <v>0.06</v>
      </c>
      <c r="J398" t="str">
        <f>IFERROR(VLOOKUP(OrderLines[[#This Row],[OrderID]],Orders[],MATCH(OrderLines[[#Headers],[Shift]],Orders[#Headers],0),FALSE),"CHECK")</f>
        <v>Dinner</v>
      </c>
      <c r="K398" s="11">
        <f>OrderLines[[#This Row],[Qty]] * OrderLines[[#This Row],[UnitPrice]] * (1-OrderLines[[#This Row],[DiscountPct]])</f>
        <v>693.97379999999998</v>
      </c>
      <c r="L398">
        <f>OrderLines[[#This Row],[Qty]]*OrderLines[[#This Row],[UnitCost]]</f>
        <v>336.24</v>
      </c>
    </row>
    <row r="399" spans="1:12" x14ac:dyDescent="0.25">
      <c r="A399" t="s">
        <v>194</v>
      </c>
      <c r="B399" t="s">
        <v>412</v>
      </c>
      <c r="C399">
        <v>1</v>
      </c>
      <c r="D399" s="9">
        <f>IFERROR(VLOOKUP($B399,Menu[],MATCH(D$1,Menu[#Headers],0),FALSE),"CHECK")</f>
        <v>57.07</v>
      </c>
      <c r="E399" s="9">
        <f>IFERROR(VLOOKUP($B399,Menu[],MATCH(E$1,Menu[#Headers],0),FALSE),"CHECK")</f>
        <v>29.14</v>
      </c>
      <c r="F399" t="str">
        <f>IFERROR(VLOOKUP($B399,Menu[],MATCH(F$1,Menu[#Headers],0),FALSE),"CHECK")</f>
        <v>Dessert</v>
      </c>
      <c r="G399" s="7">
        <f>IFERROR(INT(VLOOKUP($A399,Orders[],MATCH("OrderDateTime",Orders[#Headers],0),FALSE)),"CHECK")</f>
        <v>45869</v>
      </c>
      <c r="H399" s="7" t="str">
        <f>IFERROR(VLOOKUP($A399,Orders[],MATCH(H$1,Orders[#Headers],0),FALSE),"CHECK")</f>
        <v>Plant 2 Canteen</v>
      </c>
      <c r="I399">
        <f>IFERROR(VLOOKUP(OrderLines[[#This Row],[OrderID]],Orders[],MATCH(OrderLines[[#Headers],[DiscountPct]],Orders[#Headers],0),FALSE),"CHECK")</f>
        <v>0.06</v>
      </c>
      <c r="J399" t="str">
        <f>IFERROR(VLOOKUP(OrderLines[[#This Row],[OrderID]],Orders[],MATCH(OrderLines[[#Headers],[Shift]],Orders[#Headers],0),FALSE),"CHECK")</f>
        <v>Dinner</v>
      </c>
      <c r="K399" s="11">
        <f>OrderLines[[#This Row],[Qty]] * OrderLines[[#This Row],[UnitPrice]] * (1-OrderLines[[#This Row],[DiscountPct]])</f>
        <v>53.645799999999994</v>
      </c>
      <c r="L399">
        <f>OrderLines[[#This Row],[Qty]]*OrderLines[[#This Row],[UnitCost]]</f>
        <v>29.14</v>
      </c>
    </row>
    <row r="400" spans="1:12" x14ac:dyDescent="0.25">
      <c r="A400" t="s">
        <v>195</v>
      </c>
      <c r="B400" t="s">
        <v>410</v>
      </c>
      <c r="C400">
        <v>1</v>
      </c>
      <c r="D400" s="9">
        <f>IFERROR(VLOOKUP($B400,Menu[],MATCH(D$1,Menu[#Headers],0),FALSE),"CHECK")</f>
        <v>20.11</v>
      </c>
      <c r="E400" s="9">
        <f>IFERROR(VLOOKUP($B400,Menu[],MATCH(E$1,Menu[#Headers],0),FALSE),"CHECK")</f>
        <v>8</v>
      </c>
      <c r="F400" t="str">
        <f>IFERROR(VLOOKUP($B400,Menu[],MATCH(F$1,Menu[#Headers],0),FALSE),"CHECK")</f>
        <v>Beverage</v>
      </c>
      <c r="G400" s="7">
        <f>IFERROR(INT(VLOOKUP($A400,Orders[],MATCH("OrderDateTime",Orders[#Headers],0),FALSE)),"CHECK")</f>
        <v>45889</v>
      </c>
      <c r="H400" s="7" t="str">
        <f>IFERROR(VLOOKUP($A400,Orders[],MATCH(H$1,Orders[#Headers],0),FALSE),"CHECK")</f>
        <v>Plant 1 Canteen</v>
      </c>
      <c r="I400">
        <f>IFERROR(VLOOKUP(OrderLines[[#This Row],[OrderID]],Orders[],MATCH(OrderLines[[#Headers],[DiscountPct]],Orders[#Headers],0),FALSE),"CHECK")</f>
        <v>0.01</v>
      </c>
      <c r="J400" t="str">
        <f>IFERROR(VLOOKUP(OrderLines[[#This Row],[OrderID]],Orders[],MATCH(OrderLines[[#Headers],[Shift]],Orders[#Headers],0),FALSE),"CHECK")</f>
        <v>Breakfast</v>
      </c>
      <c r="K400" s="11">
        <f>OrderLines[[#This Row],[Qty]] * OrderLines[[#This Row],[UnitPrice]] * (1-OrderLines[[#This Row],[DiscountPct]])</f>
        <v>19.908899999999999</v>
      </c>
      <c r="L400">
        <f>OrderLines[[#This Row],[Qty]]*OrderLines[[#This Row],[UnitCost]]</f>
        <v>8</v>
      </c>
    </row>
    <row r="401" spans="1:12" x14ac:dyDescent="0.25">
      <c r="A401" t="s">
        <v>195</v>
      </c>
      <c r="B401" t="s">
        <v>413</v>
      </c>
      <c r="C401">
        <v>2</v>
      </c>
      <c r="D401" s="9">
        <f>IFERROR(VLOOKUP($B401,Menu[],MATCH(D$1,Menu[#Headers],0),FALSE),"CHECK")</f>
        <v>54.2</v>
      </c>
      <c r="E401" s="9">
        <f>IFERROR(VLOOKUP($B401,Menu[],MATCH(E$1,Menu[#Headers],0),FALSE),"CHECK")</f>
        <v>21.95</v>
      </c>
      <c r="F401" t="str">
        <f>IFERROR(VLOOKUP($B401,Menu[],MATCH(F$1,Menu[#Headers],0),FALSE),"CHECK")</f>
        <v>Dessert</v>
      </c>
      <c r="G401" s="7">
        <f>IFERROR(INT(VLOOKUP($A401,Orders[],MATCH("OrderDateTime",Orders[#Headers],0),FALSE)),"CHECK")</f>
        <v>45889</v>
      </c>
      <c r="H401" s="7" t="str">
        <f>IFERROR(VLOOKUP($A401,Orders[],MATCH(H$1,Orders[#Headers],0),FALSE),"CHECK")</f>
        <v>Plant 1 Canteen</v>
      </c>
      <c r="I401">
        <f>IFERROR(VLOOKUP(OrderLines[[#This Row],[OrderID]],Orders[],MATCH(OrderLines[[#Headers],[DiscountPct]],Orders[#Headers],0),FALSE),"CHECK")</f>
        <v>0.01</v>
      </c>
      <c r="J401" t="str">
        <f>IFERROR(VLOOKUP(OrderLines[[#This Row],[OrderID]],Orders[],MATCH(OrderLines[[#Headers],[Shift]],Orders[#Headers],0),FALSE),"CHECK")</f>
        <v>Breakfast</v>
      </c>
      <c r="K401" s="11">
        <f>OrderLines[[#This Row],[Qty]] * OrderLines[[#This Row],[UnitPrice]] * (1-OrderLines[[#This Row],[DiscountPct]])</f>
        <v>107.316</v>
      </c>
      <c r="L401">
        <f>OrderLines[[#This Row],[Qty]]*OrderLines[[#This Row],[UnitCost]]</f>
        <v>43.9</v>
      </c>
    </row>
    <row r="402" spans="1:12" x14ac:dyDescent="0.25">
      <c r="A402" t="s">
        <v>195</v>
      </c>
      <c r="B402" t="s">
        <v>412</v>
      </c>
      <c r="C402">
        <v>3</v>
      </c>
      <c r="D402" s="9">
        <f>IFERROR(VLOOKUP($B402,Menu[],MATCH(D$1,Menu[#Headers],0),FALSE),"CHECK")</f>
        <v>57.07</v>
      </c>
      <c r="E402" s="9">
        <f>IFERROR(VLOOKUP($B402,Menu[],MATCH(E$1,Menu[#Headers],0),FALSE),"CHECK")</f>
        <v>29.14</v>
      </c>
      <c r="F402" t="str">
        <f>IFERROR(VLOOKUP($B402,Menu[],MATCH(F$1,Menu[#Headers],0),FALSE),"CHECK")</f>
        <v>Dessert</v>
      </c>
      <c r="G402" s="7">
        <f>IFERROR(INT(VLOOKUP($A402,Orders[],MATCH("OrderDateTime",Orders[#Headers],0),FALSE)),"CHECK")</f>
        <v>45889</v>
      </c>
      <c r="H402" s="7" t="str">
        <f>IFERROR(VLOOKUP($A402,Orders[],MATCH(H$1,Orders[#Headers],0),FALSE),"CHECK")</f>
        <v>Plant 1 Canteen</v>
      </c>
      <c r="I402">
        <f>IFERROR(VLOOKUP(OrderLines[[#This Row],[OrderID]],Orders[],MATCH(OrderLines[[#Headers],[DiscountPct]],Orders[#Headers],0),FALSE),"CHECK")</f>
        <v>0.01</v>
      </c>
      <c r="J402" t="str">
        <f>IFERROR(VLOOKUP(OrderLines[[#This Row],[OrderID]],Orders[],MATCH(OrderLines[[#Headers],[Shift]],Orders[#Headers],0),FALSE),"CHECK")</f>
        <v>Breakfast</v>
      </c>
      <c r="K402" s="11">
        <f>OrderLines[[#This Row],[Qty]] * OrderLines[[#This Row],[UnitPrice]] * (1-OrderLines[[#This Row],[DiscountPct]])</f>
        <v>169.49790000000002</v>
      </c>
      <c r="L402">
        <f>OrderLines[[#This Row],[Qty]]*OrderLines[[#This Row],[UnitCost]]</f>
        <v>87.42</v>
      </c>
    </row>
    <row r="403" spans="1:12" x14ac:dyDescent="0.25">
      <c r="A403" t="s">
        <v>195</v>
      </c>
      <c r="B403" t="s">
        <v>406</v>
      </c>
      <c r="C403">
        <v>1</v>
      </c>
      <c r="D403" s="9">
        <f>IFERROR(VLOOKUP($B403,Menu[],MATCH(D$1,Menu[#Headers],0),FALSE),"CHECK")</f>
        <v>38.06</v>
      </c>
      <c r="E403" s="9">
        <f>IFERROR(VLOOKUP($B403,Menu[],MATCH(E$1,Menu[#Headers],0),FALSE),"CHECK")</f>
        <v>19.55</v>
      </c>
      <c r="F403" t="str">
        <f>IFERROR(VLOOKUP($B403,Menu[],MATCH(F$1,Menu[#Headers],0),FALSE),"CHECK")</f>
        <v>Snack</v>
      </c>
      <c r="G403" s="7">
        <f>IFERROR(INT(VLOOKUP($A403,Orders[],MATCH("OrderDateTime",Orders[#Headers],0),FALSE)),"CHECK")</f>
        <v>45889</v>
      </c>
      <c r="H403" s="7" t="str">
        <f>IFERROR(VLOOKUP($A403,Orders[],MATCH(H$1,Orders[#Headers],0),FALSE),"CHECK")</f>
        <v>Plant 1 Canteen</v>
      </c>
      <c r="I403">
        <f>IFERROR(VLOOKUP(OrderLines[[#This Row],[OrderID]],Orders[],MATCH(OrderLines[[#Headers],[DiscountPct]],Orders[#Headers],0),FALSE),"CHECK")</f>
        <v>0.01</v>
      </c>
      <c r="J403" t="str">
        <f>IFERROR(VLOOKUP(OrderLines[[#This Row],[OrderID]],Orders[],MATCH(OrderLines[[#Headers],[Shift]],Orders[#Headers],0),FALSE),"CHECK")</f>
        <v>Breakfast</v>
      </c>
      <c r="K403" s="11">
        <f>OrderLines[[#This Row],[Qty]] * OrderLines[[#This Row],[UnitPrice]] * (1-OrderLines[[#This Row],[DiscountPct]])</f>
        <v>37.679400000000001</v>
      </c>
      <c r="L403">
        <f>OrderLines[[#This Row],[Qty]]*OrderLines[[#This Row],[UnitCost]]</f>
        <v>19.55</v>
      </c>
    </row>
    <row r="404" spans="1:12" x14ac:dyDescent="0.25">
      <c r="A404" t="s">
        <v>196</v>
      </c>
      <c r="B404" t="s">
        <v>407</v>
      </c>
      <c r="C404">
        <v>1</v>
      </c>
      <c r="D404" s="9">
        <f>IFERROR(VLOOKUP($B404,Menu[],MATCH(D$1,Menu[#Headers],0),FALSE),"CHECK")</f>
        <v>246.09</v>
      </c>
      <c r="E404" s="9">
        <f>IFERROR(VLOOKUP($B404,Menu[],MATCH(E$1,Menu[#Headers],0),FALSE),"CHECK")</f>
        <v>112.08</v>
      </c>
      <c r="F404" t="str">
        <f>IFERROR(VLOOKUP($B404,Menu[],MATCH(F$1,Menu[#Headers],0),FALSE),"CHECK")</f>
        <v>Hot Meal</v>
      </c>
      <c r="G404" s="7">
        <f>IFERROR(INT(VLOOKUP($A404,Orders[],MATCH("OrderDateTime",Orders[#Headers],0),FALSE)),"CHECK")</f>
        <v>45879</v>
      </c>
      <c r="H404" s="7" t="str">
        <f>IFERROR(VLOOKUP($A404,Orders[],MATCH(H$1,Orders[#Headers],0),FALSE),"CHECK")</f>
        <v>Plant 1 Canteen</v>
      </c>
      <c r="I404">
        <f>IFERROR(VLOOKUP(OrderLines[[#This Row],[OrderID]],Orders[],MATCH(OrderLines[[#Headers],[DiscountPct]],Orders[#Headers],0),FALSE),"CHECK")</f>
        <v>7.0000000000000007E-2</v>
      </c>
      <c r="J404" t="str">
        <f>IFERROR(VLOOKUP(OrderLines[[#This Row],[OrderID]],Orders[],MATCH(OrderLines[[#Headers],[Shift]],Orders[#Headers],0),FALSE),"CHECK")</f>
        <v>Breakfast</v>
      </c>
      <c r="K404" s="11">
        <f>OrderLines[[#This Row],[Qty]] * OrderLines[[#This Row],[UnitPrice]] * (1-OrderLines[[#This Row],[DiscountPct]])</f>
        <v>228.86369999999999</v>
      </c>
      <c r="L404">
        <f>OrderLines[[#This Row],[Qty]]*OrderLines[[#This Row],[UnitCost]]</f>
        <v>112.08</v>
      </c>
    </row>
    <row r="405" spans="1:12" x14ac:dyDescent="0.25">
      <c r="A405" t="s">
        <v>197</v>
      </c>
      <c r="B405" t="s">
        <v>405</v>
      </c>
      <c r="C405">
        <v>2</v>
      </c>
      <c r="D405" s="9">
        <f>IFERROR(VLOOKUP($B405,Menu[],MATCH(D$1,Menu[#Headers],0),FALSE),"CHECK")</f>
        <v>170.83</v>
      </c>
      <c r="E405" s="9">
        <f>IFERROR(VLOOKUP($B405,Menu[],MATCH(E$1,Menu[#Headers],0),FALSE),"CHECK")</f>
        <v>74.069999999999993</v>
      </c>
      <c r="F405" t="str">
        <f>IFERROR(VLOOKUP($B405,Menu[],MATCH(F$1,Menu[#Headers],0),FALSE),"CHECK")</f>
        <v>Hot Meal</v>
      </c>
      <c r="G405" s="7">
        <f>IFERROR(INT(VLOOKUP($A405,Orders[],MATCH("OrderDateTime",Orders[#Headers],0),FALSE)),"CHECK")</f>
        <v>45887</v>
      </c>
      <c r="H405" s="7" t="str">
        <f>IFERROR(VLOOKUP($A405,Orders[],MATCH(H$1,Orders[#Headers],0),FALSE),"CHECK")</f>
        <v>Head Office Café</v>
      </c>
      <c r="I405">
        <f>IFERROR(VLOOKUP(OrderLines[[#This Row],[OrderID]],Orders[],MATCH(OrderLines[[#Headers],[DiscountPct]],Orders[#Headers],0),FALSE),"CHECK")</f>
        <v>0.08</v>
      </c>
      <c r="J405" t="str">
        <f>IFERROR(VLOOKUP(OrderLines[[#This Row],[OrderID]],Orders[],MATCH(OrderLines[[#Headers],[Shift]],Orders[#Headers],0),FALSE),"CHECK")</f>
        <v>Lunch</v>
      </c>
      <c r="K405" s="11">
        <f>OrderLines[[#This Row],[Qty]] * OrderLines[[#This Row],[UnitPrice]] * (1-OrderLines[[#This Row],[DiscountPct]])</f>
        <v>314.32720000000006</v>
      </c>
      <c r="L405">
        <f>OrderLines[[#This Row],[Qty]]*OrderLines[[#This Row],[UnitCost]]</f>
        <v>148.13999999999999</v>
      </c>
    </row>
    <row r="406" spans="1:12" x14ac:dyDescent="0.25">
      <c r="A406" t="s">
        <v>198</v>
      </c>
      <c r="B406" t="s">
        <v>412</v>
      </c>
      <c r="C406">
        <v>1</v>
      </c>
      <c r="D406" s="9">
        <f>IFERROR(VLOOKUP($B406,Menu[],MATCH(D$1,Menu[#Headers],0),FALSE),"CHECK")</f>
        <v>57.07</v>
      </c>
      <c r="E406" s="9">
        <f>IFERROR(VLOOKUP($B406,Menu[],MATCH(E$1,Menu[#Headers],0),FALSE),"CHECK")</f>
        <v>29.14</v>
      </c>
      <c r="F406" t="str">
        <f>IFERROR(VLOOKUP($B406,Menu[],MATCH(F$1,Menu[#Headers],0),FALSE),"CHECK")</f>
        <v>Dessert</v>
      </c>
      <c r="G406" s="7">
        <f>IFERROR(INT(VLOOKUP($A406,Orders[],MATCH("OrderDateTime",Orders[#Headers],0),FALSE)),"CHECK")</f>
        <v>45865</v>
      </c>
      <c r="H406" s="7" t="str">
        <f>IFERROR(VLOOKUP($A406,Orders[],MATCH(H$1,Orders[#Headers],0),FALSE),"CHECK")</f>
        <v>Head Office Café</v>
      </c>
      <c r="I406">
        <f>IFERROR(VLOOKUP(OrderLines[[#This Row],[OrderID]],Orders[],MATCH(OrderLines[[#Headers],[DiscountPct]],Orders[#Headers],0),FALSE),"CHECK")</f>
        <v>0.1</v>
      </c>
      <c r="J406" t="str">
        <f>IFERROR(VLOOKUP(OrderLines[[#This Row],[OrderID]],Orders[],MATCH(OrderLines[[#Headers],[Shift]],Orders[#Headers],0),FALSE),"CHECK")</f>
        <v>Breakfast</v>
      </c>
      <c r="K406" s="11">
        <f>OrderLines[[#This Row],[Qty]] * OrderLines[[#This Row],[UnitPrice]] * (1-OrderLines[[#This Row],[DiscountPct]])</f>
        <v>51.363</v>
      </c>
      <c r="L406">
        <f>OrderLines[[#This Row],[Qty]]*OrderLines[[#This Row],[UnitCost]]</f>
        <v>29.14</v>
      </c>
    </row>
    <row r="407" spans="1:12" x14ac:dyDescent="0.25">
      <c r="A407" t="s">
        <v>198</v>
      </c>
      <c r="B407" t="s">
        <v>415</v>
      </c>
      <c r="C407">
        <v>2</v>
      </c>
      <c r="D407" s="9">
        <f>IFERROR(VLOOKUP($B407,Menu[],MATCH(D$1,Menu[#Headers],0),FALSE),"CHECK")</f>
        <v>256.91000000000003</v>
      </c>
      <c r="E407" s="9">
        <f>IFERROR(VLOOKUP($B407,Menu[],MATCH(E$1,Menu[#Headers],0),FALSE),"CHECK")</f>
        <v>121.24</v>
      </c>
      <c r="F407" t="str">
        <f>IFERROR(VLOOKUP($B407,Menu[],MATCH(F$1,Menu[#Headers],0),FALSE),"CHECK")</f>
        <v>Hot Meal</v>
      </c>
      <c r="G407" s="7">
        <f>IFERROR(INT(VLOOKUP($A407,Orders[],MATCH("OrderDateTime",Orders[#Headers],0),FALSE)),"CHECK")</f>
        <v>45865</v>
      </c>
      <c r="H407" s="7" t="str">
        <f>IFERROR(VLOOKUP($A407,Orders[],MATCH(H$1,Orders[#Headers],0),FALSE),"CHECK")</f>
        <v>Head Office Café</v>
      </c>
      <c r="I407">
        <f>IFERROR(VLOOKUP(OrderLines[[#This Row],[OrderID]],Orders[],MATCH(OrderLines[[#Headers],[DiscountPct]],Orders[#Headers],0),FALSE),"CHECK")</f>
        <v>0.1</v>
      </c>
      <c r="J407" t="str">
        <f>IFERROR(VLOOKUP(OrderLines[[#This Row],[OrderID]],Orders[],MATCH(OrderLines[[#Headers],[Shift]],Orders[#Headers],0),FALSE),"CHECK")</f>
        <v>Breakfast</v>
      </c>
      <c r="K407" s="11">
        <f>OrderLines[[#This Row],[Qty]] * OrderLines[[#This Row],[UnitPrice]] * (1-OrderLines[[#This Row],[DiscountPct]])</f>
        <v>462.43800000000005</v>
      </c>
      <c r="L407">
        <f>OrderLines[[#This Row],[Qty]]*OrderLines[[#This Row],[UnitCost]]</f>
        <v>242.48</v>
      </c>
    </row>
    <row r="408" spans="1:12" x14ac:dyDescent="0.25">
      <c r="A408" t="s">
        <v>198</v>
      </c>
      <c r="B408" t="s">
        <v>409</v>
      </c>
      <c r="C408">
        <v>1</v>
      </c>
      <c r="D408" s="9">
        <f>IFERROR(VLOOKUP($B408,Menu[],MATCH(D$1,Menu[#Headers],0),FALSE),"CHECK")</f>
        <v>28.43</v>
      </c>
      <c r="E408" s="9">
        <f>IFERROR(VLOOKUP($B408,Menu[],MATCH(E$1,Menu[#Headers],0),FALSE),"CHECK")</f>
        <v>13.89</v>
      </c>
      <c r="F408" t="str">
        <f>IFERROR(VLOOKUP($B408,Menu[],MATCH(F$1,Menu[#Headers],0),FALSE),"CHECK")</f>
        <v>Beverage</v>
      </c>
      <c r="G408" s="7">
        <f>IFERROR(INT(VLOOKUP($A408,Orders[],MATCH("OrderDateTime",Orders[#Headers],0),FALSE)),"CHECK")</f>
        <v>45865</v>
      </c>
      <c r="H408" s="7" t="str">
        <f>IFERROR(VLOOKUP($A408,Orders[],MATCH(H$1,Orders[#Headers],0),FALSE),"CHECK")</f>
        <v>Head Office Café</v>
      </c>
      <c r="I408">
        <f>IFERROR(VLOOKUP(OrderLines[[#This Row],[OrderID]],Orders[],MATCH(OrderLines[[#Headers],[DiscountPct]],Orders[#Headers],0),FALSE),"CHECK")</f>
        <v>0.1</v>
      </c>
      <c r="J408" t="str">
        <f>IFERROR(VLOOKUP(OrderLines[[#This Row],[OrderID]],Orders[],MATCH(OrderLines[[#Headers],[Shift]],Orders[#Headers],0),FALSE),"CHECK")</f>
        <v>Breakfast</v>
      </c>
      <c r="K408" s="11">
        <f>OrderLines[[#This Row],[Qty]] * OrderLines[[#This Row],[UnitPrice]] * (1-OrderLines[[#This Row],[DiscountPct]])</f>
        <v>25.587</v>
      </c>
      <c r="L408">
        <f>OrderLines[[#This Row],[Qty]]*OrderLines[[#This Row],[UnitCost]]</f>
        <v>13.89</v>
      </c>
    </row>
    <row r="409" spans="1:12" x14ac:dyDescent="0.25">
      <c r="A409" t="s">
        <v>198</v>
      </c>
      <c r="B409" t="s">
        <v>413</v>
      </c>
      <c r="C409">
        <v>2</v>
      </c>
      <c r="D409" s="9">
        <f>IFERROR(VLOOKUP($B409,Menu[],MATCH(D$1,Menu[#Headers],0),FALSE),"CHECK")</f>
        <v>54.2</v>
      </c>
      <c r="E409" s="9">
        <f>IFERROR(VLOOKUP($B409,Menu[],MATCH(E$1,Menu[#Headers],0),FALSE),"CHECK")</f>
        <v>21.95</v>
      </c>
      <c r="F409" t="str">
        <f>IFERROR(VLOOKUP($B409,Menu[],MATCH(F$1,Menu[#Headers],0),FALSE),"CHECK")</f>
        <v>Dessert</v>
      </c>
      <c r="G409" s="7">
        <f>IFERROR(INT(VLOOKUP($A409,Orders[],MATCH("OrderDateTime",Orders[#Headers],0),FALSE)),"CHECK")</f>
        <v>45865</v>
      </c>
      <c r="H409" s="7" t="str">
        <f>IFERROR(VLOOKUP($A409,Orders[],MATCH(H$1,Orders[#Headers],0),FALSE),"CHECK")</f>
        <v>Head Office Café</v>
      </c>
      <c r="I409">
        <f>IFERROR(VLOOKUP(OrderLines[[#This Row],[OrderID]],Orders[],MATCH(OrderLines[[#Headers],[DiscountPct]],Orders[#Headers],0),FALSE),"CHECK")</f>
        <v>0.1</v>
      </c>
      <c r="J409" t="str">
        <f>IFERROR(VLOOKUP(OrderLines[[#This Row],[OrderID]],Orders[],MATCH(OrderLines[[#Headers],[Shift]],Orders[#Headers],0),FALSE),"CHECK")</f>
        <v>Breakfast</v>
      </c>
      <c r="K409" s="11">
        <f>OrderLines[[#This Row],[Qty]] * OrderLines[[#This Row],[UnitPrice]] * (1-OrderLines[[#This Row],[DiscountPct]])</f>
        <v>97.56</v>
      </c>
      <c r="L409">
        <f>OrderLines[[#This Row],[Qty]]*OrderLines[[#This Row],[UnitCost]]</f>
        <v>43.9</v>
      </c>
    </row>
    <row r="410" spans="1:12" x14ac:dyDescent="0.25">
      <c r="A410" t="s">
        <v>199</v>
      </c>
      <c r="B410" t="s">
        <v>418</v>
      </c>
      <c r="C410">
        <v>2</v>
      </c>
      <c r="D410" s="9">
        <f>IFERROR(VLOOKUP($B410,Menu[],MATCH(D$1,Menu[#Headers],0),FALSE),"CHECK")</f>
        <v>39.950000000000003</v>
      </c>
      <c r="E410" s="9">
        <f>IFERROR(VLOOKUP($B410,Menu[],MATCH(E$1,Menu[#Headers],0),FALSE),"CHECK")</f>
        <v>15.51</v>
      </c>
      <c r="F410" t="str">
        <f>IFERROR(VLOOKUP($B410,Menu[],MATCH(F$1,Menu[#Headers],0),FALSE),"CHECK")</f>
        <v>Snack</v>
      </c>
      <c r="G410" s="7">
        <f>IFERROR(INT(VLOOKUP($A410,Orders[],MATCH("OrderDateTime",Orders[#Headers],0),FALSE)),"CHECK")</f>
        <v>45886</v>
      </c>
      <c r="H410" s="7" t="str">
        <f>IFERROR(VLOOKUP($A410,Orders[],MATCH(H$1,Orders[#Headers],0),FALSE),"CHECK")</f>
        <v>Plant 1 Canteen</v>
      </c>
      <c r="I410">
        <f>IFERROR(VLOOKUP(OrderLines[[#This Row],[OrderID]],Orders[],MATCH(OrderLines[[#Headers],[DiscountPct]],Orders[#Headers],0),FALSE),"CHECK")</f>
        <v>0.1</v>
      </c>
      <c r="J410" t="str">
        <f>IFERROR(VLOOKUP(OrderLines[[#This Row],[OrderID]],Orders[],MATCH(OrderLines[[#Headers],[Shift]],Orders[#Headers],0),FALSE),"CHECK")</f>
        <v>Breakfast</v>
      </c>
      <c r="K410" s="11">
        <f>OrderLines[[#This Row],[Qty]] * OrderLines[[#This Row],[UnitPrice]] * (1-OrderLines[[#This Row],[DiscountPct]])</f>
        <v>71.910000000000011</v>
      </c>
      <c r="L410">
        <f>OrderLines[[#This Row],[Qty]]*OrderLines[[#This Row],[UnitCost]]</f>
        <v>31.02</v>
      </c>
    </row>
    <row r="411" spans="1:12" x14ac:dyDescent="0.25">
      <c r="A411" t="s">
        <v>199</v>
      </c>
      <c r="B411" t="s">
        <v>412</v>
      </c>
      <c r="C411">
        <v>3</v>
      </c>
      <c r="D411" s="9">
        <f>IFERROR(VLOOKUP($B411,Menu[],MATCH(D$1,Menu[#Headers],0),FALSE),"CHECK")</f>
        <v>57.07</v>
      </c>
      <c r="E411" s="9">
        <f>IFERROR(VLOOKUP($B411,Menu[],MATCH(E$1,Menu[#Headers],0),FALSE),"CHECK")</f>
        <v>29.14</v>
      </c>
      <c r="F411" t="str">
        <f>IFERROR(VLOOKUP($B411,Menu[],MATCH(F$1,Menu[#Headers],0),FALSE),"CHECK")</f>
        <v>Dessert</v>
      </c>
      <c r="G411" s="7">
        <f>IFERROR(INT(VLOOKUP($A411,Orders[],MATCH("OrderDateTime",Orders[#Headers],0),FALSE)),"CHECK")</f>
        <v>45886</v>
      </c>
      <c r="H411" s="7" t="str">
        <f>IFERROR(VLOOKUP($A411,Orders[],MATCH(H$1,Orders[#Headers],0),FALSE),"CHECK")</f>
        <v>Plant 1 Canteen</v>
      </c>
      <c r="I411">
        <f>IFERROR(VLOOKUP(OrderLines[[#This Row],[OrderID]],Orders[],MATCH(OrderLines[[#Headers],[DiscountPct]],Orders[#Headers],0),FALSE),"CHECK")</f>
        <v>0.1</v>
      </c>
      <c r="J411" t="str">
        <f>IFERROR(VLOOKUP(OrderLines[[#This Row],[OrderID]],Orders[],MATCH(OrderLines[[#Headers],[Shift]],Orders[#Headers],0),FALSE),"CHECK")</f>
        <v>Breakfast</v>
      </c>
      <c r="K411" s="11">
        <f>OrderLines[[#This Row],[Qty]] * OrderLines[[#This Row],[UnitPrice]] * (1-OrderLines[[#This Row],[DiscountPct]])</f>
        <v>154.089</v>
      </c>
      <c r="L411">
        <f>OrderLines[[#This Row],[Qty]]*OrderLines[[#This Row],[UnitCost]]</f>
        <v>87.42</v>
      </c>
    </row>
    <row r="412" spans="1:12" x14ac:dyDescent="0.25">
      <c r="A412" t="s">
        <v>199</v>
      </c>
      <c r="B412" t="s">
        <v>417</v>
      </c>
      <c r="C412">
        <v>1</v>
      </c>
      <c r="D412" s="9">
        <f>IFERROR(VLOOKUP($B412,Menu[],MATCH(D$1,Menu[#Headers],0),FALSE),"CHECK")</f>
        <v>146.4</v>
      </c>
      <c r="E412" s="9">
        <f>IFERROR(VLOOKUP($B412,Menu[],MATCH(E$1,Menu[#Headers],0),FALSE),"CHECK")</f>
        <v>80.92</v>
      </c>
      <c r="F412" t="str">
        <f>IFERROR(VLOOKUP($B412,Menu[],MATCH(F$1,Menu[#Headers],0),FALSE),"CHECK")</f>
        <v>Hot Meal</v>
      </c>
      <c r="G412" s="7">
        <f>IFERROR(INT(VLOOKUP($A412,Orders[],MATCH("OrderDateTime",Orders[#Headers],0),FALSE)),"CHECK")</f>
        <v>45886</v>
      </c>
      <c r="H412" s="7" t="str">
        <f>IFERROR(VLOOKUP($A412,Orders[],MATCH(H$1,Orders[#Headers],0),FALSE),"CHECK")</f>
        <v>Plant 1 Canteen</v>
      </c>
      <c r="I412">
        <f>IFERROR(VLOOKUP(OrderLines[[#This Row],[OrderID]],Orders[],MATCH(OrderLines[[#Headers],[DiscountPct]],Orders[#Headers],0),FALSE),"CHECK")</f>
        <v>0.1</v>
      </c>
      <c r="J412" t="str">
        <f>IFERROR(VLOOKUP(OrderLines[[#This Row],[OrderID]],Orders[],MATCH(OrderLines[[#Headers],[Shift]],Orders[#Headers],0),FALSE),"CHECK")</f>
        <v>Breakfast</v>
      </c>
      <c r="K412" s="11">
        <f>OrderLines[[#This Row],[Qty]] * OrderLines[[#This Row],[UnitPrice]] * (1-OrderLines[[#This Row],[DiscountPct]])</f>
        <v>131.76000000000002</v>
      </c>
      <c r="L412">
        <f>OrderLines[[#This Row],[Qty]]*OrderLines[[#This Row],[UnitCost]]</f>
        <v>80.92</v>
      </c>
    </row>
    <row r="413" spans="1:12" x14ac:dyDescent="0.25">
      <c r="A413" t="s">
        <v>199</v>
      </c>
      <c r="B413" t="s">
        <v>413</v>
      </c>
      <c r="C413">
        <v>1</v>
      </c>
      <c r="D413" s="9">
        <f>IFERROR(VLOOKUP($B413,Menu[],MATCH(D$1,Menu[#Headers],0),FALSE),"CHECK")</f>
        <v>54.2</v>
      </c>
      <c r="E413" s="9">
        <f>IFERROR(VLOOKUP($B413,Menu[],MATCH(E$1,Menu[#Headers],0),FALSE),"CHECK")</f>
        <v>21.95</v>
      </c>
      <c r="F413" t="str">
        <f>IFERROR(VLOOKUP($B413,Menu[],MATCH(F$1,Menu[#Headers],0),FALSE),"CHECK")</f>
        <v>Dessert</v>
      </c>
      <c r="G413" s="7">
        <f>IFERROR(INT(VLOOKUP($A413,Orders[],MATCH("OrderDateTime",Orders[#Headers],0),FALSE)),"CHECK")</f>
        <v>45886</v>
      </c>
      <c r="H413" s="7" t="str">
        <f>IFERROR(VLOOKUP($A413,Orders[],MATCH(H$1,Orders[#Headers],0),FALSE),"CHECK")</f>
        <v>Plant 1 Canteen</v>
      </c>
      <c r="I413">
        <f>IFERROR(VLOOKUP(OrderLines[[#This Row],[OrderID]],Orders[],MATCH(OrderLines[[#Headers],[DiscountPct]],Orders[#Headers],0),FALSE),"CHECK")</f>
        <v>0.1</v>
      </c>
      <c r="J413" t="str">
        <f>IFERROR(VLOOKUP(OrderLines[[#This Row],[OrderID]],Orders[],MATCH(OrderLines[[#Headers],[Shift]],Orders[#Headers],0),FALSE),"CHECK")</f>
        <v>Breakfast</v>
      </c>
      <c r="K413" s="11">
        <f>OrderLines[[#This Row],[Qty]] * OrderLines[[#This Row],[UnitPrice]] * (1-OrderLines[[#This Row],[DiscountPct]])</f>
        <v>48.78</v>
      </c>
      <c r="L413">
        <f>OrderLines[[#This Row],[Qty]]*OrderLines[[#This Row],[UnitCost]]</f>
        <v>21.95</v>
      </c>
    </row>
    <row r="414" spans="1:12" x14ac:dyDescent="0.25">
      <c r="A414" t="s">
        <v>200</v>
      </c>
      <c r="B414" t="s">
        <v>415</v>
      </c>
      <c r="C414">
        <v>2</v>
      </c>
      <c r="D414" s="9">
        <f>IFERROR(VLOOKUP($B414,Menu[],MATCH(D$1,Menu[#Headers],0),FALSE),"CHECK")</f>
        <v>256.91000000000003</v>
      </c>
      <c r="E414" s="9">
        <f>IFERROR(VLOOKUP($B414,Menu[],MATCH(E$1,Menu[#Headers],0),FALSE),"CHECK")</f>
        <v>121.24</v>
      </c>
      <c r="F414" t="str">
        <f>IFERROR(VLOOKUP($B414,Menu[],MATCH(F$1,Menu[#Headers],0),FALSE),"CHECK")</f>
        <v>Hot Meal</v>
      </c>
      <c r="G414" s="7">
        <f>IFERROR(INT(VLOOKUP($A414,Orders[],MATCH("OrderDateTime",Orders[#Headers],0),FALSE)),"CHECK")</f>
        <v>45854</v>
      </c>
      <c r="H414" s="7" t="str">
        <f>IFERROR(VLOOKUP($A414,Orders[],MATCH(H$1,Orders[#Headers],0),FALSE),"CHECK")</f>
        <v>Plant 2 Canteen</v>
      </c>
      <c r="I414">
        <f>IFERROR(VLOOKUP(OrderLines[[#This Row],[OrderID]],Orders[],MATCH(OrderLines[[#Headers],[DiscountPct]],Orders[#Headers],0),FALSE),"CHECK")</f>
        <v>0</v>
      </c>
      <c r="J414" t="str">
        <f>IFERROR(VLOOKUP(OrderLines[[#This Row],[OrderID]],Orders[],MATCH(OrderLines[[#Headers],[Shift]],Orders[#Headers],0),FALSE),"CHECK")</f>
        <v>Lunch</v>
      </c>
      <c r="K414" s="11">
        <f>OrderLines[[#This Row],[Qty]] * OrderLines[[#This Row],[UnitPrice]] * (1-OrderLines[[#This Row],[DiscountPct]])</f>
        <v>513.82000000000005</v>
      </c>
      <c r="L414">
        <f>OrderLines[[#This Row],[Qty]]*OrderLines[[#This Row],[UnitCost]]</f>
        <v>242.48</v>
      </c>
    </row>
    <row r="415" spans="1:12" x14ac:dyDescent="0.25">
      <c r="A415" t="s">
        <v>200</v>
      </c>
      <c r="B415" t="s">
        <v>418</v>
      </c>
      <c r="C415">
        <v>3</v>
      </c>
      <c r="D415" s="9">
        <f>IFERROR(VLOOKUP($B415,Menu[],MATCH(D$1,Menu[#Headers],0),FALSE),"CHECK")</f>
        <v>39.950000000000003</v>
      </c>
      <c r="E415" s="9">
        <f>IFERROR(VLOOKUP($B415,Menu[],MATCH(E$1,Menu[#Headers],0),FALSE),"CHECK")</f>
        <v>15.51</v>
      </c>
      <c r="F415" t="str">
        <f>IFERROR(VLOOKUP($B415,Menu[],MATCH(F$1,Menu[#Headers],0),FALSE),"CHECK")</f>
        <v>Snack</v>
      </c>
      <c r="G415" s="7">
        <f>IFERROR(INT(VLOOKUP($A415,Orders[],MATCH("OrderDateTime",Orders[#Headers],0),FALSE)),"CHECK")</f>
        <v>45854</v>
      </c>
      <c r="H415" s="7" t="str">
        <f>IFERROR(VLOOKUP($A415,Orders[],MATCH(H$1,Orders[#Headers],0),FALSE),"CHECK")</f>
        <v>Plant 2 Canteen</v>
      </c>
      <c r="I415">
        <f>IFERROR(VLOOKUP(OrderLines[[#This Row],[OrderID]],Orders[],MATCH(OrderLines[[#Headers],[DiscountPct]],Orders[#Headers],0),FALSE),"CHECK")</f>
        <v>0</v>
      </c>
      <c r="J415" t="str">
        <f>IFERROR(VLOOKUP(OrderLines[[#This Row],[OrderID]],Orders[],MATCH(OrderLines[[#Headers],[Shift]],Orders[#Headers],0),FALSE),"CHECK")</f>
        <v>Lunch</v>
      </c>
      <c r="K415" s="11">
        <f>OrderLines[[#This Row],[Qty]] * OrderLines[[#This Row],[UnitPrice]] * (1-OrderLines[[#This Row],[DiscountPct]])</f>
        <v>119.85000000000001</v>
      </c>
      <c r="L415">
        <f>OrderLines[[#This Row],[Qty]]*OrderLines[[#This Row],[UnitCost]]</f>
        <v>46.53</v>
      </c>
    </row>
    <row r="416" spans="1:12" x14ac:dyDescent="0.25">
      <c r="A416" t="s">
        <v>201</v>
      </c>
      <c r="B416" t="s">
        <v>408</v>
      </c>
      <c r="C416">
        <v>2</v>
      </c>
      <c r="D416" s="9">
        <f>IFERROR(VLOOKUP($B416,Menu[],MATCH(D$1,Menu[#Headers],0),FALSE),"CHECK")</f>
        <v>70.540000000000006</v>
      </c>
      <c r="E416" s="9">
        <f>IFERROR(VLOOKUP($B416,Menu[],MATCH(E$1,Menu[#Headers],0),FALSE),"CHECK")</f>
        <v>35.81</v>
      </c>
      <c r="F416" t="str">
        <f>IFERROR(VLOOKUP($B416,Menu[],MATCH(F$1,Menu[#Headers],0),FALSE),"CHECK")</f>
        <v>Snack</v>
      </c>
      <c r="G416" s="7">
        <f>IFERROR(INT(VLOOKUP($A416,Orders[],MATCH("OrderDateTime",Orders[#Headers],0),FALSE)),"CHECK")</f>
        <v>45878</v>
      </c>
      <c r="H416" s="7" t="str">
        <f>IFERROR(VLOOKUP($A416,Orders[],MATCH(H$1,Orders[#Headers],0),FALSE),"CHECK")</f>
        <v>Plant 1 Canteen</v>
      </c>
      <c r="I416">
        <f>IFERROR(VLOOKUP(OrderLines[[#This Row],[OrderID]],Orders[],MATCH(OrderLines[[#Headers],[DiscountPct]],Orders[#Headers],0),FALSE),"CHECK")</f>
        <v>0.02</v>
      </c>
      <c r="J416" t="str">
        <f>IFERROR(VLOOKUP(OrderLines[[#This Row],[OrderID]],Orders[],MATCH(OrderLines[[#Headers],[Shift]],Orders[#Headers],0),FALSE),"CHECK")</f>
        <v>Dinner</v>
      </c>
      <c r="K416" s="11">
        <f>OrderLines[[#This Row],[Qty]] * OrderLines[[#This Row],[UnitPrice]] * (1-OrderLines[[#This Row],[DiscountPct]])</f>
        <v>138.25840000000002</v>
      </c>
      <c r="L416">
        <f>OrderLines[[#This Row],[Qty]]*OrderLines[[#This Row],[UnitCost]]</f>
        <v>71.62</v>
      </c>
    </row>
    <row r="417" spans="1:12" x14ac:dyDescent="0.25">
      <c r="A417" t="s">
        <v>201</v>
      </c>
      <c r="B417" t="s">
        <v>412</v>
      </c>
      <c r="C417">
        <v>1</v>
      </c>
      <c r="D417" s="9">
        <f>IFERROR(VLOOKUP($B417,Menu[],MATCH(D$1,Menu[#Headers],0),FALSE),"CHECK")</f>
        <v>57.07</v>
      </c>
      <c r="E417" s="9">
        <f>IFERROR(VLOOKUP($B417,Menu[],MATCH(E$1,Menu[#Headers],0),FALSE),"CHECK")</f>
        <v>29.14</v>
      </c>
      <c r="F417" t="str">
        <f>IFERROR(VLOOKUP($B417,Menu[],MATCH(F$1,Menu[#Headers],0),FALSE),"CHECK")</f>
        <v>Dessert</v>
      </c>
      <c r="G417" s="7">
        <f>IFERROR(INT(VLOOKUP($A417,Orders[],MATCH("OrderDateTime",Orders[#Headers],0),FALSE)),"CHECK")</f>
        <v>45878</v>
      </c>
      <c r="H417" s="7" t="str">
        <f>IFERROR(VLOOKUP($A417,Orders[],MATCH(H$1,Orders[#Headers],0),FALSE),"CHECK")</f>
        <v>Plant 1 Canteen</v>
      </c>
      <c r="I417">
        <f>IFERROR(VLOOKUP(OrderLines[[#This Row],[OrderID]],Orders[],MATCH(OrderLines[[#Headers],[DiscountPct]],Orders[#Headers],0),FALSE),"CHECK")</f>
        <v>0.02</v>
      </c>
      <c r="J417" t="str">
        <f>IFERROR(VLOOKUP(OrderLines[[#This Row],[OrderID]],Orders[],MATCH(OrderLines[[#Headers],[Shift]],Orders[#Headers],0),FALSE),"CHECK")</f>
        <v>Dinner</v>
      </c>
      <c r="K417" s="11">
        <f>OrderLines[[#This Row],[Qty]] * OrderLines[[#This Row],[UnitPrice]] * (1-OrderLines[[#This Row],[DiscountPct]])</f>
        <v>55.928599999999996</v>
      </c>
      <c r="L417">
        <f>OrderLines[[#This Row],[Qty]]*OrderLines[[#This Row],[UnitCost]]</f>
        <v>29.14</v>
      </c>
    </row>
    <row r="418" spans="1:12" x14ac:dyDescent="0.25">
      <c r="A418" t="s">
        <v>202</v>
      </c>
      <c r="B418" t="s">
        <v>411</v>
      </c>
      <c r="C418">
        <v>1</v>
      </c>
      <c r="D418" s="9">
        <f>IFERROR(VLOOKUP($B418,Menu[],MATCH(D$1,Menu[#Headers],0),FALSE),"CHECK")</f>
        <v>22.2</v>
      </c>
      <c r="E418" s="9">
        <f>IFERROR(VLOOKUP($B418,Menu[],MATCH(E$1,Menu[#Headers],0),FALSE),"CHECK")</f>
        <v>9.3800000000000008</v>
      </c>
      <c r="F418" t="str">
        <f>IFERROR(VLOOKUP($B418,Menu[],MATCH(F$1,Menu[#Headers],0),FALSE),"CHECK")</f>
        <v>Beverage</v>
      </c>
      <c r="G418" s="7">
        <f>IFERROR(INT(VLOOKUP($A418,Orders[],MATCH("OrderDateTime",Orders[#Headers],0),FALSE)),"CHECK")</f>
        <v>45850</v>
      </c>
      <c r="H418" s="7" t="str">
        <f>IFERROR(VLOOKUP($A418,Orders[],MATCH(H$1,Orders[#Headers],0),FALSE),"CHECK")</f>
        <v>Head Office Café</v>
      </c>
      <c r="I418">
        <f>IFERROR(VLOOKUP(OrderLines[[#This Row],[OrderID]],Orders[],MATCH(OrderLines[[#Headers],[DiscountPct]],Orders[#Headers],0),FALSE),"CHECK")</f>
        <v>0.08</v>
      </c>
      <c r="J418" t="str">
        <f>IFERROR(VLOOKUP(OrderLines[[#This Row],[OrderID]],Orders[],MATCH(OrderLines[[#Headers],[Shift]],Orders[#Headers],0),FALSE),"CHECK")</f>
        <v>Lunch</v>
      </c>
      <c r="K418" s="11">
        <f>OrderLines[[#This Row],[Qty]] * OrderLines[[#This Row],[UnitPrice]] * (1-OrderLines[[#This Row],[DiscountPct]])</f>
        <v>20.423999999999999</v>
      </c>
      <c r="L418">
        <f>OrderLines[[#This Row],[Qty]]*OrderLines[[#This Row],[UnitCost]]</f>
        <v>9.3800000000000008</v>
      </c>
    </row>
    <row r="419" spans="1:12" x14ac:dyDescent="0.25">
      <c r="A419" t="s">
        <v>202</v>
      </c>
      <c r="B419" t="s">
        <v>404</v>
      </c>
      <c r="C419">
        <v>2</v>
      </c>
      <c r="D419" s="9">
        <f>IFERROR(VLOOKUP($B419,Menu[],MATCH(D$1,Menu[#Headers],0),FALSE),"CHECK")</f>
        <v>32.979999999999997</v>
      </c>
      <c r="E419" s="9">
        <f>IFERROR(VLOOKUP($B419,Menu[],MATCH(E$1,Menu[#Headers],0),FALSE),"CHECK")</f>
        <v>11.84</v>
      </c>
      <c r="F419" t="str">
        <f>IFERROR(VLOOKUP($B419,Menu[],MATCH(F$1,Menu[#Headers],0),FALSE),"CHECK")</f>
        <v>Beverage</v>
      </c>
      <c r="G419" s="7">
        <f>IFERROR(INT(VLOOKUP($A419,Orders[],MATCH("OrderDateTime",Orders[#Headers],0),FALSE)),"CHECK")</f>
        <v>45850</v>
      </c>
      <c r="H419" s="7" t="str">
        <f>IFERROR(VLOOKUP($A419,Orders[],MATCH(H$1,Orders[#Headers],0),FALSE),"CHECK")</f>
        <v>Head Office Café</v>
      </c>
      <c r="I419">
        <f>IFERROR(VLOOKUP(OrderLines[[#This Row],[OrderID]],Orders[],MATCH(OrderLines[[#Headers],[DiscountPct]],Orders[#Headers],0),FALSE),"CHECK")</f>
        <v>0.08</v>
      </c>
      <c r="J419" t="str">
        <f>IFERROR(VLOOKUP(OrderLines[[#This Row],[OrderID]],Orders[],MATCH(OrderLines[[#Headers],[Shift]],Orders[#Headers],0),FALSE),"CHECK")</f>
        <v>Lunch</v>
      </c>
      <c r="K419" s="11">
        <f>OrderLines[[#This Row],[Qty]] * OrderLines[[#This Row],[UnitPrice]] * (1-OrderLines[[#This Row],[DiscountPct]])</f>
        <v>60.683199999999999</v>
      </c>
      <c r="L419">
        <f>OrderLines[[#This Row],[Qty]]*OrderLines[[#This Row],[UnitCost]]</f>
        <v>23.68</v>
      </c>
    </row>
    <row r="420" spans="1:12" x14ac:dyDescent="0.25">
      <c r="A420" t="s">
        <v>202</v>
      </c>
      <c r="B420" t="s">
        <v>408</v>
      </c>
      <c r="C420">
        <v>1</v>
      </c>
      <c r="D420" s="9">
        <f>IFERROR(VLOOKUP($B420,Menu[],MATCH(D$1,Menu[#Headers],0),FALSE),"CHECK")</f>
        <v>70.540000000000006</v>
      </c>
      <c r="E420" s="9">
        <f>IFERROR(VLOOKUP($B420,Menu[],MATCH(E$1,Menu[#Headers],0),FALSE),"CHECK")</f>
        <v>35.81</v>
      </c>
      <c r="F420" t="str">
        <f>IFERROR(VLOOKUP($B420,Menu[],MATCH(F$1,Menu[#Headers],0),FALSE),"CHECK")</f>
        <v>Snack</v>
      </c>
      <c r="G420" s="7">
        <f>IFERROR(INT(VLOOKUP($A420,Orders[],MATCH("OrderDateTime",Orders[#Headers],0),FALSE)),"CHECK")</f>
        <v>45850</v>
      </c>
      <c r="H420" s="7" t="str">
        <f>IFERROR(VLOOKUP($A420,Orders[],MATCH(H$1,Orders[#Headers],0),FALSE),"CHECK")</f>
        <v>Head Office Café</v>
      </c>
      <c r="I420">
        <f>IFERROR(VLOOKUP(OrderLines[[#This Row],[OrderID]],Orders[],MATCH(OrderLines[[#Headers],[DiscountPct]],Orders[#Headers],0),FALSE),"CHECK")</f>
        <v>0.08</v>
      </c>
      <c r="J420" t="str">
        <f>IFERROR(VLOOKUP(OrderLines[[#This Row],[OrderID]],Orders[],MATCH(OrderLines[[#Headers],[Shift]],Orders[#Headers],0),FALSE),"CHECK")</f>
        <v>Lunch</v>
      </c>
      <c r="K420" s="11">
        <f>OrderLines[[#This Row],[Qty]] * OrderLines[[#This Row],[UnitPrice]] * (1-OrderLines[[#This Row],[DiscountPct]])</f>
        <v>64.896800000000013</v>
      </c>
      <c r="L420">
        <f>OrderLines[[#This Row],[Qty]]*OrderLines[[#This Row],[UnitCost]]</f>
        <v>35.81</v>
      </c>
    </row>
    <row r="421" spans="1:12" x14ac:dyDescent="0.25">
      <c r="A421" t="s">
        <v>203</v>
      </c>
      <c r="B421" t="s">
        <v>404</v>
      </c>
      <c r="C421">
        <v>3</v>
      </c>
      <c r="D421" s="9">
        <f>IFERROR(VLOOKUP($B421,Menu[],MATCH(D$1,Menu[#Headers],0),FALSE),"CHECK")</f>
        <v>32.979999999999997</v>
      </c>
      <c r="E421" s="9">
        <f>IFERROR(VLOOKUP($B421,Menu[],MATCH(E$1,Menu[#Headers],0),FALSE),"CHECK")</f>
        <v>11.84</v>
      </c>
      <c r="F421" t="str">
        <f>IFERROR(VLOOKUP($B421,Menu[],MATCH(F$1,Menu[#Headers],0),FALSE),"CHECK")</f>
        <v>Beverage</v>
      </c>
      <c r="G421" s="7">
        <f>IFERROR(INT(VLOOKUP($A421,Orders[],MATCH("OrderDateTime",Orders[#Headers],0),FALSE)),"CHECK")</f>
        <v>45888</v>
      </c>
      <c r="H421" s="7" t="str">
        <f>IFERROR(VLOOKUP($A421,Orders[],MATCH(H$1,Orders[#Headers],0),FALSE),"CHECK")</f>
        <v>Head Office Café</v>
      </c>
      <c r="I421">
        <f>IFERROR(VLOOKUP(OrderLines[[#This Row],[OrderID]],Orders[],MATCH(OrderLines[[#Headers],[DiscountPct]],Orders[#Headers],0),FALSE),"CHECK")</f>
        <v>0.08</v>
      </c>
      <c r="J421" t="str">
        <f>IFERROR(VLOOKUP(OrderLines[[#This Row],[OrderID]],Orders[],MATCH(OrderLines[[#Headers],[Shift]],Orders[#Headers],0),FALSE),"CHECK")</f>
        <v>Lunch</v>
      </c>
      <c r="K421" s="11">
        <f>OrderLines[[#This Row],[Qty]] * OrderLines[[#This Row],[UnitPrice]] * (1-OrderLines[[#This Row],[DiscountPct]])</f>
        <v>91.024799999999999</v>
      </c>
      <c r="L421">
        <f>OrderLines[[#This Row],[Qty]]*OrderLines[[#This Row],[UnitCost]]</f>
        <v>35.519999999999996</v>
      </c>
    </row>
    <row r="422" spans="1:12" x14ac:dyDescent="0.25">
      <c r="A422" t="s">
        <v>204</v>
      </c>
      <c r="B422" t="s">
        <v>410</v>
      </c>
      <c r="C422">
        <v>2</v>
      </c>
      <c r="D422" s="9">
        <f>IFERROR(VLOOKUP($B422,Menu[],MATCH(D$1,Menu[#Headers],0),FALSE),"CHECK")</f>
        <v>20.11</v>
      </c>
      <c r="E422" s="9">
        <f>IFERROR(VLOOKUP($B422,Menu[],MATCH(E$1,Menu[#Headers],0),FALSE),"CHECK")</f>
        <v>8</v>
      </c>
      <c r="F422" t="str">
        <f>IFERROR(VLOOKUP($B422,Menu[],MATCH(F$1,Menu[#Headers],0),FALSE),"CHECK")</f>
        <v>Beverage</v>
      </c>
      <c r="G422" s="7">
        <f>IFERROR(INT(VLOOKUP($A422,Orders[],MATCH("OrderDateTime",Orders[#Headers],0),FALSE)),"CHECK")</f>
        <v>45885</v>
      </c>
      <c r="H422" s="7" t="str">
        <f>IFERROR(VLOOKUP($A422,Orders[],MATCH(H$1,Orders[#Headers],0),FALSE),"CHECK")</f>
        <v>Plant 1 Canteen</v>
      </c>
      <c r="I422">
        <f>IFERROR(VLOOKUP(OrderLines[[#This Row],[OrderID]],Orders[],MATCH(OrderLines[[#Headers],[DiscountPct]],Orders[#Headers],0),FALSE),"CHECK")</f>
        <v>0.08</v>
      </c>
      <c r="J422" t="str">
        <f>IFERROR(VLOOKUP(OrderLines[[#This Row],[OrderID]],Orders[],MATCH(OrderLines[[#Headers],[Shift]],Orders[#Headers],0),FALSE),"CHECK")</f>
        <v>Breakfast</v>
      </c>
      <c r="K422" s="11">
        <f>OrderLines[[#This Row],[Qty]] * OrderLines[[#This Row],[UnitPrice]] * (1-OrderLines[[#This Row],[DiscountPct]])</f>
        <v>37.002400000000002</v>
      </c>
      <c r="L422">
        <f>OrderLines[[#This Row],[Qty]]*OrderLines[[#This Row],[UnitCost]]</f>
        <v>16</v>
      </c>
    </row>
    <row r="423" spans="1:12" x14ac:dyDescent="0.25">
      <c r="A423" t="s">
        <v>205</v>
      </c>
      <c r="B423" t="s">
        <v>417</v>
      </c>
      <c r="C423">
        <v>2</v>
      </c>
      <c r="D423" s="9">
        <f>IFERROR(VLOOKUP($B423,Menu[],MATCH(D$1,Menu[#Headers],0),FALSE),"CHECK")</f>
        <v>146.4</v>
      </c>
      <c r="E423" s="9">
        <f>IFERROR(VLOOKUP($B423,Menu[],MATCH(E$1,Menu[#Headers],0),FALSE),"CHECK")</f>
        <v>80.92</v>
      </c>
      <c r="F423" t="str">
        <f>IFERROR(VLOOKUP($B423,Menu[],MATCH(F$1,Menu[#Headers],0),FALSE),"CHECK")</f>
        <v>Hot Meal</v>
      </c>
      <c r="G423" s="7">
        <f>IFERROR(INT(VLOOKUP($A423,Orders[],MATCH("OrderDateTime",Orders[#Headers],0),FALSE)),"CHECK")</f>
        <v>45876</v>
      </c>
      <c r="H423" s="7" t="str">
        <f>IFERROR(VLOOKUP($A423,Orders[],MATCH(H$1,Orders[#Headers],0),FALSE),"CHECK")</f>
        <v>Plant 1 Canteen</v>
      </c>
      <c r="I423">
        <f>IFERROR(VLOOKUP(OrderLines[[#This Row],[OrderID]],Orders[],MATCH(OrderLines[[#Headers],[DiscountPct]],Orders[#Headers],0),FALSE),"CHECK")</f>
        <v>0.21</v>
      </c>
      <c r="J423" t="str">
        <f>IFERROR(VLOOKUP(OrderLines[[#This Row],[OrderID]],Orders[],MATCH(OrderLines[[#Headers],[Shift]],Orders[#Headers],0),FALSE),"CHECK")</f>
        <v>Lunch</v>
      </c>
      <c r="K423" s="11">
        <f>OrderLines[[#This Row],[Qty]] * OrderLines[[#This Row],[UnitPrice]] * (1-OrderLines[[#This Row],[DiscountPct]])</f>
        <v>231.31200000000001</v>
      </c>
      <c r="L423">
        <f>OrderLines[[#This Row],[Qty]]*OrderLines[[#This Row],[UnitCost]]</f>
        <v>161.84</v>
      </c>
    </row>
    <row r="424" spans="1:12" x14ac:dyDescent="0.25">
      <c r="A424" t="s">
        <v>205</v>
      </c>
      <c r="B424" t="s">
        <v>419</v>
      </c>
      <c r="C424">
        <v>1</v>
      </c>
      <c r="D424" s="9">
        <f>IFERROR(VLOOKUP($B424,Menu[],MATCH(D$1,Menu[#Headers],0),FALSE),"CHECK")</f>
        <v>50.19</v>
      </c>
      <c r="E424" s="9">
        <f>IFERROR(VLOOKUP($B424,Menu[],MATCH(E$1,Menu[#Headers],0),FALSE),"CHECK")</f>
        <v>22.61</v>
      </c>
      <c r="F424" t="str">
        <f>IFERROR(VLOOKUP($B424,Menu[],MATCH(F$1,Menu[#Headers],0),FALSE),"CHECK")</f>
        <v>Snack</v>
      </c>
      <c r="G424" s="7">
        <f>IFERROR(INT(VLOOKUP($A424,Orders[],MATCH("OrderDateTime",Orders[#Headers],0),FALSE)),"CHECK")</f>
        <v>45876</v>
      </c>
      <c r="H424" s="7" t="str">
        <f>IFERROR(VLOOKUP($A424,Orders[],MATCH(H$1,Orders[#Headers],0),FALSE),"CHECK")</f>
        <v>Plant 1 Canteen</v>
      </c>
      <c r="I424">
        <f>IFERROR(VLOOKUP(OrderLines[[#This Row],[OrderID]],Orders[],MATCH(OrderLines[[#Headers],[DiscountPct]],Orders[#Headers],0),FALSE),"CHECK")</f>
        <v>0.21</v>
      </c>
      <c r="J424" t="str">
        <f>IFERROR(VLOOKUP(OrderLines[[#This Row],[OrderID]],Orders[],MATCH(OrderLines[[#Headers],[Shift]],Orders[#Headers],0),FALSE),"CHECK")</f>
        <v>Lunch</v>
      </c>
      <c r="K424" s="11">
        <f>OrderLines[[#This Row],[Qty]] * OrderLines[[#This Row],[UnitPrice]] * (1-OrderLines[[#This Row],[DiscountPct]])</f>
        <v>39.650100000000002</v>
      </c>
      <c r="L424">
        <f>OrderLines[[#This Row],[Qty]]*OrderLines[[#This Row],[UnitCost]]</f>
        <v>22.61</v>
      </c>
    </row>
    <row r="425" spans="1:12" x14ac:dyDescent="0.25">
      <c r="A425" t="s">
        <v>205</v>
      </c>
      <c r="B425" t="s">
        <v>403</v>
      </c>
      <c r="C425">
        <v>1</v>
      </c>
      <c r="D425" s="9">
        <f>IFERROR(VLOOKUP($B425,Menu[],MATCH(D$1,Menu[#Headers],0),FALSE),"CHECK")</f>
        <v>76.55</v>
      </c>
      <c r="E425" s="9">
        <f>IFERROR(VLOOKUP($B425,Menu[],MATCH(E$1,Menu[#Headers],0),FALSE),"CHECK")</f>
        <v>38.229999999999997</v>
      </c>
      <c r="F425" t="str">
        <f>IFERROR(VLOOKUP($B425,Menu[],MATCH(F$1,Menu[#Headers],0),FALSE),"CHECK")</f>
        <v>Dessert</v>
      </c>
      <c r="G425" s="7">
        <f>IFERROR(INT(VLOOKUP($A425,Orders[],MATCH("OrderDateTime",Orders[#Headers],0),FALSE)),"CHECK")</f>
        <v>45876</v>
      </c>
      <c r="H425" s="7" t="str">
        <f>IFERROR(VLOOKUP($A425,Orders[],MATCH(H$1,Orders[#Headers],0),FALSE),"CHECK")</f>
        <v>Plant 1 Canteen</v>
      </c>
      <c r="I425">
        <f>IFERROR(VLOOKUP(OrderLines[[#This Row],[OrderID]],Orders[],MATCH(OrderLines[[#Headers],[DiscountPct]],Orders[#Headers],0),FALSE),"CHECK")</f>
        <v>0.21</v>
      </c>
      <c r="J425" t="str">
        <f>IFERROR(VLOOKUP(OrderLines[[#This Row],[OrderID]],Orders[],MATCH(OrderLines[[#Headers],[Shift]],Orders[#Headers],0),FALSE),"CHECK")</f>
        <v>Lunch</v>
      </c>
      <c r="K425" s="11">
        <f>OrderLines[[#This Row],[Qty]] * OrderLines[[#This Row],[UnitPrice]] * (1-OrderLines[[#This Row],[DiscountPct]])</f>
        <v>60.474499999999999</v>
      </c>
      <c r="L425">
        <f>OrderLines[[#This Row],[Qty]]*OrderLines[[#This Row],[UnitCost]]</f>
        <v>38.229999999999997</v>
      </c>
    </row>
    <row r="426" spans="1:12" x14ac:dyDescent="0.25">
      <c r="A426" t="s">
        <v>206</v>
      </c>
      <c r="B426" t="s">
        <v>412</v>
      </c>
      <c r="C426">
        <v>1</v>
      </c>
      <c r="D426" s="9">
        <f>IFERROR(VLOOKUP($B426,Menu[],MATCH(D$1,Menu[#Headers],0),FALSE),"CHECK")</f>
        <v>57.07</v>
      </c>
      <c r="E426" s="9">
        <f>IFERROR(VLOOKUP($B426,Menu[],MATCH(E$1,Menu[#Headers],0),FALSE),"CHECK")</f>
        <v>29.14</v>
      </c>
      <c r="F426" t="str">
        <f>IFERROR(VLOOKUP($B426,Menu[],MATCH(F$1,Menu[#Headers],0),FALSE),"CHECK")</f>
        <v>Dessert</v>
      </c>
      <c r="G426" s="7">
        <f>IFERROR(INT(VLOOKUP($A426,Orders[],MATCH("OrderDateTime",Orders[#Headers],0),FALSE)),"CHECK")</f>
        <v>45846</v>
      </c>
      <c r="H426" s="7" t="str">
        <f>IFERROR(VLOOKUP($A426,Orders[],MATCH(H$1,Orders[#Headers],0),FALSE),"CHECK")</f>
        <v>Plant 2 Canteen</v>
      </c>
      <c r="I426">
        <f>IFERROR(VLOOKUP(OrderLines[[#This Row],[OrderID]],Orders[],MATCH(OrderLines[[#Headers],[DiscountPct]],Orders[#Headers],0),FALSE),"CHECK")</f>
        <v>0.08</v>
      </c>
      <c r="J426" t="str">
        <f>IFERROR(VLOOKUP(OrderLines[[#This Row],[OrderID]],Orders[],MATCH(OrderLines[[#Headers],[Shift]],Orders[#Headers],0),FALSE),"CHECK")</f>
        <v>Breakfast</v>
      </c>
      <c r="K426" s="11">
        <f>OrderLines[[#This Row],[Qty]] * OrderLines[[#This Row],[UnitPrice]] * (1-OrderLines[[#This Row],[DiscountPct]])</f>
        <v>52.504400000000004</v>
      </c>
      <c r="L426">
        <f>OrderLines[[#This Row],[Qty]]*OrderLines[[#This Row],[UnitCost]]</f>
        <v>29.14</v>
      </c>
    </row>
    <row r="427" spans="1:12" x14ac:dyDescent="0.25">
      <c r="A427" t="s">
        <v>206</v>
      </c>
      <c r="B427" t="s">
        <v>404</v>
      </c>
      <c r="C427">
        <v>1</v>
      </c>
      <c r="D427" s="9">
        <f>IFERROR(VLOOKUP($B427,Menu[],MATCH(D$1,Menu[#Headers],0),FALSE),"CHECK")</f>
        <v>32.979999999999997</v>
      </c>
      <c r="E427" s="9">
        <f>IFERROR(VLOOKUP($B427,Menu[],MATCH(E$1,Menu[#Headers],0),FALSE),"CHECK")</f>
        <v>11.84</v>
      </c>
      <c r="F427" t="str">
        <f>IFERROR(VLOOKUP($B427,Menu[],MATCH(F$1,Menu[#Headers],0),FALSE),"CHECK")</f>
        <v>Beverage</v>
      </c>
      <c r="G427" s="7">
        <f>IFERROR(INT(VLOOKUP($A427,Orders[],MATCH("OrderDateTime",Orders[#Headers],0),FALSE)),"CHECK")</f>
        <v>45846</v>
      </c>
      <c r="H427" s="7" t="str">
        <f>IFERROR(VLOOKUP($A427,Orders[],MATCH(H$1,Orders[#Headers],0),FALSE),"CHECK")</f>
        <v>Plant 2 Canteen</v>
      </c>
      <c r="I427">
        <f>IFERROR(VLOOKUP(OrderLines[[#This Row],[OrderID]],Orders[],MATCH(OrderLines[[#Headers],[DiscountPct]],Orders[#Headers],0),FALSE),"CHECK")</f>
        <v>0.08</v>
      </c>
      <c r="J427" t="str">
        <f>IFERROR(VLOOKUP(OrderLines[[#This Row],[OrderID]],Orders[],MATCH(OrderLines[[#Headers],[Shift]],Orders[#Headers],0),FALSE),"CHECK")</f>
        <v>Breakfast</v>
      </c>
      <c r="K427" s="11">
        <f>OrderLines[[#This Row],[Qty]] * OrderLines[[#This Row],[UnitPrice]] * (1-OrderLines[[#This Row],[DiscountPct]])</f>
        <v>30.3416</v>
      </c>
      <c r="L427">
        <f>OrderLines[[#This Row],[Qty]]*OrderLines[[#This Row],[UnitCost]]</f>
        <v>11.84</v>
      </c>
    </row>
    <row r="428" spans="1:12" x14ac:dyDescent="0.25">
      <c r="A428" t="s">
        <v>206</v>
      </c>
      <c r="B428" t="s">
        <v>416</v>
      </c>
      <c r="C428">
        <v>1</v>
      </c>
      <c r="D428" s="9">
        <f>IFERROR(VLOOKUP($B428,Menu[],MATCH(D$1,Menu[#Headers],0),FALSE),"CHECK")</f>
        <v>227.61</v>
      </c>
      <c r="E428" s="9">
        <f>IFERROR(VLOOKUP($B428,Menu[],MATCH(E$1,Menu[#Headers],0),FALSE),"CHECK")</f>
        <v>96.22</v>
      </c>
      <c r="F428" t="str">
        <f>IFERROR(VLOOKUP($B428,Menu[],MATCH(F$1,Menu[#Headers],0),FALSE),"CHECK")</f>
        <v>Hot Meal</v>
      </c>
      <c r="G428" s="7">
        <f>IFERROR(INT(VLOOKUP($A428,Orders[],MATCH("OrderDateTime",Orders[#Headers],0),FALSE)),"CHECK")</f>
        <v>45846</v>
      </c>
      <c r="H428" s="7" t="str">
        <f>IFERROR(VLOOKUP($A428,Orders[],MATCH(H$1,Orders[#Headers],0),FALSE),"CHECK")</f>
        <v>Plant 2 Canteen</v>
      </c>
      <c r="I428">
        <f>IFERROR(VLOOKUP(OrderLines[[#This Row],[OrderID]],Orders[],MATCH(OrderLines[[#Headers],[DiscountPct]],Orders[#Headers],0),FALSE),"CHECK")</f>
        <v>0.08</v>
      </c>
      <c r="J428" t="str">
        <f>IFERROR(VLOOKUP(OrderLines[[#This Row],[OrderID]],Orders[],MATCH(OrderLines[[#Headers],[Shift]],Orders[#Headers],0),FALSE),"CHECK")</f>
        <v>Breakfast</v>
      </c>
      <c r="K428" s="11">
        <f>OrderLines[[#This Row],[Qty]] * OrderLines[[#This Row],[UnitPrice]] * (1-OrderLines[[#This Row],[DiscountPct]])</f>
        <v>209.40120000000002</v>
      </c>
      <c r="L428">
        <f>OrderLines[[#This Row],[Qty]]*OrderLines[[#This Row],[UnitCost]]</f>
        <v>96.22</v>
      </c>
    </row>
    <row r="429" spans="1:12" x14ac:dyDescent="0.25">
      <c r="A429" t="s">
        <v>206</v>
      </c>
      <c r="B429" t="s">
        <v>409</v>
      </c>
      <c r="C429">
        <v>1</v>
      </c>
      <c r="D429" s="9">
        <f>IFERROR(VLOOKUP($B429,Menu[],MATCH(D$1,Menu[#Headers],0),FALSE),"CHECK")</f>
        <v>28.43</v>
      </c>
      <c r="E429" s="9">
        <f>IFERROR(VLOOKUP($B429,Menu[],MATCH(E$1,Menu[#Headers],0),FALSE),"CHECK")</f>
        <v>13.89</v>
      </c>
      <c r="F429" t="str">
        <f>IFERROR(VLOOKUP($B429,Menu[],MATCH(F$1,Menu[#Headers],0),FALSE),"CHECK")</f>
        <v>Beverage</v>
      </c>
      <c r="G429" s="7">
        <f>IFERROR(INT(VLOOKUP($A429,Orders[],MATCH("OrderDateTime",Orders[#Headers],0),FALSE)),"CHECK")</f>
        <v>45846</v>
      </c>
      <c r="H429" s="7" t="str">
        <f>IFERROR(VLOOKUP($A429,Orders[],MATCH(H$1,Orders[#Headers],0),FALSE),"CHECK")</f>
        <v>Plant 2 Canteen</v>
      </c>
      <c r="I429">
        <f>IFERROR(VLOOKUP(OrderLines[[#This Row],[OrderID]],Orders[],MATCH(OrderLines[[#Headers],[DiscountPct]],Orders[#Headers],0),FALSE),"CHECK")</f>
        <v>0.08</v>
      </c>
      <c r="J429" t="str">
        <f>IFERROR(VLOOKUP(OrderLines[[#This Row],[OrderID]],Orders[],MATCH(OrderLines[[#Headers],[Shift]],Orders[#Headers],0),FALSE),"CHECK")</f>
        <v>Breakfast</v>
      </c>
      <c r="K429" s="11">
        <f>OrderLines[[#This Row],[Qty]] * OrderLines[[#This Row],[UnitPrice]] * (1-OrderLines[[#This Row],[DiscountPct]])</f>
        <v>26.1556</v>
      </c>
      <c r="L429">
        <f>OrderLines[[#This Row],[Qty]]*OrderLines[[#This Row],[UnitCost]]</f>
        <v>13.89</v>
      </c>
    </row>
    <row r="430" spans="1:12" x14ac:dyDescent="0.25">
      <c r="A430" t="s">
        <v>207</v>
      </c>
      <c r="B430" t="s">
        <v>406</v>
      </c>
      <c r="C430">
        <v>1</v>
      </c>
      <c r="D430" s="9">
        <f>IFERROR(VLOOKUP($B430,Menu[],MATCH(D$1,Menu[#Headers],0),FALSE),"CHECK")</f>
        <v>38.06</v>
      </c>
      <c r="E430" s="9">
        <f>IFERROR(VLOOKUP($B430,Menu[],MATCH(E$1,Menu[#Headers],0),FALSE),"CHECK")</f>
        <v>19.55</v>
      </c>
      <c r="F430" t="str">
        <f>IFERROR(VLOOKUP($B430,Menu[],MATCH(F$1,Menu[#Headers],0),FALSE),"CHECK")</f>
        <v>Snack</v>
      </c>
      <c r="G430" s="7">
        <f>IFERROR(INT(VLOOKUP($A430,Orders[],MATCH("OrderDateTime",Orders[#Headers],0),FALSE)),"CHECK")</f>
        <v>45865</v>
      </c>
      <c r="H430" s="7" t="str">
        <f>IFERROR(VLOOKUP($A430,Orders[],MATCH(H$1,Orders[#Headers],0),FALSE),"CHECK")</f>
        <v>Plant 1 Canteen</v>
      </c>
      <c r="I430">
        <f>IFERROR(VLOOKUP(OrderLines[[#This Row],[OrderID]],Orders[],MATCH(OrderLines[[#Headers],[DiscountPct]],Orders[#Headers],0),FALSE),"CHECK")</f>
        <v>0.11</v>
      </c>
      <c r="J430" t="str">
        <f>IFERROR(VLOOKUP(OrderLines[[#This Row],[OrderID]],Orders[],MATCH(OrderLines[[#Headers],[Shift]],Orders[#Headers],0),FALSE),"CHECK")</f>
        <v>Breakfast</v>
      </c>
      <c r="K430" s="11">
        <f>OrderLines[[#This Row],[Qty]] * OrderLines[[#This Row],[UnitPrice]] * (1-OrderLines[[#This Row],[DiscountPct]])</f>
        <v>33.873400000000004</v>
      </c>
      <c r="L430">
        <f>OrderLines[[#This Row],[Qty]]*OrderLines[[#This Row],[UnitCost]]</f>
        <v>19.55</v>
      </c>
    </row>
    <row r="431" spans="1:12" x14ac:dyDescent="0.25">
      <c r="A431" t="s">
        <v>207</v>
      </c>
      <c r="B431" t="s">
        <v>411</v>
      </c>
      <c r="C431">
        <v>2</v>
      </c>
      <c r="D431" s="9">
        <f>IFERROR(VLOOKUP($B431,Menu[],MATCH(D$1,Menu[#Headers],0),FALSE),"CHECK")</f>
        <v>22.2</v>
      </c>
      <c r="E431" s="9">
        <f>IFERROR(VLOOKUP($B431,Menu[],MATCH(E$1,Menu[#Headers],0),FALSE),"CHECK")</f>
        <v>9.3800000000000008</v>
      </c>
      <c r="F431" t="str">
        <f>IFERROR(VLOOKUP($B431,Menu[],MATCH(F$1,Menu[#Headers],0),FALSE),"CHECK")</f>
        <v>Beverage</v>
      </c>
      <c r="G431" s="7">
        <f>IFERROR(INT(VLOOKUP($A431,Orders[],MATCH("OrderDateTime",Orders[#Headers],0),FALSE)),"CHECK")</f>
        <v>45865</v>
      </c>
      <c r="H431" s="7" t="str">
        <f>IFERROR(VLOOKUP($A431,Orders[],MATCH(H$1,Orders[#Headers],0),FALSE),"CHECK")</f>
        <v>Plant 1 Canteen</v>
      </c>
      <c r="I431">
        <f>IFERROR(VLOOKUP(OrderLines[[#This Row],[OrderID]],Orders[],MATCH(OrderLines[[#Headers],[DiscountPct]],Orders[#Headers],0),FALSE),"CHECK")</f>
        <v>0.11</v>
      </c>
      <c r="J431" t="str">
        <f>IFERROR(VLOOKUP(OrderLines[[#This Row],[OrderID]],Orders[],MATCH(OrderLines[[#Headers],[Shift]],Orders[#Headers],0),FALSE),"CHECK")</f>
        <v>Breakfast</v>
      </c>
      <c r="K431" s="11">
        <f>OrderLines[[#This Row],[Qty]] * OrderLines[[#This Row],[UnitPrice]] * (1-OrderLines[[#This Row],[DiscountPct]])</f>
        <v>39.515999999999998</v>
      </c>
      <c r="L431">
        <f>OrderLines[[#This Row],[Qty]]*OrderLines[[#This Row],[UnitCost]]</f>
        <v>18.760000000000002</v>
      </c>
    </row>
    <row r="432" spans="1:12" x14ac:dyDescent="0.25">
      <c r="A432" t="s">
        <v>207</v>
      </c>
      <c r="B432" t="s">
        <v>419</v>
      </c>
      <c r="C432">
        <v>1</v>
      </c>
      <c r="D432" s="9">
        <f>IFERROR(VLOOKUP($B432,Menu[],MATCH(D$1,Menu[#Headers],0),FALSE),"CHECK")</f>
        <v>50.19</v>
      </c>
      <c r="E432" s="9">
        <f>IFERROR(VLOOKUP($B432,Menu[],MATCH(E$1,Menu[#Headers],0),FALSE),"CHECK")</f>
        <v>22.61</v>
      </c>
      <c r="F432" t="str">
        <f>IFERROR(VLOOKUP($B432,Menu[],MATCH(F$1,Menu[#Headers],0),FALSE),"CHECK")</f>
        <v>Snack</v>
      </c>
      <c r="G432" s="7">
        <f>IFERROR(INT(VLOOKUP($A432,Orders[],MATCH("OrderDateTime",Orders[#Headers],0),FALSE)),"CHECK")</f>
        <v>45865</v>
      </c>
      <c r="H432" s="7" t="str">
        <f>IFERROR(VLOOKUP($A432,Orders[],MATCH(H$1,Orders[#Headers],0),FALSE),"CHECK")</f>
        <v>Plant 1 Canteen</v>
      </c>
      <c r="I432">
        <f>IFERROR(VLOOKUP(OrderLines[[#This Row],[OrderID]],Orders[],MATCH(OrderLines[[#Headers],[DiscountPct]],Orders[#Headers],0),FALSE),"CHECK")</f>
        <v>0.11</v>
      </c>
      <c r="J432" t="str">
        <f>IFERROR(VLOOKUP(OrderLines[[#This Row],[OrderID]],Orders[],MATCH(OrderLines[[#Headers],[Shift]],Orders[#Headers],0),FALSE),"CHECK")</f>
        <v>Breakfast</v>
      </c>
      <c r="K432" s="11">
        <f>OrderLines[[#This Row],[Qty]] * OrderLines[[#This Row],[UnitPrice]] * (1-OrderLines[[#This Row],[DiscountPct]])</f>
        <v>44.6691</v>
      </c>
      <c r="L432">
        <f>OrderLines[[#This Row],[Qty]]*OrderLines[[#This Row],[UnitCost]]</f>
        <v>22.61</v>
      </c>
    </row>
    <row r="433" spans="1:12" x14ac:dyDescent="0.25">
      <c r="A433" t="s">
        <v>207</v>
      </c>
      <c r="B433" t="s">
        <v>418</v>
      </c>
      <c r="C433">
        <v>1</v>
      </c>
      <c r="D433" s="9">
        <f>IFERROR(VLOOKUP($B433,Menu[],MATCH(D$1,Menu[#Headers],0),FALSE),"CHECK")</f>
        <v>39.950000000000003</v>
      </c>
      <c r="E433" s="9">
        <f>IFERROR(VLOOKUP($B433,Menu[],MATCH(E$1,Menu[#Headers],0),FALSE),"CHECK")</f>
        <v>15.51</v>
      </c>
      <c r="F433" t="str">
        <f>IFERROR(VLOOKUP($B433,Menu[],MATCH(F$1,Menu[#Headers],0),FALSE),"CHECK")</f>
        <v>Snack</v>
      </c>
      <c r="G433" s="7">
        <f>IFERROR(INT(VLOOKUP($A433,Orders[],MATCH("OrderDateTime",Orders[#Headers],0),FALSE)),"CHECK")</f>
        <v>45865</v>
      </c>
      <c r="H433" s="7" t="str">
        <f>IFERROR(VLOOKUP($A433,Orders[],MATCH(H$1,Orders[#Headers],0),FALSE),"CHECK")</f>
        <v>Plant 1 Canteen</v>
      </c>
      <c r="I433">
        <f>IFERROR(VLOOKUP(OrderLines[[#This Row],[OrderID]],Orders[],MATCH(OrderLines[[#Headers],[DiscountPct]],Orders[#Headers],0),FALSE),"CHECK")</f>
        <v>0.11</v>
      </c>
      <c r="J433" t="str">
        <f>IFERROR(VLOOKUP(OrderLines[[#This Row],[OrderID]],Orders[],MATCH(OrderLines[[#Headers],[Shift]],Orders[#Headers],0),FALSE),"CHECK")</f>
        <v>Breakfast</v>
      </c>
      <c r="K433" s="11">
        <f>OrderLines[[#This Row],[Qty]] * OrderLines[[#This Row],[UnitPrice]] * (1-OrderLines[[#This Row],[DiscountPct]])</f>
        <v>35.555500000000002</v>
      </c>
      <c r="L433">
        <f>OrderLines[[#This Row],[Qty]]*OrderLines[[#This Row],[UnitCost]]</f>
        <v>15.51</v>
      </c>
    </row>
    <row r="434" spans="1:12" x14ac:dyDescent="0.25">
      <c r="A434" t="s">
        <v>208</v>
      </c>
      <c r="B434" t="s">
        <v>417</v>
      </c>
      <c r="C434">
        <v>1</v>
      </c>
      <c r="D434" s="9">
        <f>IFERROR(VLOOKUP($B434,Menu[],MATCH(D$1,Menu[#Headers],0),FALSE),"CHECK")</f>
        <v>146.4</v>
      </c>
      <c r="E434" s="9">
        <f>IFERROR(VLOOKUP($B434,Menu[],MATCH(E$1,Menu[#Headers],0),FALSE),"CHECK")</f>
        <v>80.92</v>
      </c>
      <c r="F434" t="str">
        <f>IFERROR(VLOOKUP($B434,Menu[],MATCH(F$1,Menu[#Headers],0),FALSE),"CHECK")</f>
        <v>Hot Meal</v>
      </c>
      <c r="G434" s="7">
        <f>IFERROR(INT(VLOOKUP($A434,Orders[],MATCH("OrderDateTime",Orders[#Headers],0),FALSE)),"CHECK")</f>
        <v>45896</v>
      </c>
      <c r="H434" s="7" t="str">
        <f>IFERROR(VLOOKUP($A434,Orders[],MATCH(H$1,Orders[#Headers],0),FALSE),"CHECK")</f>
        <v>Head Office Café</v>
      </c>
      <c r="I434">
        <f>IFERROR(VLOOKUP(OrderLines[[#This Row],[OrderID]],Orders[],MATCH(OrderLines[[#Headers],[DiscountPct]],Orders[#Headers],0),FALSE),"CHECK")</f>
        <v>0.1</v>
      </c>
      <c r="J434" t="str">
        <f>IFERROR(VLOOKUP(OrderLines[[#This Row],[OrderID]],Orders[],MATCH(OrderLines[[#Headers],[Shift]],Orders[#Headers],0),FALSE),"CHECK")</f>
        <v>Breakfast</v>
      </c>
      <c r="K434" s="11">
        <f>OrderLines[[#This Row],[Qty]] * OrderLines[[#This Row],[UnitPrice]] * (1-OrderLines[[#This Row],[DiscountPct]])</f>
        <v>131.76000000000002</v>
      </c>
      <c r="L434">
        <f>OrderLines[[#This Row],[Qty]]*OrderLines[[#This Row],[UnitCost]]</f>
        <v>80.92</v>
      </c>
    </row>
    <row r="435" spans="1:12" x14ac:dyDescent="0.25">
      <c r="A435" t="s">
        <v>208</v>
      </c>
      <c r="B435" t="s">
        <v>408</v>
      </c>
      <c r="C435">
        <v>1</v>
      </c>
      <c r="D435" s="9">
        <f>IFERROR(VLOOKUP($B435,Menu[],MATCH(D$1,Menu[#Headers],0),FALSE),"CHECK")</f>
        <v>70.540000000000006</v>
      </c>
      <c r="E435" s="9">
        <f>IFERROR(VLOOKUP($B435,Menu[],MATCH(E$1,Menu[#Headers],0),FALSE),"CHECK")</f>
        <v>35.81</v>
      </c>
      <c r="F435" t="str">
        <f>IFERROR(VLOOKUP($B435,Menu[],MATCH(F$1,Menu[#Headers],0),FALSE),"CHECK")</f>
        <v>Snack</v>
      </c>
      <c r="G435" s="7">
        <f>IFERROR(INT(VLOOKUP($A435,Orders[],MATCH("OrderDateTime",Orders[#Headers],0),FALSE)),"CHECK")</f>
        <v>45896</v>
      </c>
      <c r="H435" s="7" t="str">
        <f>IFERROR(VLOOKUP($A435,Orders[],MATCH(H$1,Orders[#Headers],0),FALSE),"CHECK")</f>
        <v>Head Office Café</v>
      </c>
      <c r="I435">
        <f>IFERROR(VLOOKUP(OrderLines[[#This Row],[OrderID]],Orders[],MATCH(OrderLines[[#Headers],[DiscountPct]],Orders[#Headers],0),FALSE),"CHECK")</f>
        <v>0.1</v>
      </c>
      <c r="J435" t="str">
        <f>IFERROR(VLOOKUP(OrderLines[[#This Row],[OrderID]],Orders[],MATCH(OrderLines[[#Headers],[Shift]],Orders[#Headers],0),FALSE),"CHECK")</f>
        <v>Breakfast</v>
      </c>
      <c r="K435" s="11">
        <f>OrderLines[[#This Row],[Qty]] * OrderLines[[#This Row],[UnitPrice]] * (1-OrderLines[[#This Row],[DiscountPct]])</f>
        <v>63.486000000000004</v>
      </c>
      <c r="L435">
        <f>OrderLines[[#This Row],[Qty]]*OrderLines[[#This Row],[UnitCost]]</f>
        <v>35.81</v>
      </c>
    </row>
    <row r="436" spans="1:12" x14ac:dyDescent="0.25">
      <c r="A436" t="s">
        <v>208</v>
      </c>
      <c r="B436" t="s">
        <v>405</v>
      </c>
      <c r="C436">
        <v>2</v>
      </c>
      <c r="D436" s="9">
        <f>IFERROR(VLOOKUP($B436,Menu[],MATCH(D$1,Menu[#Headers],0),FALSE),"CHECK")</f>
        <v>170.83</v>
      </c>
      <c r="E436" s="9">
        <f>IFERROR(VLOOKUP($B436,Menu[],MATCH(E$1,Menu[#Headers],0),FALSE),"CHECK")</f>
        <v>74.069999999999993</v>
      </c>
      <c r="F436" t="str">
        <f>IFERROR(VLOOKUP($B436,Menu[],MATCH(F$1,Menu[#Headers],0),FALSE),"CHECK")</f>
        <v>Hot Meal</v>
      </c>
      <c r="G436" s="7">
        <f>IFERROR(INT(VLOOKUP($A436,Orders[],MATCH("OrderDateTime",Orders[#Headers],0),FALSE)),"CHECK")</f>
        <v>45896</v>
      </c>
      <c r="H436" s="7" t="str">
        <f>IFERROR(VLOOKUP($A436,Orders[],MATCH(H$1,Orders[#Headers],0),FALSE),"CHECK")</f>
        <v>Head Office Café</v>
      </c>
      <c r="I436">
        <f>IFERROR(VLOOKUP(OrderLines[[#This Row],[OrderID]],Orders[],MATCH(OrderLines[[#Headers],[DiscountPct]],Orders[#Headers],0),FALSE),"CHECK")</f>
        <v>0.1</v>
      </c>
      <c r="J436" t="str">
        <f>IFERROR(VLOOKUP(OrderLines[[#This Row],[OrderID]],Orders[],MATCH(OrderLines[[#Headers],[Shift]],Orders[#Headers],0),FALSE),"CHECK")</f>
        <v>Breakfast</v>
      </c>
      <c r="K436" s="11">
        <f>OrderLines[[#This Row],[Qty]] * OrderLines[[#This Row],[UnitPrice]] * (1-OrderLines[[#This Row],[DiscountPct]])</f>
        <v>307.49400000000003</v>
      </c>
      <c r="L436">
        <f>OrderLines[[#This Row],[Qty]]*OrderLines[[#This Row],[UnitCost]]</f>
        <v>148.13999999999999</v>
      </c>
    </row>
    <row r="437" spans="1:12" x14ac:dyDescent="0.25">
      <c r="A437" t="s">
        <v>209</v>
      </c>
      <c r="B437" t="s">
        <v>416</v>
      </c>
      <c r="C437">
        <v>2</v>
      </c>
      <c r="D437" s="9">
        <f>IFERROR(VLOOKUP($B437,Menu[],MATCH(D$1,Menu[#Headers],0),FALSE),"CHECK")</f>
        <v>227.61</v>
      </c>
      <c r="E437" s="9">
        <f>IFERROR(VLOOKUP($B437,Menu[],MATCH(E$1,Menu[#Headers],0),FALSE),"CHECK")</f>
        <v>96.22</v>
      </c>
      <c r="F437" t="str">
        <f>IFERROR(VLOOKUP($B437,Menu[],MATCH(F$1,Menu[#Headers],0),FALSE),"CHECK")</f>
        <v>Hot Meal</v>
      </c>
      <c r="G437" s="7">
        <f>IFERROR(INT(VLOOKUP($A437,Orders[],MATCH("OrderDateTime",Orders[#Headers],0),FALSE)),"CHECK")</f>
        <v>45882</v>
      </c>
      <c r="H437" s="7" t="str">
        <f>IFERROR(VLOOKUP($A437,Orders[],MATCH(H$1,Orders[#Headers],0),FALSE),"CHECK")</f>
        <v>Head Office Café</v>
      </c>
      <c r="I437">
        <f>IFERROR(VLOOKUP(OrderLines[[#This Row],[OrderID]],Orders[],MATCH(OrderLines[[#Headers],[DiscountPct]],Orders[#Headers],0),FALSE),"CHECK")</f>
        <v>0.09</v>
      </c>
      <c r="J437" t="str">
        <f>IFERROR(VLOOKUP(OrderLines[[#This Row],[OrderID]],Orders[],MATCH(OrderLines[[#Headers],[Shift]],Orders[#Headers],0),FALSE),"CHECK")</f>
        <v>Lunch</v>
      </c>
      <c r="K437" s="11">
        <f>OrderLines[[#This Row],[Qty]] * OrderLines[[#This Row],[UnitPrice]] * (1-OrderLines[[#This Row],[DiscountPct]])</f>
        <v>414.25020000000006</v>
      </c>
      <c r="L437">
        <f>OrderLines[[#This Row],[Qty]]*OrderLines[[#This Row],[UnitCost]]</f>
        <v>192.44</v>
      </c>
    </row>
    <row r="438" spans="1:12" x14ac:dyDescent="0.25">
      <c r="A438" t="s">
        <v>210</v>
      </c>
      <c r="B438" t="s">
        <v>415</v>
      </c>
      <c r="C438">
        <v>2</v>
      </c>
      <c r="D438" s="9">
        <f>IFERROR(VLOOKUP($B438,Menu[],MATCH(D$1,Menu[#Headers],0),FALSE),"CHECK")</f>
        <v>256.91000000000003</v>
      </c>
      <c r="E438" s="9">
        <f>IFERROR(VLOOKUP($B438,Menu[],MATCH(E$1,Menu[#Headers],0),FALSE),"CHECK")</f>
        <v>121.24</v>
      </c>
      <c r="F438" t="str">
        <f>IFERROR(VLOOKUP($B438,Menu[],MATCH(F$1,Menu[#Headers],0),FALSE),"CHECK")</f>
        <v>Hot Meal</v>
      </c>
      <c r="G438" s="7">
        <f>IFERROR(INT(VLOOKUP($A438,Orders[],MATCH("OrderDateTime",Orders[#Headers],0),FALSE)),"CHECK")</f>
        <v>45892</v>
      </c>
      <c r="H438" s="7" t="str">
        <f>IFERROR(VLOOKUP($A438,Orders[],MATCH(H$1,Orders[#Headers],0),FALSE),"CHECK")</f>
        <v>Head Office Café</v>
      </c>
      <c r="I438">
        <f>IFERROR(VLOOKUP(OrderLines[[#This Row],[OrderID]],Orders[],MATCH(OrderLines[[#Headers],[DiscountPct]],Orders[#Headers],0),FALSE),"CHECK")</f>
        <v>0.05</v>
      </c>
      <c r="J438" t="str">
        <f>IFERROR(VLOOKUP(OrderLines[[#This Row],[OrderID]],Orders[],MATCH(OrderLines[[#Headers],[Shift]],Orders[#Headers],0),FALSE),"CHECK")</f>
        <v>Dinner</v>
      </c>
      <c r="K438" s="11">
        <f>OrderLines[[#This Row],[Qty]] * OrderLines[[#This Row],[UnitPrice]] * (1-OrderLines[[#This Row],[DiscountPct]])</f>
        <v>488.12900000000002</v>
      </c>
      <c r="L438">
        <f>OrderLines[[#This Row],[Qty]]*OrderLines[[#This Row],[UnitCost]]</f>
        <v>242.48</v>
      </c>
    </row>
    <row r="439" spans="1:12" x14ac:dyDescent="0.25">
      <c r="A439" t="s">
        <v>211</v>
      </c>
      <c r="B439" t="s">
        <v>410</v>
      </c>
      <c r="C439">
        <v>2</v>
      </c>
      <c r="D439" s="9">
        <f>IFERROR(VLOOKUP($B439,Menu[],MATCH(D$1,Menu[#Headers],0),FALSE),"CHECK")</f>
        <v>20.11</v>
      </c>
      <c r="E439" s="9">
        <f>IFERROR(VLOOKUP($B439,Menu[],MATCH(E$1,Menu[#Headers],0),FALSE),"CHECK")</f>
        <v>8</v>
      </c>
      <c r="F439" t="str">
        <f>IFERROR(VLOOKUP($B439,Menu[],MATCH(F$1,Menu[#Headers],0),FALSE),"CHECK")</f>
        <v>Beverage</v>
      </c>
      <c r="G439" s="7">
        <f>IFERROR(INT(VLOOKUP($A439,Orders[],MATCH("OrderDateTime",Orders[#Headers],0),FALSE)),"CHECK")</f>
        <v>45857</v>
      </c>
      <c r="H439" s="7" t="str">
        <f>IFERROR(VLOOKUP($A439,Orders[],MATCH(H$1,Orders[#Headers],0),FALSE),"CHECK")</f>
        <v>Head Office Café</v>
      </c>
      <c r="I439">
        <f>IFERROR(VLOOKUP(OrderLines[[#This Row],[OrderID]],Orders[],MATCH(OrderLines[[#Headers],[DiscountPct]],Orders[#Headers],0),FALSE),"CHECK")</f>
        <v>0.09</v>
      </c>
      <c r="J439" t="str">
        <f>IFERROR(VLOOKUP(OrderLines[[#This Row],[OrderID]],Orders[],MATCH(OrderLines[[#Headers],[Shift]],Orders[#Headers],0),FALSE),"CHECK")</f>
        <v>Lunch</v>
      </c>
      <c r="K439" s="11">
        <f>OrderLines[[#This Row],[Qty]] * OrderLines[[#This Row],[UnitPrice]] * (1-OrderLines[[#This Row],[DiscountPct]])</f>
        <v>36.600200000000001</v>
      </c>
      <c r="L439">
        <f>OrderLines[[#This Row],[Qty]]*OrderLines[[#This Row],[UnitCost]]</f>
        <v>16</v>
      </c>
    </row>
    <row r="440" spans="1:12" x14ac:dyDescent="0.25">
      <c r="A440" t="s">
        <v>211</v>
      </c>
      <c r="B440" t="s">
        <v>403</v>
      </c>
      <c r="C440">
        <v>1</v>
      </c>
      <c r="D440" s="9">
        <f>IFERROR(VLOOKUP($B440,Menu[],MATCH(D$1,Menu[#Headers],0),FALSE),"CHECK")</f>
        <v>76.55</v>
      </c>
      <c r="E440" s="9">
        <f>IFERROR(VLOOKUP($B440,Menu[],MATCH(E$1,Menu[#Headers],0),FALSE),"CHECK")</f>
        <v>38.229999999999997</v>
      </c>
      <c r="F440" t="str">
        <f>IFERROR(VLOOKUP($B440,Menu[],MATCH(F$1,Menu[#Headers],0),FALSE),"CHECK")</f>
        <v>Dessert</v>
      </c>
      <c r="G440" s="7">
        <f>IFERROR(INT(VLOOKUP($A440,Orders[],MATCH("OrderDateTime",Orders[#Headers],0),FALSE)),"CHECK")</f>
        <v>45857</v>
      </c>
      <c r="H440" s="7" t="str">
        <f>IFERROR(VLOOKUP($A440,Orders[],MATCH(H$1,Orders[#Headers],0),FALSE),"CHECK")</f>
        <v>Head Office Café</v>
      </c>
      <c r="I440">
        <f>IFERROR(VLOOKUP(OrderLines[[#This Row],[OrderID]],Orders[],MATCH(OrderLines[[#Headers],[DiscountPct]],Orders[#Headers],0),FALSE),"CHECK")</f>
        <v>0.09</v>
      </c>
      <c r="J440" t="str">
        <f>IFERROR(VLOOKUP(OrderLines[[#This Row],[OrderID]],Orders[],MATCH(OrderLines[[#Headers],[Shift]],Orders[#Headers],0),FALSE),"CHECK")</f>
        <v>Lunch</v>
      </c>
      <c r="K440" s="11">
        <f>OrderLines[[#This Row],[Qty]] * OrderLines[[#This Row],[UnitPrice]] * (1-OrderLines[[#This Row],[DiscountPct]])</f>
        <v>69.660499999999999</v>
      </c>
      <c r="L440">
        <f>OrderLines[[#This Row],[Qty]]*OrderLines[[#This Row],[UnitCost]]</f>
        <v>38.229999999999997</v>
      </c>
    </row>
    <row r="441" spans="1:12" x14ac:dyDescent="0.25">
      <c r="A441" t="s">
        <v>211</v>
      </c>
      <c r="B441" t="s">
        <v>404</v>
      </c>
      <c r="C441">
        <v>2</v>
      </c>
      <c r="D441" s="9">
        <f>IFERROR(VLOOKUP($B441,Menu[],MATCH(D$1,Menu[#Headers],0),FALSE),"CHECK")</f>
        <v>32.979999999999997</v>
      </c>
      <c r="E441" s="9">
        <f>IFERROR(VLOOKUP($B441,Menu[],MATCH(E$1,Menu[#Headers],0),FALSE),"CHECK")</f>
        <v>11.84</v>
      </c>
      <c r="F441" t="str">
        <f>IFERROR(VLOOKUP($B441,Menu[],MATCH(F$1,Menu[#Headers],0),FALSE),"CHECK")</f>
        <v>Beverage</v>
      </c>
      <c r="G441" s="7">
        <f>IFERROR(INT(VLOOKUP($A441,Orders[],MATCH("OrderDateTime",Orders[#Headers],0),FALSE)),"CHECK")</f>
        <v>45857</v>
      </c>
      <c r="H441" s="7" t="str">
        <f>IFERROR(VLOOKUP($A441,Orders[],MATCH(H$1,Orders[#Headers],0),FALSE),"CHECK")</f>
        <v>Head Office Café</v>
      </c>
      <c r="I441">
        <f>IFERROR(VLOOKUP(OrderLines[[#This Row],[OrderID]],Orders[],MATCH(OrderLines[[#Headers],[DiscountPct]],Orders[#Headers],0),FALSE),"CHECK")</f>
        <v>0.09</v>
      </c>
      <c r="J441" t="str">
        <f>IFERROR(VLOOKUP(OrderLines[[#This Row],[OrderID]],Orders[],MATCH(OrderLines[[#Headers],[Shift]],Orders[#Headers],0),FALSE),"CHECK")</f>
        <v>Lunch</v>
      </c>
      <c r="K441" s="11">
        <f>OrderLines[[#This Row],[Qty]] * OrderLines[[#This Row],[UnitPrice]] * (1-OrderLines[[#This Row],[DiscountPct]])</f>
        <v>60.023599999999995</v>
      </c>
      <c r="L441">
        <f>OrderLines[[#This Row],[Qty]]*OrderLines[[#This Row],[UnitCost]]</f>
        <v>23.68</v>
      </c>
    </row>
    <row r="442" spans="1:12" x14ac:dyDescent="0.25">
      <c r="A442" t="s">
        <v>211</v>
      </c>
      <c r="B442" t="s">
        <v>409</v>
      </c>
      <c r="C442">
        <v>3</v>
      </c>
      <c r="D442" s="9">
        <f>IFERROR(VLOOKUP($B442,Menu[],MATCH(D$1,Menu[#Headers],0),FALSE),"CHECK")</f>
        <v>28.43</v>
      </c>
      <c r="E442" s="9">
        <f>IFERROR(VLOOKUP($B442,Menu[],MATCH(E$1,Menu[#Headers],0),FALSE),"CHECK")</f>
        <v>13.89</v>
      </c>
      <c r="F442" t="str">
        <f>IFERROR(VLOOKUP($B442,Menu[],MATCH(F$1,Menu[#Headers],0),FALSE),"CHECK")</f>
        <v>Beverage</v>
      </c>
      <c r="G442" s="7">
        <f>IFERROR(INT(VLOOKUP($A442,Orders[],MATCH("OrderDateTime",Orders[#Headers],0),FALSE)),"CHECK")</f>
        <v>45857</v>
      </c>
      <c r="H442" s="7" t="str">
        <f>IFERROR(VLOOKUP($A442,Orders[],MATCH(H$1,Orders[#Headers],0),FALSE),"CHECK")</f>
        <v>Head Office Café</v>
      </c>
      <c r="I442">
        <f>IFERROR(VLOOKUP(OrderLines[[#This Row],[OrderID]],Orders[],MATCH(OrderLines[[#Headers],[DiscountPct]],Orders[#Headers],0),FALSE),"CHECK")</f>
        <v>0.09</v>
      </c>
      <c r="J442" t="str">
        <f>IFERROR(VLOOKUP(OrderLines[[#This Row],[OrderID]],Orders[],MATCH(OrderLines[[#Headers],[Shift]],Orders[#Headers],0),FALSE),"CHECK")</f>
        <v>Lunch</v>
      </c>
      <c r="K442" s="11">
        <f>OrderLines[[#This Row],[Qty]] * OrderLines[[#This Row],[UnitPrice]] * (1-OrderLines[[#This Row],[DiscountPct]])</f>
        <v>77.613900000000001</v>
      </c>
      <c r="L442">
        <f>OrderLines[[#This Row],[Qty]]*OrderLines[[#This Row],[UnitCost]]</f>
        <v>41.67</v>
      </c>
    </row>
    <row r="443" spans="1:12" x14ac:dyDescent="0.25">
      <c r="A443" t="s">
        <v>212</v>
      </c>
      <c r="B443" t="s">
        <v>419</v>
      </c>
      <c r="C443">
        <v>2</v>
      </c>
      <c r="D443" s="9">
        <f>IFERROR(VLOOKUP($B443,Menu[],MATCH(D$1,Menu[#Headers],0),FALSE),"CHECK")</f>
        <v>50.19</v>
      </c>
      <c r="E443" s="9">
        <f>IFERROR(VLOOKUP($B443,Menu[],MATCH(E$1,Menu[#Headers],0),FALSE),"CHECK")</f>
        <v>22.61</v>
      </c>
      <c r="F443" t="str">
        <f>IFERROR(VLOOKUP($B443,Menu[],MATCH(F$1,Menu[#Headers],0),FALSE),"CHECK")</f>
        <v>Snack</v>
      </c>
      <c r="G443" s="7">
        <f>IFERROR(INT(VLOOKUP($A443,Orders[],MATCH("OrderDateTime",Orders[#Headers],0),FALSE)),"CHECK")</f>
        <v>45861</v>
      </c>
      <c r="H443" s="7" t="str">
        <f>IFERROR(VLOOKUP($A443,Orders[],MATCH(H$1,Orders[#Headers],0),FALSE),"CHECK")</f>
        <v>Plant 2 Canteen</v>
      </c>
      <c r="I443">
        <f>IFERROR(VLOOKUP(OrderLines[[#This Row],[OrderID]],Orders[],MATCH(OrderLines[[#Headers],[DiscountPct]],Orders[#Headers],0),FALSE),"CHECK")</f>
        <v>0.03</v>
      </c>
      <c r="J443" t="str">
        <f>IFERROR(VLOOKUP(OrderLines[[#This Row],[OrderID]],Orders[],MATCH(OrderLines[[#Headers],[Shift]],Orders[#Headers],0),FALSE),"CHECK")</f>
        <v>Dinner</v>
      </c>
      <c r="K443" s="11">
        <f>OrderLines[[#This Row],[Qty]] * OrderLines[[#This Row],[UnitPrice]] * (1-OrderLines[[#This Row],[DiscountPct]])</f>
        <v>97.368599999999986</v>
      </c>
      <c r="L443">
        <f>OrderLines[[#This Row],[Qty]]*OrderLines[[#This Row],[UnitCost]]</f>
        <v>45.22</v>
      </c>
    </row>
    <row r="444" spans="1:12" x14ac:dyDescent="0.25">
      <c r="A444" t="s">
        <v>212</v>
      </c>
      <c r="B444" t="s">
        <v>416</v>
      </c>
      <c r="C444">
        <v>1</v>
      </c>
      <c r="D444" s="9">
        <f>IFERROR(VLOOKUP($B444,Menu[],MATCH(D$1,Menu[#Headers],0),FALSE),"CHECK")</f>
        <v>227.61</v>
      </c>
      <c r="E444" s="9">
        <f>IFERROR(VLOOKUP($B444,Menu[],MATCH(E$1,Menu[#Headers],0),FALSE),"CHECK")</f>
        <v>96.22</v>
      </c>
      <c r="F444" t="str">
        <f>IFERROR(VLOOKUP($B444,Menu[],MATCH(F$1,Menu[#Headers],0),FALSE),"CHECK")</f>
        <v>Hot Meal</v>
      </c>
      <c r="G444" s="7">
        <f>IFERROR(INT(VLOOKUP($A444,Orders[],MATCH("OrderDateTime",Orders[#Headers],0),FALSE)),"CHECK")</f>
        <v>45861</v>
      </c>
      <c r="H444" s="7" t="str">
        <f>IFERROR(VLOOKUP($A444,Orders[],MATCH(H$1,Orders[#Headers],0),FALSE),"CHECK")</f>
        <v>Plant 2 Canteen</v>
      </c>
      <c r="I444">
        <f>IFERROR(VLOOKUP(OrderLines[[#This Row],[OrderID]],Orders[],MATCH(OrderLines[[#Headers],[DiscountPct]],Orders[#Headers],0),FALSE),"CHECK")</f>
        <v>0.03</v>
      </c>
      <c r="J444" t="str">
        <f>IFERROR(VLOOKUP(OrderLines[[#This Row],[OrderID]],Orders[],MATCH(OrderLines[[#Headers],[Shift]],Orders[#Headers],0),FALSE),"CHECK")</f>
        <v>Dinner</v>
      </c>
      <c r="K444" s="11">
        <f>OrderLines[[#This Row],[Qty]] * OrderLines[[#This Row],[UnitPrice]] * (1-OrderLines[[#This Row],[DiscountPct]])</f>
        <v>220.7817</v>
      </c>
      <c r="L444">
        <f>OrderLines[[#This Row],[Qty]]*OrderLines[[#This Row],[UnitCost]]</f>
        <v>96.22</v>
      </c>
    </row>
    <row r="445" spans="1:12" x14ac:dyDescent="0.25">
      <c r="A445" t="s">
        <v>213</v>
      </c>
      <c r="B445" t="s">
        <v>410</v>
      </c>
      <c r="C445">
        <v>1</v>
      </c>
      <c r="D445" s="9">
        <f>IFERROR(VLOOKUP($B445,Menu[],MATCH(D$1,Menu[#Headers],0),FALSE),"CHECK")</f>
        <v>20.11</v>
      </c>
      <c r="E445" s="9">
        <f>IFERROR(VLOOKUP($B445,Menu[],MATCH(E$1,Menu[#Headers],0),FALSE),"CHECK")</f>
        <v>8</v>
      </c>
      <c r="F445" t="str">
        <f>IFERROR(VLOOKUP($B445,Menu[],MATCH(F$1,Menu[#Headers],0),FALSE),"CHECK")</f>
        <v>Beverage</v>
      </c>
      <c r="G445" s="7">
        <f>IFERROR(INT(VLOOKUP($A445,Orders[],MATCH("OrderDateTime",Orders[#Headers],0),FALSE)),"CHECK")</f>
        <v>45876</v>
      </c>
      <c r="H445" s="7" t="str">
        <f>IFERROR(VLOOKUP($A445,Orders[],MATCH(H$1,Orders[#Headers],0),FALSE),"CHECK")</f>
        <v>Plant 2 Canteen</v>
      </c>
      <c r="I445">
        <f>IFERROR(VLOOKUP(OrderLines[[#This Row],[OrderID]],Orders[],MATCH(OrderLines[[#Headers],[DiscountPct]],Orders[#Headers],0),FALSE),"CHECK")</f>
        <v>0.05</v>
      </c>
      <c r="J445" t="str">
        <f>IFERROR(VLOOKUP(OrderLines[[#This Row],[OrderID]],Orders[],MATCH(OrderLines[[#Headers],[Shift]],Orders[#Headers],0),FALSE),"CHECK")</f>
        <v>Breakfast</v>
      </c>
      <c r="K445" s="11">
        <f>OrderLines[[#This Row],[Qty]] * OrderLines[[#This Row],[UnitPrice]] * (1-OrderLines[[#This Row],[DiscountPct]])</f>
        <v>19.104499999999998</v>
      </c>
      <c r="L445">
        <f>OrderLines[[#This Row],[Qty]]*OrderLines[[#This Row],[UnitCost]]</f>
        <v>8</v>
      </c>
    </row>
    <row r="446" spans="1:12" x14ac:dyDescent="0.25">
      <c r="A446" t="s">
        <v>213</v>
      </c>
      <c r="B446" t="s">
        <v>415</v>
      </c>
      <c r="C446">
        <v>1</v>
      </c>
      <c r="D446" s="9">
        <f>IFERROR(VLOOKUP($B446,Menu[],MATCH(D$1,Menu[#Headers],0),FALSE),"CHECK")</f>
        <v>256.91000000000003</v>
      </c>
      <c r="E446" s="9">
        <f>IFERROR(VLOOKUP($B446,Menu[],MATCH(E$1,Menu[#Headers],0),FALSE),"CHECK")</f>
        <v>121.24</v>
      </c>
      <c r="F446" t="str">
        <f>IFERROR(VLOOKUP($B446,Menu[],MATCH(F$1,Menu[#Headers],0),FALSE),"CHECK")</f>
        <v>Hot Meal</v>
      </c>
      <c r="G446" s="7">
        <f>IFERROR(INT(VLOOKUP($A446,Orders[],MATCH("OrderDateTime",Orders[#Headers],0),FALSE)),"CHECK")</f>
        <v>45876</v>
      </c>
      <c r="H446" s="7" t="str">
        <f>IFERROR(VLOOKUP($A446,Orders[],MATCH(H$1,Orders[#Headers],0),FALSE),"CHECK")</f>
        <v>Plant 2 Canteen</v>
      </c>
      <c r="I446">
        <f>IFERROR(VLOOKUP(OrderLines[[#This Row],[OrderID]],Orders[],MATCH(OrderLines[[#Headers],[DiscountPct]],Orders[#Headers],0),FALSE),"CHECK")</f>
        <v>0.05</v>
      </c>
      <c r="J446" t="str">
        <f>IFERROR(VLOOKUP(OrderLines[[#This Row],[OrderID]],Orders[],MATCH(OrderLines[[#Headers],[Shift]],Orders[#Headers],0),FALSE),"CHECK")</f>
        <v>Breakfast</v>
      </c>
      <c r="K446" s="11">
        <f>OrderLines[[#This Row],[Qty]] * OrderLines[[#This Row],[UnitPrice]] * (1-OrderLines[[#This Row],[DiscountPct]])</f>
        <v>244.06450000000001</v>
      </c>
      <c r="L446">
        <f>OrderLines[[#This Row],[Qty]]*OrderLines[[#This Row],[UnitCost]]</f>
        <v>121.24</v>
      </c>
    </row>
    <row r="447" spans="1:12" x14ac:dyDescent="0.25">
      <c r="A447" t="s">
        <v>213</v>
      </c>
      <c r="B447" t="s">
        <v>416</v>
      </c>
      <c r="C447">
        <v>1</v>
      </c>
      <c r="D447" s="9">
        <f>IFERROR(VLOOKUP($B447,Menu[],MATCH(D$1,Menu[#Headers],0),FALSE),"CHECK")</f>
        <v>227.61</v>
      </c>
      <c r="E447" s="9">
        <f>IFERROR(VLOOKUP($B447,Menu[],MATCH(E$1,Menu[#Headers],0),FALSE),"CHECK")</f>
        <v>96.22</v>
      </c>
      <c r="F447" t="str">
        <f>IFERROR(VLOOKUP($B447,Menu[],MATCH(F$1,Menu[#Headers],0),FALSE),"CHECK")</f>
        <v>Hot Meal</v>
      </c>
      <c r="G447" s="7">
        <f>IFERROR(INT(VLOOKUP($A447,Orders[],MATCH("OrderDateTime",Orders[#Headers],0),FALSE)),"CHECK")</f>
        <v>45876</v>
      </c>
      <c r="H447" s="7" t="str">
        <f>IFERROR(VLOOKUP($A447,Orders[],MATCH(H$1,Orders[#Headers],0),FALSE),"CHECK")</f>
        <v>Plant 2 Canteen</v>
      </c>
      <c r="I447">
        <f>IFERROR(VLOOKUP(OrderLines[[#This Row],[OrderID]],Orders[],MATCH(OrderLines[[#Headers],[DiscountPct]],Orders[#Headers],0),FALSE),"CHECK")</f>
        <v>0.05</v>
      </c>
      <c r="J447" t="str">
        <f>IFERROR(VLOOKUP(OrderLines[[#This Row],[OrderID]],Orders[],MATCH(OrderLines[[#Headers],[Shift]],Orders[#Headers],0),FALSE),"CHECK")</f>
        <v>Breakfast</v>
      </c>
      <c r="K447" s="11">
        <f>OrderLines[[#This Row],[Qty]] * OrderLines[[#This Row],[UnitPrice]] * (1-OrderLines[[#This Row],[DiscountPct]])</f>
        <v>216.2295</v>
      </c>
      <c r="L447">
        <f>OrderLines[[#This Row],[Qty]]*OrderLines[[#This Row],[UnitCost]]</f>
        <v>96.22</v>
      </c>
    </row>
    <row r="448" spans="1:12" x14ac:dyDescent="0.25">
      <c r="A448" t="s">
        <v>214</v>
      </c>
      <c r="B448" t="s">
        <v>412</v>
      </c>
      <c r="C448">
        <v>1</v>
      </c>
      <c r="D448" s="9">
        <f>IFERROR(VLOOKUP($B448,Menu[],MATCH(D$1,Menu[#Headers],0),FALSE),"CHECK")</f>
        <v>57.07</v>
      </c>
      <c r="E448" s="9">
        <f>IFERROR(VLOOKUP($B448,Menu[],MATCH(E$1,Menu[#Headers],0),FALSE),"CHECK")</f>
        <v>29.14</v>
      </c>
      <c r="F448" t="str">
        <f>IFERROR(VLOOKUP($B448,Menu[],MATCH(F$1,Menu[#Headers],0),FALSE),"CHECK")</f>
        <v>Dessert</v>
      </c>
      <c r="G448" s="7">
        <f>IFERROR(INT(VLOOKUP($A448,Orders[],MATCH("OrderDateTime",Orders[#Headers],0),FALSE)),"CHECK")</f>
        <v>45887</v>
      </c>
      <c r="H448" s="7" t="str">
        <f>IFERROR(VLOOKUP($A448,Orders[],MATCH(H$1,Orders[#Headers],0),FALSE),"CHECK")</f>
        <v>Plant 1 Canteen</v>
      </c>
      <c r="I448">
        <f>IFERROR(VLOOKUP(OrderLines[[#This Row],[OrderID]],Orders[],MATCH(OrderLines[[#Headers],[DiscountPct]],Orders[#Headers],0),FALSE),"CHECK")</f>
        <v>0.04</v>
      </c>
      <c r="J448" t="str">
        <f>IFERROR(VLOOKUP(OrderLines[[#This Row],[OrderID]],Orders[],MATCH(OrderLines[[#Headers],[Shift]],Orders[#Headers],0),FALSE),"CHECK")</f>
        <v>Breakfast</v>
      </c>
      <c r="K448" s="11">
        <f>OrderLines[[#This Row],[Qty]] * OrderLines[[#This Row],[UnitPrice]] * (1-OrderLines[[#This Row],[DiscountPct]])</f>
        <v>54.787199999999999</v>
      </c>
      <c r="L448">
        <f>OrderLines[[#This Row],[Qty]]*OrderLines[[#This Row],[UnitCost]]</f>
        <v>29.14</v>
      </c>
    </row>
    <row r="449" spans="1:12" x14ac:dyDescent="0.25">
      <c r="A449" t="s">
        <v>214</v>
      </c>
      <c r="B449" t="s">
        <v>409</v>
      </c>
      <c r="C449">
        <v>2</v>
      </c>
      <c r="D449" s="9">
        <f>IFERROR(VLOOKUP($B449,Menu[],MATCH(D$1,Menu[#Headers],0),FALSE),"CHECK")</f>
        <v>28.43</v>
      </c>
      <c r="E449" s="9">
        <f>IFERROR(VLOOKUP($B449,Menu[],MATCH(E$1,Menu[#Headers],0),FALSE),"CHECK")</f>
        <v>13.89</v>
      </c>
      <c r="F449" t="str">
        <f>IFERROR(VLOOKUP($B449,Menu[],MATCH(F$1,Menu[#Headers],0),FALSE),"CHECK")</f>
        <v>Beverage</v>
      </c>
      <c r="G449" s="7">
        <f>IFERROR(INT(VLOOKUP($A449,Orders[],MATCH("OrderDateTime",Orders[#Headers],0),FALSE)),"CHECK")</f>
        <v>45887</v>
      </c>
      <c r="H449" s="7" t="str">
        <f>IFERROR(VLOOKUP($A449,Orders[],MATCH(H$1,Orders[#Headers],0),FALSE),"CHECK")</f>
        <v>Plant 1 Canteen</v>
      </c>
      <c r="I449">
        <f>IFERROR(VLOOKUP(OrderLines[[#This Row],[OrderID]],Orders[],MATCH(OrderLines[[#Headers],[DiscountPct]],Orders[#Headers],0),FALSE),"CHECK")</f>
        <v>0.04</v>
      </c>
      <c r="J449" t="str">
        <f>IFERROR(VLOOKUP(OrderLines[[#This Row],[OrderID]],Orders[],MATCH(OrderLines[[#Headers],[Shift]],Orders[#Headers],0),FALSE),"CHECK")</f>
        <v>Breakfast</v>
      </c>
      <c r="K449" s="11">
        <f>OrderLines[[#This Row],[Qty]] * OrderLines[[#This Row],[UnitPrice]] * (1-OrderLines[[#This Row],[DiscountPct]])</f>
        <v>54.585599999999999</v>
      </c>
      <c r="L449">
        <f>OrderLines[[#This Row],[Qty]]*OrderLines[[#This Row],[UnitCost]]</f>
        <v>27.78</v>
      </c>
    </row>
    <row r="450" spans="1:12" x14ac:dyDescent="0.25">
      <c r="A450" t="s">
        <v>214</v>
      </c>
      <c r="B450" t="s">
        <v>406</v>
      </c>
      <c r="C450">
        <v>1</v>
      </c>
      <c r="D450" s="9">
        <f>IFERROR(VLOOKUP($B450,Menu[],MATCH(D$1,Menu[#Headers],0),FALSE),"CHECK")</f>
        <v>38.06</v>
      </c>
      <c r="E450" s="9">
        <f>IFERROR(VLOOKUP($B450,Menu[],MATCH(E$1,Menu[#Headers],0),FALSE),"CHECK")</f>
        <v>19.55</v>
      </c>
      <c r="F450" t="str">
        <f>IFERROR(VLOOKUP($B450,Menu[],MATCH(F$1,Menu[#Headers],0),FALSE),"CHECK")</f>
        <v>Snack</v>
      </c>
      <c r="G450" s="7">
        <f>IFERROR(INT(VLOOKUP($A450,Orders[],MATCH("OrderDateTime",Orders[#Headers],0),FALSE)),"CHECK")</f>
        <v>45887</v>
      </c>
      <c r="H450" s="7" t="str">
        <f>IFERROR(VLOOKUP($A450,Orders[],MATCH(H$1,Orders[#Headers],0),FALSE),"CHECK")</f>
        <v>Plant 1 Canteen</v>
      </c>
      <c r="I450">
        <f>IFERROR(VLOOKUP(OrderLines[[#This Row],[OrderID]],Orders[],MATCH(OrderLines[[#Headers],[DiscountPct]],Orders[#Headers],0),FALSE),"CHECK")</f>
        <v>0.04</v>
      </c>
      <c r="J450" t="str">
        <f>IFERROR(VLOOKUP(OrderLines[[#This Row],[OrderID]],Orders[],MATCH(OrderLines[[#Headers],[Shift]],Orders[#Headers],0),FALSE),"CHECK")</f>
        <v>Breakfast</v>
      </c>
      <c r="K450" s="11">
        <f>OrderLines[[#This Row],[Qty]] * OrderLines[[#This Row],[UnitPrice]] * (1-OrderLines[[#This Row],[DiscountPct]])</f>
        <v>36.537599999999998</v>
      </c>
      <c r="L450">
        <f>OrderLines[[#This Row],[Qty]]*OrderLines[[#This Row],[UnitCost]]</f>
        <v>19.55</v>
      </c>
    </row>
    <row r="451" spans="1:12" x14ac:dyDescent="0.25">
      <c r="A451" t="s">
        <v>215</v>
      </c>
      <c r="B451" t="s">
        <v>405</v>
      </c>
      <c r="C451">
        <v>2</v>
      </c>
      <c r="D451" s="9">
        <f>IFERROR(VLOOKUP($B451,Menu[],MATCH(D$1,Menu[#Headers],0),FALSE),"CHECK")</f>
        <v>170.83</v>
      </c>
      <c r="E451" s="9">
        <f>IFERROR(VLOOKUP($B451,Menu[],MATCH(E$1,Menu[#Headers],0),FALSE),"CHECK")</f>
        <v>74.069999999999993</v>
      </c>
      <c r="F451" t="str">
        <f>IFERROR(VLOOKUP($B451,Menu[],MATCH(F$1,Menu[#Headers],0),FALSE),"CHECK")</f>
        <v>Hot Meal</v>
      </c>
      <c r="G451" s="7">
        <f>IFERROR(INT(VLOOKUP($A451,Orders[],MATCH("OrderDateTime",Orders[#Headers],0),FALSE)),"CHECK")</f>
        <v>45848</v>
      </c>
      <c r="H451" s="7" t="str">
        <f>IFERROR(VLOOKUP($A451,Orders[],MATCH(H$1,Orders[#Headers],0),FALSE),"CHECK")</f>
        <v>Plant 2 Canteen</v>
      </c>
      <c r="I451">
        <f>IFERROR(VLOOKUP(OrderLines[[#This Row],[OrderID]],Orders[],MATCH(OrderLines[[#Headers],[DiscountPct]],Orders[#Headers],0),FALSE),"CHECK")</f>
        <v>0.06</v>
      </c>
      <c r="J451" t="str">
        <f>IFERROR(VLOOKUP(OrderLines[[#This Row],[OrderID]],Orders[],MATCH(OrderLines[[#Headers],[Shift]],Orders[#Headers],0),FALSE),"CHECK")</f>
        <v>Dinner</v>
      </c>
      <c r="K451" s="11">
        <f>OrderLines[[#This Row],[Qty]] * OrderLines[[#This Row],[UnitPrice]] * (1-OrderLines[[#This Row],[DiscountPct]])</f>
        <v>321.16039999999998</v>
      </c>
      <c r="L451">
        <f>OrderLines[[#This Row],[Qty]]*OrderLines[[#This Row],[UnitCost]]</f>
        <v>148.13999999999999</v>
      </c>
    </row>
    <row r="452" spans="1:12" x14ac:dyDescent="0.25">
      <c r="A452" t="s">
        <v>215</v>
      </c>
      <c r="B452" t="s">
        <v>413</v>
      </c>
      <c r="C452">
        <v>1</v>
      </c>
      <c r="D452" s="9">
        <f>IFERROR(VLOOKUP($B452,Menu[],MATCH(D$1,Menu[#Headers],0),FALSE),"CHECK")</f>
        <v>54.2</v>
      </c>
      <c r="E452" s="9">
        <f>IFERROR(VLOOKUP($B452,Menu[],MATCH(E$1,Menu[#Headers],0),FALSE),"CHECK")</f>
        <v>21.95</v>
      </c>
      <c r="F452" t="str">
        <f>IFERROR(VLOOKUP($B452,Menu[],MATCH(F$1,Menu[#Headers],0),FALSE),"CHECK")</f>
        <v>Dessert</v>
      </c>
      <c r="G452" s="7">
        <f>IFERROR(INT(VLOOKUP($A452,Orders[],MATCH("OrderDateTime",Orders[#Headers],0),FALSE)),"CHECK")</f>
        <v>45848</v>
      </c>
      <c r="H452" s="7" t="str">
        <f>IFERROR(VLOOKUP($A452,Orders[],MATCH(H$1,Orders[#Headers],0),FALSE),"CHECK")</f>
        <v>Plant 2 Canteen</v>
      </c>
      <c r="I452">
        <f>IFERROR(VLOOKUP(OrderLines[[#This Row],[OrderID]],Orders[],MATCH(OrderLines[[#Headers],[DiscountPct]],Orders[#Headers],0),FALSE),"CHECK")</f>
        <v>0.06</v>
      </c>
      <c r="J452" t="str">
        <f>IFERROR(VLOOKUP(OrderLines[[#This Row],[OrderID]],Orders[],MATCH(OrderLines[[#Headers],[Shift]],Orders[#Headers],0),FALSE),"CHECK")</f>
        <v>Dinner</v>
      </c>
      <c r="K452" s="11">
        <f>OrderLines[[#This Row],[Qty]] * OrderLines[[#This Row],[UnitPrice]] * (1-OrderLines[[#This Row],[DiscountPct]])</f>
        <v>50.948</v>
      </c>
      <c r="L452">
        <f>OrderLines[[#This Row],[Qty]]*OrderLines[[#This Row],[UnitCost]]</f>
        <v>21.95</v>
      </c>
    </row>
    <row r="453" spans="1:12" x14ac:dyDescent="0.25">
      <c r="A453" t="s">
        <v>215</v>
      </c>
      <c r="B453" t="s">
        <v>417</v>
      </c>
      <c r="C453">
        <v>2</v>
      </c>
      <c r="D453" s="9">
        <f>IFERROR(VLOOKUP($B453,Menu[],MATCH(D$1,Menu[#Headers],0),FALSE),"CHECK")</f>
        <v>146.4</v>
      </c>
      <c r="E453" s="9">
        <f>IFERROR(VLOOKUP($B453,Menu[],MATCH(E$1,Menu[#Headers],0),FALSE),"CHECK")</f>
        <v>80.92</v>
      </c>
      <c r="F453" t="str">
        <f>IFERROR(VLOOKUP($B453,Menu[],MATCH(F$1,Menu[#Headers],0),FALSE),"CHECK")</f>
        <v>Hot Meal</v>
      </c>
      <c r="G453" s="7">
        <f>IFERROR(INT(VLOOKUP($A453,Orders[],MATCH("OrderDateTime",Orders[#Headers],0),FALSE)),"CHECK")</f>
        <v>45848</v>
      </c>
      <c r="H453" s="7" t="str">
        <f>IFERROR(VLOOKUP($A453,Orders[],MATCH(H$1,Orders[#Headers],0),FALSE),"CHECK")</f>
        <v>Plant 2 Canteen</v>
      </c>
      <c r="I453">
        <f>IFERROR(VLOOKUP(OrderLines[[#This Row],[OrderID]],Orders[],MATCH(OrderLines[[#Headers],[DiscountPct]],Orders[#Headers],0),FALSE),"CHECK")</f>
        <v>0.06</v>
      </c>
      <c r="J453" t="str">
        <f>IFERROR(VLOOKUP(OrderLines[[#This Row],[OrderID]],Orders[],MATCH(OrderLines[[#Headers],[Shift]],Orders[#Headers],0),FALSE),"CHECK")</f>
        <v>Dinner</v>
      </c>
      <c r="K453" s="11">
        <f>OrderLines[[#This Row],[Qty]] * OrderLines[[#This Row],[UnitPrice]] * (1-OrderLines[[#This Row],[DiscountPct]])</f>
        <v>275.23199999999997</v>
      </c>
      <c r="L453">
        <f>OrderLines[[#This Row],[Qty]]*OrderLines[[#This Row],[UnitCost]]</f>
        <v>161.84</v>
      </c>
    </row>
    <row r="454" spans="1:12" x14ac:dyDescent="0.25">
      <c r="A454" t="s">
        <v>215</v>
      </c>
      <c r="B454" t="s">
        <v>414</v>
      </c>
      <c r="C454">
        <v>3</v>
      </c>
      <c r="D454" s="9">
        <f>IFERROR(VLOOKUP($B454,Menu[],MATCH(D$1,Menu[#Headers],0),FALSE),"CHECK")</f>
        <v>116.8</v>
      </c>
      <c r="E454" s="9">
        <f>IFERROR(VLOOKUP($B454,Menu[],MATCH(E$1,Menu[#Headers],0),FALSE),"CHECK")</f>
        <v>48.97</v>
      </c>
      <c r="F454" t="str">
        <f>IFERROR(VLOOKUP($B454,Menu[],MATCH(F$1,Menu[#Headers],0),FALSE),"CHECK")</f>
        <v>Dessert</v>
      </c>
      <c r="G454" s="7">
        <f>IFERROR(INT(VLOOKUP($A454,Orders[],MATCH("OrderDateTime",Orders[#Headers],0),FALSE)),"CHECK")</f>
        <v>45848</v>
      </c>
      <c r="H454" s="7" t="str">
        <f>IFERROR(VLOOKUP($A454,Orders[],MATCH(H$1,Orders[#Headers],0),FALSE),"CHECK")</f>
        <v>Plant 2 Canteen</v>
      </c>
      <c r="I454">
        <f>IFERROR(VLOOKUP(OrderLines[[#This Row],[OrderID]],Orders[],MATCH(OrderLines[[#Headers],[DiscountPct]],Orders[#Headers],0),FALSE),"CHECK")</f>
        <v>0.06</v>
      </c>
      <c r="J454" t="str">
        <f>IFERROR(VLOOKUP(OrderLines[[#This Row],[OrderID]],Orders[],MATCH(OrderLines[[#Headers],[Shift]],Orders[#Headers],0),FALSE),"CHECK")</f>
        <v>Dinner</v>
      </c>
      <c r="K454" s="11">
        <f>OrderLines[[#This Row],[Qty]] * OrderLines[[#This Row],[UnitPrice]] * (1-OrderLines[[#This Row],[DiscountPct]])</f>
        <v>329.37599999999998</v>
      </c>
      <c r="L454">
        <f>OrderLines[[#This Row],[Qty]]*OrderLines[[#This Row],[UnitCost]]</f>
        <v>146.91</v>
      </c>
    </row>
    <row r="455" spans="1:12" x14ac:dyDescent="0.25">
      <c r="A455" t="s">
        <v>216</v>
      </c>
      <c r="B455" t="s">
        <v>407</v>
      </c>
      <c r="C455">
        <v>1</v>
      </c>
      <c r="D455" s="9">
        <f>IFERROR(VLOOKUP($B455,Menu[],MATCH(D$1,Menu[#Headers],0),FALSE),"CHECK")</f>
        <v>246.09</v>
      </c>
      <c r="E455" s="9">
        <f>IFERROR(VLOOKUP($B455,Menu[],MATCH(E$1,Menu[#Headers],0),FALSE),"CHECK")</f>
        <v>112.08</v>
      </c>
      <c r="F455" t="str">
        <f>IFERROR(VLOOKUP($B455,Menu[],MATCH(F$1,Menu[#Headers],0),FALSE),"CHECK")</f>
        <v>Hot Meal</v>
      </c>
      <c r="G455" s="7">
        <f>IFERROR(INT(VLOOKUP($A455,Orders[],MATCH("OrderDateTime",Orders[#Headers],0),FALSE)),"CHECK")</f>
        <v>45840</v>
      </c>
      <c r="H455" s="7" t="str">
        <f>IFERROR(VLOOKUP($A455,Orders[],MATCH(H$1,Orders[#Headers],0),FALSE),"CHECK")</f>
        <v>Head Office Café</v>
      </c>
      <c r="I455">
        <f>IFERROR(VLOOKUP(OrderLines[[#This Row],[OrderID]],Orders[],MATCH(OrderLines[[#Headers],[DiscountPct]],Orders[#Headers],0),FALSE),"CHECK")</f>
        <v>0.15</v>
      </c>
      <c r="J455" t="str">
        <f>IFERROR(VLOOKUP(OrderLines[[#This Row],[OrderID]],Orders[],MATCH(OrderLines[[#Headers],[Shift]],Orders[#Headers],0),FALSE),"CHECK")</f>
        <v>Dinner</v>
      </c>
      <c r="K455" s="11">
        <f>OrderLines[[#This Row],[Qty]] * OrderLines[[#This Row],[UnitPrice]] * (1-OrderLines[[#This Row],[DiscountPct]])</f>
        <v>209.1765</v>
      </c>
      <c r="L455">
        <f>OrderLines[[#This Row],[Qty]]*OrderLines[[#This Row],[UnitCost]]</f>
        <v>112.08</v>
      </c>
    </row>
    <row r="456" spans="1:12" x14ac:dyDescent="0.25">
      <c r="A456" t="s">
        <v>216</v>
      </c>
      <c r="B456" t="s">
        <v>419</v>
      </c>
      <c r="C456">
        <v>2</v>
      </c>
      <c r="D456" s="9">
        <f>IFERROR(VLOOKUP($B456,Menu[],MATCH(D$1,Menu[#Headers],0),FALSE),"CHECK")</f>
        <v>50.19</v>
      </c>
      <c r="E456" s="9">
        <f>IFERROR(VLOOKUP($B456,Menu[],MATCH(E$1,Menu[#Headers],0),FALSE),"CHECK")</f>
        <v>22.61</v>
      </c>
      <c r="F456" t="str">
        <f>IFERROR(VLOOKUP($B456,Menu[],MATCH(F$1,Menu[#Headers],0),FALSE),"CHECK")</f>
        <v>Snack</v>
      </c>
      <c r="G456" s="7">
        <f>IFERROR(INT(VLOOKUP($A456,Orders[],MATCH("OrderDateTime",Orders[#Headers],0),FALSE)),"CHECK")</f>
        <v>45840</v>
      </c>
      <c r="H456" s="7" t="str">
        <f>IFERROR(VLOOKUP($A456,Orders[],MATCH(H$1,Orders[#Headers],0),FALSE),"CHECK")</f>
        <v>Head Office Café</v>
      </c>
      <c r="I456">
        <f>IFERROR(VLOOKUP(OrderLines[[#This Row],[OrderID]],Orders[],MATCH(OrderLines[[#Headers],[DiscountPct]],Orders[#Headers],0),FALSE),"CHECK")</f>
        <v>0.15</v>
      </c>
      <c r="J456" t="str">
        <f>IFERROR(VLOOKUP(OrderLines[[#This Row],[OrderID]],Orders[],MATCH(OrderLines[[#Headers],[Shift]],Orders[#Headers],0),FALSE),"CHECK")</f>
        <v>Dinner</v>
      </c>
      <c r="K456" s="11">
        <f>OrderLines[[#This Row],[Qty]] * OrderLines[[#This Row],[UnitPrice]] * (1-OrderLines[[#This Row],[DiscountPct]])</f>
        <v>85.322999999999993</v>
      </c>
      <c r="L456">
        <f>OrderLines[[#This Row],[Qty]]*OrderLines[[#This Row],[UnitCost]]</f>
        <v>45.22</v>
      </c>
    </row>
    <row r="457" spans="1:12" x14ac:dyDescent="0.25">
      <c r="A457" t="s">
        <v>216</v>
      </c>
      <c r="B457" t="s">
        <v>401</v>
      </c>
      <c r="C457">
        <v>1</v>
      </c>
      <c r="D457" s="9">
        <f>IFERROR(VLOOKUP($B457,Menu[],MATCH(D$1,Menu[#Headers],0),FALSE),"CHECK")</f>
        <v>52.45</v>
      </c>
      <c r="E457" s="9">
        <f>IFERROR(VLOOKUP($B457,Menu[],MATCH(E$1,Menu[#Headers],0),FALSE),"CHECK")</f>
        <v>25.8</v>
      </c>
      <c r="F457" t="str">
        <f>IFERROR(VLOOKUP($B457,Menu[],MATCH(F$1,Menu[#Headers],0),FALSE),"CHECK")</f>
        <v>Snack</v>
      </c>
      <c r="G457" s="7">
        <f>IFERROR(INT(VLOOKUP($A457,Orders[],MATCH("OrderDateTime",Orders[#Headers],0),FALSE)),"CHECK")</f>
        <v>45840</v>
      </c>
      <c r="H457" s="7" t="str">
        <f>IFERROR(VLOOKUP($A457,Orders[],MATCH(H$1,Orders[#Headers],0),FALSE),"CHECK")</f>
        <v>Head Office Café</v>
      </c>
      <c r="I457">
        <f>IFERROR(VLOOKUP(OrderLines[[#This Row],[OrderID]],Orders[],MATCH(OrderLines[[#Headers],[DiscountPct]],Orders[#Headers],0),FALSE),"CHECK")</f>
        <v>0.15</v>
      </c>
      <c r="J457" t="str">
        <f>IFERROR(VLOOKUP(OrderLines[[#This Row],[OrderID]],Orders[],MATCH(OrderLines[[#Headers],[Shift]],Orders[#Headers],0),FALSE),"CHECK")</f>
        <v>Dinner</v>
      </c>
      <c r="K457" s="11">
        <f>OrderLines[[#This Row],[Qty]] * OrderLines[[#This Row],[UnitPrice]] * (1-OrderLines[[#This Row],[DiscountPct]])</f>
        <v>44.582500000000003</v>
      </c>
      <c r="L457">
        <f>OrderLines[[#This Row],[Qty]]*OrderLines[[#This Row],[UnitCost]]</f>
        <v>25.8</v>
      </c>
    </row>
    <row r="458" spans="1:12" x14ac:dyDescent="0.25">
      <c r="A458" t="s">
        <v>217</v>
      </c>
      <c r="B458" t="s">
        <v>409</v>
      </c>
      <c r="C458">
        <v>1</v>
      </c>
      <c r="D458" s="9">
        <f>IFERROR(VLOOKUP($B458,Menu[],MATCH(D$1,Menu[#Headers],0),FALSE),"CHECK")</f>
        <v>28.43</v>
      </c>
      <c r="E458" s="9">
        <f>IFERROR(VLOOKUP($B458,Menu[],MATCH(E$1,Menu[#Headers],0),FALSE),"CHECK")</f>
        <v>13.89</v>
      </c>
      <c r="F458" t="str">
        <f>IFERROR(VLOOKUP($B458,Menu[],MATCH(F$1,Menu[#Headers],0),FALSE),"CHECK")</f>
        <v>Beverage</v>
      </c>
      <c r="G458" s="7">
        <f>IFERROR(INT(VLOOKUP($A458,Orders[],MATCH("OrderDateTime",Orders[#Headers],0),FALSE)),"CHECK")</f>
        <v>45846</v>
      </c>
      <c r="H458" s="7" t="str">
        <f>IFERROR(VLOOKUP($A458,Orders[],MATCH(H$1,Orders[#Headers],0),FALSE),"CHECK")</f>
        <v>Plant 2 Canteen</v>
      </c>
      <c r="I458">
        <f>IFERROR(VLOOKUP(OrderLines[[#This Row],[OrderID]],Orders[],MATCH(OrderLines[[#Headers],[DiscountPct]],Orders[#Headers],0),FALSE),"CHECK")</f>
        <v>0</v>
      </c>
      <c r="J458" t="str">
        <f>IFERROR(VLOOKUP(OrderLines[[#This Row],[OrderID]],Orders[],MATCH(OrderLines[[#Headers],[Shift]],Orders[#Headers],0),FALSE),"CHECK")</f>
        <v>Lunch</v>
      </c>
      <c r="K458" s="11">
        <f>OrderLines[[#This Row],[Qty]] * OrderLines[[#This Row],[UnitPrice]] * (1-OrderLines[[#This Row],[DiscountPct]])</f>
        <v>28.43</v>
      </c>
      <c r="L458">
        <f>OrderLines[[#This Row],[Qty]]*OrderLines[[#This Row],[UnitCost]]</f>
        <v>13.89</v>
      </c>
    </row>
    <row r="459" spans="1:12" x14ac:dyDescent="0.25">
      <c r="A459" t="s">
        <v>218</v>
      </c>
      <c r="B459" t="s">
        <v>416</v>
      </c>
      <c r="C459">
        <v>3</v>
      </c>
      <c r="D459" s="9">
        <f>IFERROR(VLOOKUP($B459,Menu[],MATCH(D$1,Menu[#Headers],0),FALSE),"CHECK")</f>
        <v>227.61</v>
      </c>
      <c r="E459" s="9">
        <f>IFERROR(VLOOKUP($B459,Menu[],MATCH(E$1,Menu[#Headers],0),FALSE),"CHECK")</f>
        <v>96.22</v>
      </c>
      <c r="F459" t="str">
        <f>IFERROR(VLOOKUP($B459,Menu[],MATCH(F$1,Menu[#Headers],0),FALSE),"CHECK")</f>
        <v>Hot Meal</v>
      </c>
      <c r="G459" s="7">
        <f>IFERROR(INT(VLOOKUP($A459,Orders[],MATCH("OrderDateTime",Orders[#Headers],0),FALSE)),"CHECK")</f>
        <v>45847</v>
      </c>
      <c r="H459" s="7" t="str">
        <f>IFERROR(VLOOKUP($A459,Orders[],MATCH(H$1,Orders[#Headers],0),FALSE),"CHECK")</f>
        <v>Plant 2 Canteen</v>
      </c>
      <c r="I459">
        <f>IFERROR(VLOOKUP(OrderLines[[#This Row],[OrderID]],Orders[],MATCH(OrderLines[[#Headers],[DiscountPct]],Orders[#Headers],0),FALSE),"CHECK")</f>
        <v>0.09</v>
      </c>
      <c r="J459" t="str">
        <f>IFERROR(VLOOKUP(OrderLines[[#This Row],[OrderID]],Orders[],MATCH(OrderLines[[#Headers],[Shift]],Orders[#Headers],0),FALSE),"CHECK")</f>
        <v>Breakfast</v>
      </c>
      <c r="K459" s="11">
        <f>OrderLines[[#This Row],[Qty]] * OrderLines[[#This Row],[UnitPrice]] * (1-OrderLines[[#This Row],[DiscountPct]])</f>
        <v>621.37530000000004</v>
      </c>
      <c r="L459">
        <f>OrderLines[[#This Row],[Qty]]*OrderLines[[#This Row],[UnitCost]]</f>
        <v>288.65999999999997</v>
      </c>
    </row>
    <row r="460" spans="1:12" x14ac:dyDescent="0.25">
      <c r="A460" t="s">
        <v>218</v>
      </c>
      <c r="B460" t="s">
        <v>407</v>
      </c>
      <c r="C460">
        <v>1</v>
      </c>
      <c r="D460" s="9">
        <f>IFERROR(VLOOKUP($B460,Menu[],MATCH(D$1,Menu[#Headers],0),FALSE),"CHECK")</f>
        <v>246.09</v>
      </c>
      <c r="E460" s="9">
        <f>IFERROR(VLOOKUP($B460,Menu[],MATCH(E$1,Menu[#Headers],0),FALSE),"CHECK")</f>
        <v>112.08</v>
      </c>
      <c r="F460" t="str">
        <f>IFERROR(VLOOKUP($B460,Menu[],MATCH(F$1,Menu[#Headers],0),FALSE),"CHECK")</f>
        <v>Hot Meal</v>
      </c>
      <c r="G460" s="7">
        <f>IFERROR(INT(VLOOKUP($A460,Orders[],MATCH("OrderDateTime",Orders[#Headers],0),FALSE)),"CHECK")</f>
        <v>45847</v>
      </c>
      <c r="H460" s="7" t="str">
        <f>IFERROR(VLOOKUP($A460,Orders[],MATCH(H$1,Orders[#Headers],0),FALSE),"CHECK")</f>
        <v>Plant 2 Canteen</v>
      </c>
      <c r="I460">
        <f>IFERROR(VLOOKUP(OrderLines[[#This Row],[OrderID]],Orders[],MATCH(OrderLines[[#Headers],[DiscountPct]],Orders[#Headers],0),FALSE),"CHECK")</f>
        <v>0.09</v>
      </c>
      <c r="J460" t="str">
        <f>IFERROR(VLOOKUP(OrderLines[[#This Row],[OrderID]],Orders[],MATCH(OrderLines[[#Headers],[Shift]],Orders[#Headers],0),FALSE),"CHECK")</f>
        <v>Breakfast</v>
      </c>
      <c r="K460" s="11">
        <f>OrderLines[[#This Row],[Qty]] * OrderLines[[#This Row],[UnitPrice]] * (1-OrderLines[[#This Row],[DiscountPct]])</f>
        <v>223.9419</v>
      </c>
      <c r="L460">
        <f>OrderLines[[#This Row],[Qty]]*OrderLines[[#This Row],[UnitCost]]</f>
        <v>112.08</v>
      </c>
    </row>
    <row r="461" spans="1:12" x14ac:dyDescent="0.25">
      <c r="A461" t="s">
        <v>218</v>
      </c>
      <c r="B461" t="s">
        <v>415</v>
      </c>
      <c r="C461">
        <v>1</v>
      </c>
      <c r="D461" s="9">
        <f>IFERROR(VLOOKUP($B461,Menu[],MATCH(D$1,Menu[#Headers],0),FALSE),"CHECK")</f>
        <v>256.91000000000003</v>
      </c>
      <c r="E461" s="9">
        <f>IFERROR(VLOOKUP($B461,Menu[],MATCH(E$1,Menu[#Headers],0),FALSE),"CHECK")</f>
        <v>121.24</v>
      </c>
      <c r="F461" t="str">
        <f>IFERROR(VLOOKUP($B461,Menu[],MATCH(F$1,Menu[#Headers],0),FALSE),"CHECK")</f>
        <v>Hot Meal</v>
      </c>
      <c r="G461" s="7">
        <f>IFERROR(INT(VLOOKUP($A461,Orders[],MATCH("OrderDateTime",Orders[#Headers],0),FALSE)),"CHECK")</f>
        <v>45847</v>
      </c>
      <c r="H461" s="7" t="str">
        <f>IFERROR(VLOOKUP($A461,Orders[],MATCH(H$1,Orders[#Headers],0),FALSE),"CHECK")</f>
        <v>Plant 2 Canteen</v>
      </c>
      <c r="I461">
        <f>IFERROR(VLOOKUP(OrderLines[[#This Row],[OrderID]],Orders[],MATCH(OrderLines[[#Headers],[DiscountPct]],Orders[#Headers],0),FALSE),"CHECK")</f>
        <v>0.09</v>
      </c>
      <c r="J461" t="str">
        <f>IFERROR(VLOOKUP(OrderLines[[#This Row],[OrderID]],Orders[],MATCH(OrderLines[[#Headers],[Shift]],Orders[#Headers],0),FALSE),"CHECK")</f>
        <v>Breakfast</v>
      </c>
      <c r="K461" s="11">
        <f>OrderLines[[#This Row],[Qty]] * OrderLines[[#This Row],[UnitPrice]] * (1-OrderLines[[#This Row],[DiscountPct]])</f>
        <v>233.78810000000004</v>
      </c>
      <c r="L461">
        <f>OrderLines[[#This Row],[Qty]]*OrderLines[[#This Row],[UnitCost]]</f>
        <v>121.24</v>
      </c>
    </row>
    <row r="462" spans="1:12" x14ac:dyDescent="0.25">
      <c r="A462" t="s">
        <v>218</v>
      </c>
      <c r="B462" t="s">
        <v>412</v>
      </c>
      <c r="C462">
        <v>2</v>
      </c>
      <c r="D462" s="9">
        <f>IFERROR(VLOOKUP($B462,Menu[],MATCH(D$1,Menu[#Headers],0),FALSE),"CHECK")</f>
        <v>57.07</v>
      </c>
      <c r="E462" s="9">
        <f>IFERROR(VLOOKUP($B462,Menu[],MATCH(E$1,Menu[#Headers],0),FALSE),"CHECK")</f>
        <v>29.14</v>
      </c>
      <c r="F462" t="str">
        <f>IFERROR(VLOOKUP($B462,Menu[],MATCH(F$1,Menu[#Headers],0),FALSE),"CHECK")</f>
        <v>Dessert</v>
      </c>
      <c r="G462" s="7">
        <f>IFERROR(INT(VLOOKUP($A462,Orders[],MATCH("OrderDateTime",Orders[#Headers],0),FALSE)),"CHECK")</f>
        <v>45847</v>
      </c>
      <c r="H462" s="7" t="str">
        <f>IFERROR(VLOOKUP($A462,Orders[],MATCH(H$1,Orders[#Headers],0),FALSE),"CHECK")</f>
        <v>Plant 2 Canteen</v>
      </c>
      <c r="I462">
        <f>IFERROR(VLOOKUP(OrderLines[[#This Row],[OrderID]],Orders[],MATCH(OrderLines[[#Headers],[DiscountPct]],Orders[#Headers],0),FALSE),"CHECK")</f>
        <v>0.09</v>
      </c>
      <c r="J462" t="str">
        <f>IFERROR(VLOOKUP(OrderLines[[#This Row],[OrderID]],Orders[],MATCH(OrderLines[[#Headers],[Shift]],Orders[#Headers],0),FALSE),"CHECK")</f>
        <v>Breakfast</v>
      </c>
      <c r="K462" s="11">
        <f>OrderLines[[#This Row],[Qty]] * OrderLines[[#This Row],[UnitPrice]] * (1-OrderLines[[#This Row],[DiscountPct]])</f>
        <v>103.8674</v>
      </c>
      <c r="L462">
        <f>OrderLines[[#This Row],[Qty]]*OrderLines[[#This Row],[UnitCost]]</f>
        <v>58.28</v>
      </c>
    </row>
    <row r="463" spans="1:12" x14ac:dyDescent="0.25">
      <c r="A463" t="s">
        <v>219</v>
      </c>
      <c r="B463" t="s">
        <v>401</v>
      </c>
      <c r="C463">
        <v>1</v>
      </c>
      <c r="D463" s="9">
        <f>IFERROR(VLOOKUP($B463,Menu[],MATCH(D$1,Menu[#Headers],0),FALSE),"CHECK")</f>
        <v>52.45</v>
      </c>
      <c r="E463" s="9">
        <f>IFERROR(VLOOKUP($B463,Menu[],MATCH(E$1,Menu[#Headers],0),FALSE),"CHECK")</f>
        <v>25.8</v>
      </c>
      <c r="F463" t="str">
        <f>IFERROR(VLOOKUP($B463,Menu[],MATCH(F$1,Menu[#Headers],0),FALSE),"CHECK")</f>
        <v>Snack</v>
      </c>
      <c r="G463" s="7">
        <f>IFERROR(INT(VLOOKUP($A463,Orders[],MATCH("OrderDateTime",Orders[#Headers],0),FALSE)),"CHECK")</f>
        <v>45869</v>
      </c>
      <c r="H463" s="7" t="str">
        <f>IFERROR(VLOOKUP($A463,Orders[],MATCH(H$1,Orders[#Headers],0),FALSE),"CHECK")</f>
        <v>Head Office Café</v>
      </c>
      <c r="I463">
        <f>IFERROR(VLOOKUP(OrderLines[[#This Row],[OrderID]],Orders[],MATCH(OrderLines[[#Headers],[DiscountPct]],Orders[#Headers],0),FALSE),"CHECK")</f>
        <v>0</v>
      </c>
      <c r="J463" t="str">
        <f>IFERROR(VLOOKUP(OrderLines[[#This Row],[OrderID]],Orders[],MATCH(OrderLines[[#Headers],[Shift]],Orders[#Headers],0),FALSE),"CHECK")</f>
        <v>Dinner</v>
      </c>
      <c r="K463" s="11">
        <f>OrderLines[[#This Row],[Qty]] * OrderLines[[#This Row],[UnitPrice]] * (1-OrderLines[[#This Row],[DiscountPct]])</f>
        <v>52.45</v>
      </c>
      <c r="L463">
        <f>OrderLines[[#This Row],[Qty]]*OrderLines[[#This Row],[UnitCost]]</f>
        <v>25.8</v>
      </c>
    </row>
    <row r="464" spans="1:12" x14ac:dyDescent="0.25">
      <c r="A464" t="s">
        <v>220</v>
      </c>
      <c r="B464" t="s">
        <v>402</v>
      </c>
      <c r="C464">
        <v>3</v>
      </c>
      <c r="D464" s="9">
        <f>IFERROR(VLOOKUP($B464,Menu[],MATCH(D$1,Menu[#Headers],0),FALSE),"CHECK")</f>
        <v>30.34</v>
      </c>
      <c r="E464" s="9">
        <f>IFERROR(VLOOKUP($B464,Menu[],MATCH(E$1,Menu[#Headers],0),FALSE),"CHECK")</f>
        <v>14.18</v>
      </c>
      <c r="F464" t="str">
        <f>IFERROR(VLOOKUP($B464,Menu[],MATCH(F$1,Menu[#Headers],0),FALSE),"CHECK")</f>
        <v>Beverage</v>
      </c>
      <c r="G464" s="7">
        <f>IFERROR(INT(VLOOKUP($A464,Orders[],MATCH("OrderDateTime",Orders[#Headers],0),FALSE)),"CHECK")</f>
        <v>45842</v>
      </c>
      <c r="H464" s="7" t="str">
        <f>IFERROR(VLOOKUP($A464,Orders[],MATCH(H$1,Orders[#Headers],0),FALSE),"CHECK")</f>
        <v>Head Office Café</v>
      </c>
      <c r="I464">
        <f>IFERROR(VLOOKUP(OrderLines[[#This Row],[OrderID]],Orders[],MATCH(OrderLines[[#Headers],[DiscountPct]],Orders[#Headers],0),FALSE),"CHECK")</f>
        <v>0.04</v>
      </c>
      <c r="J464" t="str">
        <f>IFERROR(VLOOKUP(OrderLines[[#This Row],[OrderID]],Orders[],MATCH(OrderLines[[#Headers],[Shift]],Orders[#Headers],0),FALSE),"CHECK")</f>
        <v>Dinner</v>
      </c>
      <c r="K464" s="11">
        <f>OrderLines[[#This Row],[Qty]] * OrderLines[[#This Row],[UnitPrice]] * (1-OrderLines[[#This Row],[DiscountPct]])</f>
        <v>87.379199999999997</v>
      </c>
      <c r="L464">
        <f>OrderLines[[#This Row],[Qty]]*OrderLines[[#This Row],[UnitCost]]</f>
        <v>42.54</v>
      </c>
    </row>
    <row r="465" spans="1:12" x14ac:dyDescent="0.25">
      <c r="A465" t="s">
        <v>220</v>
      </c>
      <c r="B465" t="s">
        <v>404</v>
      </c>
      <c r="C465">
        <v>2</v>
      </c>
      <c r="D465" s="9">
        <f>IFERROR(VLOOKUP($B465,Menu[],MATCH(D$1,Menu[#Headers],0),FALSE),"CHECK")</f>
        <v>32.979999999999997</v>
      </c>
      <c r="E465" s="9">
        <f>IFERROR(VLOOKUP($B465,Menu[],MATCH(E$1,Menu[#Headers],0),FALSE),"CHECK")</f>
        <v>11.84</v>
      </c>
      <c r="F465" t="str">
        <f>IFERROR(VLOOKUP($B465,Menu[],MATCH(F$1,Menu[#Headers],0),FALSE),"CHECK")</f>
        <v>Beverage</v>
      </c>
      <c r="G465" s="7">
        <f>IFERROR(INT(VLOOKUP($A465,Orders[],MATCH("OrderDateTime",Orders[#Headers],0),FALSE)),"CHECK")</f>
        <v>45842</v>
      </c>
      <c r="H465" s="7" t="str">
        <f>IFERROR(VLOOKUP($A465,Orders[],MATCH(H$1,Orders[#Headers],0),FALSE),"CHECK")</f>
        <v>Head Office Café</v>
      </c>
      <c r="I465">
        <f>IFERROR(VLOOKUP(OrderLines[[#This Row],[OrderID]],Orders[],MATCH(OrderLines[[#Headers],[DiscountPct]],Orders[#Headers],0),FALSE),"CHECK")</f>
        <v>0.04</v>
      </c>
      <c r="J465" t="str">
        <f>IFERROR(VLOOKUP(OrderLines[[#This Row],[OrderID]],Orders[],MATCH(OrderLines[[#Headers],[Shift]],Orders[#Headers],0),FALSE),"CHECK")</f>
        <v>Dinner</v>
      </c>
      <c r="K465" s="11">
        <f>OrderLines[[#This Row],[Qty]] * OrderLines[[#This Row],[UnitPrice]] * (1-OrderLines[[#This Row],[DiscountPct]])</f>
        <v>63.321599999999989</v>
      </c>
      <c r="L465">
        <f>OrderLines[[#This Row],[Qty]]*OrderLines[[#This Row],[UnitCost]]</f>
        <v>23.68</v>
      </c>
    </row>
    <row r="466" spans="1:12" x14ac:dyDescent="0.25">
      <c r="A466" t="s">
        <v>221</v>
      </c>
      <c r="B466" t="s">
        <v>406</v>
      </c>
      <c r="C466">
        <v>1</v>
      </c>
      <c r="D466" s="9">
        <f>IFERROR(VLOOKUP($B466,Menu[],MATCH(D$1,Menu[#Headers],0),FALSE),"CHECK")</f>
        <v>38.06</v>
      </c>
      <c r="E466" s="9">
        <f>IFERROR(VLOOKUP($B466,Menu[],MATCH(E$1,Menu[#Headers],0),FALSE),"CHECK")</f>
        <v>19.55</v>
      </c>
      <c r="F466" t="str">
        <f>IFERROR(VLOOKUP($B466,Menu[],MATCH(F$1,Menu[#Headers],0),FALSE),"CHECK")</f>
        <v>Snack</v>
      </c>
      <c r="G466" s="7">
        <f>IFERROR(INT(VLOOKUP($A466,Orders[],MATCH("OrderDateTime",Orders[#Headers],0),FALSE)),"CHECK")</f>
        <v>45861</v>
      </c>
      <c r="H466" s="7" t="str">
        <f>IFERROR(VLOOKUP($A466,Orders[],MATCH(H$1,Orders[#Headers],0),FALSE),"CHECK")</f>
        <v>Head Office Café</v>
      </c>
      <c r="I466">
        <f>IFERROR(VLOOKUP(OrderLines[[#This Row],[OrderID]],Orders[],MATCH(OrderLines[[#Headers],[DiscountPct]],Orders[#Headers],0),FALSE),"CHECK")</f>
        <v>0.1</v>
      </c>
      <c r="J466" t="str">
        <f>IFERROR(VLOOKUP(OrderLines[[#This Row],[OrderID]],Orders[],MATCH(OrderLines[[#Headers],[Shift]],Orders[#Headers],0),FALSE),"CHECK")</f>
        <v>Breakfast</v>
      </c>
      <c r="K466" s="11">
        <f>OrderLines[[#This Row],[Qty]] * OrderLines[[#This Row],[UnitPrice]] * (1-OrderLines[[#This Row],[DiscountPct]])</f>
        <v>34.254000000000005</v>
      </c>
      <c r="L466">
        <f>OrderLines[[#This Row],[Qty]]*OrderLines[[#This Row],[UnitCost]]</f>
        <v>19.55</v>
      </c>
    </row>
    <row r="467" spans="1:12" x14ac:dyDescent="0.25">
      <c r="A467" t="s">
        <v>221</v>
      </c>
      <c r="B467" t="s">
        <v>419</v>
      </c>
      <c r="C467">
        <v>1</v>
      </c>
      <c r="D467" s="9">
        <f>IFERROR(VLOOKUP($B467,Menu[],MATCH(D$1,Menu[#Headers],0),FALSE),"CHECK")</f>
        <v>50.19</v>
      </c>
      <c r="E467" s="9">
        <f>IFERROR(VLOOKUP($B467,Menu[],MATCH(E$1,Menu[#Headers],0),FALSE),"CHECK")</f>
        <v>22.61</v>
      </c>
      <c r="F467" t="str">
        <f>IFERROR(VLOOKUP($B467,Menu[],MATCH(F$1,Menu[#Headers],0),FALSE),"CHECK")</f>
        <v>Snack</v>
      </c>
      <c r="G467" s="7">
        <f>IFERROR(INT(VLOOKUP($A467,Orders[],MATCH("OrderDateTime",Orders[#Headers],0),FALSE)),"CHECK")</f>
        <v>45861</v>
      </c>
      <c r="H467" s="7" t="str">
        <f>IFERROR(VLOOKUP($A467,Orders[],MATCH(H$1,Orders[#Headers],0),FALSE),"CHECK")</f>
        <v>Head Office Café</v>
      </c>
      <c r="I467">
        <f>IFERROR(VLOOKUP(OrderLines[[#This Row],[OrderID]],Orders[],MATCH(OrderLines[[#Headers],[DiscountPct]],Orders[#Headers],0),FALSE),"CHECK")</f>
        <v>0.1</v>
      </c>
      <c r="J467" t="str">
        <f>IFERROR(VLOOKUP(OrderLines[[#This Row],[OrderID]],Orders[],MATCH(OrderLines[[#Headers],[Shift]],Orders[#Headers],0),FALSE),"CHECK")</f>
        <v>Breakfast</v>
      </c>
      <c r="K467" s="11">
        <f>OrderLines[[#This Row],[Qty]] * OrderLines[[#This Row],[UnitPrice]] * (1-OrderLines[[#This Row],[DiscountPct]])</f>
        <v>45.170999999999999</v>
      </c>
      <c r="L467">
        <f>OrderLines[[#This Row],[Qty]]*OrderLines[[#This Row],[UnitCost]]</f>
        <v>22.61</v>
      </c>
    </row>
    <row r="468" spans="1:12" x14ac:dyDescent="0.25">
      <c r="A468" t="s">
        <v>221</v>
      </c>
      <c r="B468" t="s">
        <v>412</v>
      </c>
      <c r="C468">
        <v>1</v>
      </c>
      <c r="D468" s="9">
        <f>IFERROR(VLOOKUP($B468,Menu[],MATCH(D$1,Menu[#Headers],0),FALSE),"CHECK")</f>
        <v>57.07</v>
      </c>
      <c r="E468" s="9">
        <f>IFERROR(VLOOKUP($B468,Menu[],MATCH(E$1,Menu[#Headers],0),FALSE),"CHECK")</f>
        <v>29.14</v>
      </c>
      <c r="F468" t="str">
        <f>IFERROR(VLOOKUP($B468,Menu[],MATCH(F$1,Menu[#Headers],0),FALSE),"CHECK")</f>
        <v>Dessert</v>
      </c>
      <c r="G468" s="7">
        <f>IFERROR(INT(VLOOKUP($A468,Orders[],MATCH("OrderDateTime",Orders[#Headers],0),FALSE)),"CHECK")</f>
        <v>45861</v>
      </c>
      <c r="H468" s="7" t="str">
        <f>IFERROR(VLOOKUP($A468,Orders[],MATCH(H$1,Orders[#Headers],0),FALSE),"CHECK")</f>
        <v>Head Office Café</v>
      </c>
      <c r="I468">
        <f>IFERROR(VLOOKUP(OrderLines[[#This Row],[OrderID]],Orders[],MATCH(OrderLines[[#Headers],[DiscountPct]],Orders[#Headers],0),FALSE),"CHECK")</f>
        <v>0.1</v>
      </c>
      <c r="J468" t="str">
        <f>IFERROR(VLOOKUP(OrderLines[[#This Row],[OrderID]],Orders[],MATCH(OrderLines[[#Headers],[Shift]],Orders[#Headers],0),FALSE),"CHECK")</f>
        <v>Breakfast</v>
      </c>
      <c r="K468" s="11">
        <f>OrderLines[[#This Row],[Qty]] * OrderLines[[#This Row],[UnitPrice]] * (1-OrderLines[[#This Row],[DiscountPct]])</f>
        <v>51.363</v>
      </c>
      <c r="L468">
        <f>OrderLines[[#This Row],[Qty]]*OrderLines[[#This Row],[UnitCost]]</f>
        <v>29.14</v>
      </c>
    </row>
    <row r="469" spans="1:12" x14ac:dyDescent="0.25">
      <c r="A469" t="s">
        <v>222</v>
      </c>
      <c r="B469" t="s">
        <v>408</v>
      </c>
      <c r="C469">
        <v>1</v>
      </c>
      <c r="D469" s="9">
        <f>IFERROR(VLOOKUP($B469,Menu[],MATCH(D$1,Menu[#Headers],0),FALSE),"CHECK")</f>
        <v>70.540000000000006</v>
      </c>
      <c r="E469" s="9">
        <f>IFERROR(VLOOKUP($B469,Menu[],MATCH(E$1,Menu[#Headers],0),FALSE),"CHECK")</f>
        <v>35.81</v>
      </c>
      <c r="F469" t="str">
        <f>IFERROR(VLOOKUP($B469,Menu[],MATCH(F$1,Menu[#Headers],0),FALSE),"CHECK")</f>
        <v>Snack</v>
      </c>
      <c r="G469" s="7">
        <f>IFERROR(INT(VLOOKUP($A469,Orders[],MATCH("OrderDateTime",Orders[#Headers],0),FALSE)),"CHECK")</f>
        <v>45849</v>
      </c>
      <c r="H469" s="7" t="str">
        <f>IFERROR(VLOOKUP($A469,Orders[],MATCH(H$1,Orders[#Headers],0),FALSE),"CHECK")</f>
        <v>Plant 2 Canteen</v>
      </c>
      <c r="I469">
        <f>IFERROR(VLOOKUP(OrderLines[[#This Row],[OrderID]],Orders[],MATCH(OrderLines[[#Headers],[DiscountPct]],Orders[#Headers],0),FALSE),"CHECK")</f>
        <v>0.06</v>
      </c>
      <c r="J469" t="str">
        <f>IFERROR(VLOOKUP(OrderLines[[#This Row],[OrderID]],Orders[],MATCH(OrderLines[[#Headers],[Shift]],Orders[#Headers],0),FALSE),"CHECK")</f>
        <v>Breakfast</v>
      </c>
      <c r="K469" s="11">
        <f>OrderLines[[#This Row],[Qty]] * OrderLines[[#This Row],[UnitPrice]] * (1-OrderLines[[#This Row],[DiscountPct]])</f>
        <v>66.307600000000008</v>
      </c>
      <c r="L469">
        <f>OrderLines[[#This Row],[Qty]]*OrderLines[[#This Row],[UnitCost]]</f>
        <v>35.81</v>
      </c>
    </row>
    <row r="470" spans="1:12" x14ac:dyDescent="0.25">
      <c r="A470" t="s">
        <v>222</v>
      </c>
      <c r="B470" t="s">
        <v>412</v>
      </c>
      <c r="C470">
        <v>1</v>
      </c>
      <c r="D470" s="9">
        <f>IFERROR(VLOOKUP($B470,Menu[],MATCH(D$1,Menu[#Headers],0),FALSE),"CHECK")</f>
        <v>57.07</v>
      </c>
      <c r="E470" s="9">
        <f>IFERROR(VLOOKUP($B470,Menu[],MATCH(E$1,Menu[#Headers],0),FALSE),"CHECK")</f>
        <v>29.14</v>
      </c>
      <c r="F470" t="str">
        <f>IFERROR(VLOOKUP($B470,Menu[],MATCH(F$1,Menu[#Headers],0),FALSE),"CHECK")</f>
        <v>Dessert</v>
      </c>
      <c r="G470" s="7">
        <f>IFERROR(INT(VLOOKUP($A470,Orders[],MATCH("OrderDateTime",Orders[#Headers],0),FALSE)),"CHECK")</f>
        <v>45849</v>
      </c>
      <c r="H470" s="7" t="str">
        <f>IFERROR(VLOOKUP($A470,Orders[],MATCH(H$1,Orders[#Headers],0),FALSE),"CHECK")</f>
        <v>Plant 2 Canteen</v>
      </c>
      <c r="I470">
        <f>IFERROR(VLOOKUP(OrderLines[[#This Row],[OrderID]],Orders[],MATCH(OrderLines[[#Headers],[DiscountPct]],Orders[#Headers],0),FALSE),"CHECK")</f>
        <v>0.06</v>
      </c>
      <c r="J470" t="str">
        <f>IFERROR(VLOOKUP(OrderLines[[#This Row],[OrderID]],Orders[],MATCH(OrderLines[[#Headers],[Shift]],Orders[#Headers],0),FALSE),"CHECK")</f>
        <v>Breakfast</v>
      </c>
      <c r="K470" s="11">
        <f>OrderLines[[#This Row],[Qty]] * OrderLines[[#This Row],[UnitPrice]] * (1-OrderLines[[#This Row],[DiscountPct]])</f>
        <v>53.645799999999994</v>
      </c>
      <c r="L470">
        <f>OrderLines[[#This Row],[Qty]]*OrderLines[[#This Row],[UnitCost]]</f>
        <v>29.14</v>
      </c>
    </row>
    <row r="471" spans="1:12" x14ac:dyDescent="0.25">
      <c r="A471" t="s">
        <v>222</v>
      </c>
      <c r="B471" t="s">
        <v>410</v>
      </c>
      <c r="C471">
        <v>1</v>
      </c>
      <c r="D471" s="9">
        <f>IFERROR(VLOOKUP($B471,Menu[],MATCH(D$1,Menu[#Headers],0),FALSE),"CHECK")</f>
        <v>20.11</v>
      </c>
      <c r="E471" s="9">
        <f>IFERROR(VLOOKUP($B471,Menu[],MATCH(E$1,Menu[#Headers],0),FALSE),"CHECK")</f>
        <v>8</v>
      </c>
      <c r="F471" t="str">
        <f>IFERROR(VLOOKUP($B471,Menu[],MATCH(F$1,Menu[#Headers],0),FALSE),"CHECK")</f>
        <v>Beverage</v>
      </c>
      <c r="G471" s="7">
        <f>IFERROR(INT(VLOOKUP($A471,Orders[],MATCH("OrderDateTime",Orders[#Headers],0),FALSE)),"CHECK")</f>
        <v>45849</v>
      </c>
      <c r="H471" s="7" t="str">
        <f>IFERROR(VLOOKUP($A471,Orders[],MATCH(H$1,Orders[#Headers],0),FALSE),"CHECK")</f>
        <v>Plant 2 Canteen</v>
      </c>
      <c r="I471">
        <f>IFERROR(VLOOKUP(OrderLines[[#This Row],[OrderID]],Orders[],MATCH(OrderLines[[#Headers],[DiscountPct]],Orders[#Headers],0),FALSE),"CHECK")</f>
        <v>0.06</v>
      </c>
      <c r="J471" t="str">
        <f>IFERROR(VLOOKUP(OrderLines[[#This Row],[OrderID]],Orders[],MATCH(OrderLines[[#Headers],[Shift]],Orders[#Headers],0),FALSE),"CHECK")</f>
        <v>Breakfast</v>
      </c>
      <c r="K471" s="11">
        <f>OrderLines[[#This Row],[Qty]] * OrderLines[[#This Row],[UnitPrice]] * (1-OrderLines[[#This Row],[DiscountPct]])</f>
        <v>18.903399999999998</v>
      </c>
      <c r="L471">
        <f>OrderLines[[#This Row],[Qty]]*OrderLines[[#This Row],[UnitCost]]</f>
        <v>8</v>
      </c>
    </row>
    <row r="472" spans="1:12" x14ac:dyDescent="0.25">
      <c r="A472" t="s">
        <v>223</v>
      </c>
      <c r="B472" t="s">
        <v>402</v>
      </c>
      <c r="C472">
        <v>2</v>
      </c>
      <c r="D472" s="9">
        <f>IFERROR(VLOOKUP($B472,Menu[],MATCH(D$1,Menu[#Headers],0),FALSE),"CHECK")</f>
        <v>30.34</v>
      </c>
      <c r="E472" s="9">
        <f>IFERROR(VLOOKUP($B472,Menu[],MATCH(E$1,Menu[#Headers],0),FALSE),"CHECK")</f>
        <v>14.18</v>
      </c>
      <c r="F472" t="str">
        <f>IFERROR(VLOOKUP($B472,Menu[],MATCH(F$1,Menu[#Headers],0),FALSE),"CHECK")</f>
        <v>Beverage</v>
      </c>
      <c r="G472" s="7">
        <f>IFERROR(INT(VLOOKUP($A472,Orders[],MATCH("OrderDateTime",Orders[#Headers],0),FALSE)),"CHECK")</f>
        <v>45842</v>
      </c>
      <c r="H472" s="7" t="str">
        <f>IFERROR(VLOOKUP($A472,Orders[],MATCH(H$1,Orders[#Headers],0),FALSE),"CHECK")</f>
        <v>Plant 1 Canteen</v>
      </c>
      <c r="I472">
        <f>IFERROR(VLOOKUP(OrderLines[[#This Row],[OrderID]],Orders[],MATCH(OrderLines[[#Headers],[DiscountPct]],Orders[#Headers],0),FALSE),"CHECK")</f>
        <v>0.02</v>
      </c>
      <c r="J472" t="str">
        <f>IFERROR(VLOOKUP(OrderLines[[#This Row],[OrderID]],Orders[],MATCH(OrderLines[[#Headers],[Shift]],Orders[#Headers],0),FALSE),"CHECK")</f>
        <v>Breakfast</v>
      </c>
      <c r="K472" s="11">
        <f>OrderLines[[#This Row],[Qty]] * OrderLines[[#This Row],[UnitPrice]] * (1-OrderLines[[#This Row],[DiscountPct]])</f>
        <v>59.4664</v>
      </c>
      <c r="L472">
        <f>OrderLines[[#This Row],[Qty]]*OrderLines[[#This Row],[UnitCost]]</f>
        <v>28.36</v>
      </c>
    </row>
    <row r="473" spans="1:12" x14ac:dyDescent="0.25">
      <c r="A473" t="s">
        <v>224</v>
      </c>
      <c r="B473" t="s">
        <v>408</v>
      </c>
      <c r="C473">
        <v>1</v>
      </c>
      <c r="D473" s="9">
        <f>IFERROR(VLOOKUP($B473,Menu[],MATCH(D$1,Menu[#Headers],0),FALSE),"CHECK")</f>
        <v>70.540000000000006</v>
      </c>
      <c r="E473" s="9">
        <f>IFERROR(VLOOKUP($B473,Menu[],MATCH(E$1,Menu[#Headers],0),FALSE),"CHECK")</f>
        <v>35.81</v>
      </c>
      <c r="F473" t="str">
        <f>IFERROR(VLOOKUP($B473,Menu[],MATCH(F$1,Menu[#Headers],0),FALSE),"CHECK")</f>
        <v>Snack</v>
      </c>
      <c r="G473" s="7">
        <f>IFERROR(INT(VLOOKUP($A473,Orders[],MATCH("OrderDateTime",Orders[#Headers],0),FALSE)),"CHECK")</f>
        <v>45874</v>
      </c>
      <c r="H473" s="7" t="str">
        <f>IFERROR(VLOOKUP($A473,Orders[],MATCH(H$1,Orders[#Headers],0),FALSE),"CHECK")</f>
        <v>Plant 2 Canteen</v>
      </c>
      <c r="I473">
        <f>IFERROR(VLOOKUP(OrderLines[[#This Row],[OrderID]],Orders[],MATCH(OrderLines[[#Headers],[DiscountPct]],Orders[#Headers],0),FALSE),"CHECK")</f>
        <v>0.03</v>
      </c>
      <c r="J473" t="str">
        <f>IFERROR(VLOOKUP(OrderLines[[#This Row],[OrderID]],Orders[],MATCH(OrderLines[[#Headers],[Shift]],Orders[#Headers],0),FALSE),"CHECK")</f>
        <v>Breakfast</v>
      </c>
      <c r="K473" s="11">
        <f>OrderLines[[#This Row],[Qty]] * OrderLines[[#This Row],[UnitPrice]] * (1-OrderLines[[#This Row],[DiscountPct]])</f>
        <v>68.4238</v>
      </c>
      <c r="L473">
        <f>OrderLines[[#This Row],[Qty]]*OrderLines[[#This Row],[UnitCost]]</f>
        <v>35.81</v>
      </c>
    </row>
    <row r="474" spans="1:12" x14ac:dyDescent="0.25">
      <c r="A474" t="s">
        <v>224</v>
      </c>
      <c r="B474" t="s">
        <v>404</v>
      </c>
      <c r="C474">
        <v>2</v>
      </c>
      <c r="D474" s="9">
        <f>IFERROR(VLOOKUP($B474,Menu[],MATCH(D$1,Menu[#Headers],0),FALSE),"CHECK")</f>
        <v>32.979999999999997</v>
      </c>
      <c r="E474" s="9">
        <f>IFERROR(VLOOKUP($B474,Menu[],MATCH(E$1,Menu[#Headers],0),FALSE),"CHECK")</f>
        <v>11.84</v>
      </c>
      <c r="F474" t="str">
        <f>IFERROR(VLOOKUP($B474,Menu[],MATCH(F$1,Menu[#Headers],0),FALSE),"CHECK")</f>
        <v>Beverage</v>
      </c>
      <c r="G474" s="7">
        <f>IFERROR(INT(VLOOKUP($A474,Orders[],MATCH("OrderDateTime",Orders[#Headers],0),FALSE)),"CHECK")</f>
        <v>45874</v>
      </c>
      <c r="H474" s="7" t="str">
        <f>IFERROR(VLOOKUP($A474,Orders[],MATCH(H$1,Orders[#Headers],0),FALSE),"CHECK")</f>
        <v>Plant 2 Canteen</v>
      </c>
      <c r="I474">
        <f>IFERROR(VLOOKUP(OrderLines[[#This Row],[OrderID]],Orders[],MATCH(OrderLines[[#Headers],[DiscountPct]],Orders[#Headers],0),FALSE),"CHECK")</f>
        <v>0.03</v>
      </c>
      <c r="J474" t="str">
        <f>IFERROR(VLOOKUP(OrderLines[[#This Row],[OrderID]],Orders[],MATCH(OrderLines[[#Headers],[Shift]],Orders[#Headers],0),FALSE),"CHECK")</f>
        <v>Breakfast</v>
      </c>
      <c r="K474" s="11">
        <f>OrderLines[[#This Row],[Qty]] * OrderLines[[#This Row],[UnitPrice]] * (1-OrderLines[[#This Row],[DiscountPct]])</f>
        <v>63.981199999999994</v>
      </c>
      <c r="L474">
        <f>OrderLines[[#This Row],[Qty]]*OrderLines[[#This Row],[UnitCost]]</f>
        <v>23.68</v>
      </c>
    </row>
    <row r="475" spans="1:12" x14ac:dyDescent="0.25">
      <c r="A475" t="s">
        <v>224</v>
      </c>
      <c r="B475" t="s">
        <v>413</v>
      </c>
      <c r="C475">
        <v>2</v>
      </c>
      <c r="D475" s="9">
        <f>IFERROR(VLOOKUP($B475,Menu[],MATCH(D$1,Menu[#Headers],0),FALSE),"CHECK")</f>
        <v>54.2</v>
      </c>
      <c r="E475" s="9">
        <f>IFERROR(VLOOKUP($B475,Menu[],MATCH(E$1,Menu[#Headers],0),FALSE),"CHECK")</f>
        <v>21.95</v>
      </c>
      <c r="F475" t="str">
        <f>IFERROR(VLOOKUP($B475,Menu[],MATCH(F$1,Menu[#Headers],0),FALSE),"CHECK")</f>
        <v>Dessert</v>
      </c>
      <c r="G475" s="7">
        <f>IFERROR(INT(VLOOKUP($A475,Orders[],MATCH("OrderDateTime",Orders[#Headers],0),FALSE)),"CHECK")</f>
        <v>45874</v>
      </c>
      <c r="H475" s="7" t="str">
        <f>IFERROR(VLOOKUP($A475,Orders[],MATCH(H$1,Orders[#Headers],0),FALSE),"CHECK")</f>
        <v>Plant 2 Canteen</v>
      </c>
      <c r="I475">
        <f>IFERROR(VLOOKUP(OrderLines[[#This Row],[OrderID]],Orders[],MATCH(OrderLines[[#Headers],[DiscountPct]],Orders[#Headers],0),FALSE),"CHECK")</f>
        <v>0.03</v>
      </c>
      <c r="J475" t="str">
        <f>IFERROR(VLOOKUP(OrderLines[[#This Row],[OrderID]],Orders[],MATCH(OrderLines[[#Headers],[Shift]],Orders[#Headers],0),FALSE),"CHECK")</f>
        <v>Breakfast</v>
      </c>
      <c r="K475" s="11">
        <f>OrderLines[[#This Row],[Qty]] * OrderLines[[#This Row],[UnitPrice]] * (1-OrderLines[[#This Row],[DiscountPct]])</f>
        <v>105.148</v>
      </c>
      <c r="L475">
        <f>OrderLines[[#This Row],[Qty]]*OrderLines[[#This Row],[UnitCost]]</f>
        <v>43.9</v>
      </c>
    </row>
    <row r="476" spans="1:12" x14ac:dyDescent="0.25">
      <c r="A476" t="s">
        <v>224</v>
      </c>
      <c r="B476" t="s">
        <v>405</v>
      </c>
      <c r="C476">
        <v>1</v>
      </c>
      <c r="D476" s="9">
        <f>IFERROR(VLOOKUP($B476,Menu[],MATCH(D$1,Menu[#Headers],0),FALSE),"CHECK")</f>
        <v>170.83</v>
      </c>
      <c r="E476" s="9">
        <f>IFERROR(VLOOKUP($B476,Menu[],MATCH(E$1,Menu[#Headers],0),FALSE),"CHECK")</f>
        <v>74.069999999999993</v>
      </c>
      <c r="F476" t="str">
        <f>IFERROR(VLOOKUP($B476,Menu[],MATCH(F$1,Menu[#Headers],0),FALSE),"CHECK")</f>
        <v>Hot Meal</v>
      </c>
      <c r="G476" s="7">
        <f>IFERROR(INT(VLOOKUP($A476,Orders[],MATCH("OrderDateTime",Orders[#Headers],0),FALSE)),"CHECK")</f>
        <v>45874</v>
      </c>
      <c r="H476" s="7" t="str">
        <f>IFERROR(VLOOKUP($A476,Orders[],MATCH(H$1,Orders[#Headers],0),FALSE),"CHECK")</f>
        <v>Plant 2 Canteen</v>
      </c>
      <c r="I476">
        <f>IFERROR(VLOOKUP(OrderLines[[#This Row],[OrderID]],Orders[],MATCH(OrderLines[[#Headers],[DiscountPct]],Orders[#Headers],0),FALSE),"CHECK")</f>
        <v>0.03</v>
      </c>
      <c r="J476" t="str">
        <f>IFERROR(VLOOKUP(OrderLines[[#This Row],[OrderID]],Orders[],MATCH(OrderLines[[#Headers],[Shift]],Orders[#Headers],0),FALSE),"CHECK")</f>
        <v>Breakfast</v>
      </c>
      <c r="K476" s="11">
        <f>OrderLines[[#This Row],[Qty]] * OrderLines[[#This Row],[UnitPrice]] * (1-OrderLines[[#This Row],[DiscountPct]])</f>
        <v>165.70510000000002</v>
      </c>
      <c r="L476">
        <f>OrderLines[[#This Row],[Qty]]*OrderLines[[#This Row],[UnitCost]]</f>
        <v>74.069999999999993</v>
      </c>
    </row>
    <row r="477" spans="1:12" x14ac:dyDescent="0.25">
      <c r="A477" t="s">
        <v>225</v>
      </c>
      <c r="B477" t="s">
        <v>411</v>
      </c>
      <c r="C477">
        <v>2</v>
      </c>
      <c r="D477" s="9">
        <f>IFERROR(VLOOKUP($B477,Menu[],MATCH(D$1,Menu[#Headers],0),FALSE),"CHECK")</f>
        <v>22.2</v>
      </c>
      <c r="E477" s="9">
        <f>IFERROR(VLOOKUP($B477,Menu[],MATCH(E$1,Menu[#Headers],0),FALSE),"CHECK")</f>
        <v>9.3800000000000008</v>
      </c>
      <c r="F477" t="str">
        <f>IFERROR(VLOOKUP($B477,Menu[],MATCH(F$1,Menu[#Headers],0),FALSE),"CHECK")</f>
        <v>Beverage</v>
      </c>
      <c r="G477" s="7">
        <f>IFERROR(INT(VLOOKUP($A477,Orders[],MATCH("OrderDateTime",Orders[#Headers],0),FALSE)),"CHECK")</f>
        <v>45890</v>
      </c>
      <c r="H477" s="7" t="str">
        <f>IFERROR(VLOOKUP($A477,Orders[],MATCH(H$1,Orders[#Headers],0),FALSE),"CHECK")</f>
        <v>Plant 2 Canteen</v>
      </c>
      <c r="I477">
        <f>IFERROR(VLOOKUP(OrderLines[[#This Row],[OrderID]],Orders[],MATCH(OrderLines[[#Headers],[DiscountPct]],Orders[#Headers],0),FALSE),"CHECK")</f>
        <v>0.09</v>
      </c>
      <c r="J477" t="str">
        <f>IFERROR(VLOOKUP(OrderLines[[#This Row],[OrderID]],Orders[],MATCH(OrderLines[[#Headers],[Shift]],Orders[#Headers],0),FALSE),"CHECK")</f>
        <v>Dinner</v>
      </c>
      <c r="K477" s="11">
        <f>OrderLines[[#This Row],[Qty]] * OrderLines[[#This Row],[UnitPrice]] * (1-OrderLines[[#This Row],[DiscountPct]])</f>
        <v>40.404000000000003</v>
      </c>
      <c r="L477">
        <f>OrderLines[[#This Row],[Qty]]*OrderLines[[#This Row],[UnitCost]]</f>
        <v>18.760000000000002</v>
      </c>
    </row>
    <row r="478" spans="1:12" x14ac:dyDescent="0.25">
      <c r="A478" t="s">
        <v>225</v>
      </c>
      <c r="B478" t="s">
        <v>410</v>
      </c>
      <c r="C478">
        <v>2</v>
      </c>
      <c r="D478" s="9">
        <f>IFERROR(VLOOKUP($B478,Menu[],MATCH(D$1,Menu[#Headers],0),FALSE),"CHECK")</f>
        <v>20.11</v>
      </c>
      <c r="E478" s="9">
        <f>IFERROR(VLOOKUP($B478,Menu[],MATCH(E$1,Menu[#Headers],0),FALSE),"CHECK")</f>
        <v>8</v>
      </c>
      <c r="F478" t="str">
        <f>IFERROR(VLOOKUP($B478,Menu[],MATCH(F$1,Menu[#Headers],0),FALSE),"CHECK")</f>
        <v>Beverage</v>
      </c>
      <c r="G478" s="7">
        <f>IFERROR(INT(VLOOKUP($A478,Orders[],MATCH("OrderDateTime",Orders[#Headers],0),FALSE)),"CHECK")</f>
        <v>45890</v>
      </c>
      <c r="H478" s="7" t="str">
        <f>IFERROR(VLOOKUP($A478,Orders[],MATCH(H$1,Orders[#Headers],0),FALSE),"CHECK")</f>
        <v>Plant 2 Canteen</v>
      </c>
      <c r="I478">
        <f>IFERROR(VLOOKUP(OrderLines[[#This Row],[OrderID]],Orders[],MATCH(OrderLines[[#Headers],[DiscountPct]],Orders[#Headers],0),FALSE),"CHECK")</f>
        <v>0.09</v>
      </c>
      <c r="J478" t="str">
        <f>IFERROR(VLOOKUP(OrderLines[[#This Row],[OrderID]],Orders[],MATCH(OrderLines[[#Headers],[Shift]],Orders[#Headers],0),FALSE),"CHECK")</f>
        <v>Dinner</v>
      </c>
      <c r="K478" s="11">
        <f>OrderLines[[#This Row],[Qty]] * OrderLines[[#This Row],[UnitPrice]] * (1-OrderLines[[#This Row],[DiscountPct]])</f>
        <v>36.600200000000001</v>
      </c>
      <c r="L478">
        <f>OrderLines[[#This Row],[Qty]]*OrderLines[[#This Row],[UnitCost]]</f>
        <v>16</v>
      </c>
    </row>
    <row r="479" spans="1:12" x14ac:dyDescent="0.25">
      <c r="A479" t="s">
        <v>225</v>
      </c>
      <c r="B479" t="s">
        <v>408</v>
      </c>
      <c r="C479">
        <v>1</v>
      </c>
      <c r="D479" s="9">
        <f>IFERROR(VLOOKUP($B479,Menu[],MATCH(D$1,Menu[#Headers],0),FALSE),"CHECK")</f>
        <v>70.540000000000006</v>
      </c>
      <c r="E479" s="9">
        <f>IFERROR(VLOOKUP($B479,Menu[],MATCH(E$1,Menu[#Headers],0),FALSE),"CHECK")</f>
        <v>35.81</v>
      </c>
      <c r="F479" t="str">
        <f>IFERROR(VLOOKUP($B479,Menu[],MATCH(F$1,Menu[#Headers],0),FALSE),"CHECK")</f>
        <v>Snack</v>
      </c>
      <c r="G479" s="7">
        <f>IFERROR(INT(VLOOKUP($A479,Orders[],MATCH("OrderDateTime",Orders[#Headers],0),FALSE)),"CHECK")</f>
        <v>45890</v>
      </c>
      <c r="H479" s="7" t="str">
        <f>IFERROR(VLOOKUP($A479,Orders[],MATCH(H$1,Orders[#Headers],0),FALSE),"CHECK")</f>
        <v>Plant 2 Canteen</v>
      </c>
      <c r="I479">
        <f>IFERROR(VLOOKUP(OrderLines[[#This Row],[OrderID]],Orders[],MATCH(OrderLines[[#Headers],[DiscountPct]],Orders[#Headers],0),FALSE),"CHECK")</f>
        <v>0.09</v>
      </c>
      <c r="J479" t="str">
        <f>IFERROR(VLOOKUP(OrderLines[[#This Row],[OrderID]],Orders[],MATCH(OrderLines[[#Headers],[Shift]],Orders[#Headers],0),FALSE),"CHECK")</f>
        <v>Dinner</v>
      </c>
      <c r="K479" s="11">
        <f>OrderLines[[#This Row],[Qty]] * OrderLines[[#This Row],[UnitPrice]] * (1-OrderLines[[#This Row],[DiscountPct]])</f>
        <v>64.191400000000002</v>
      </c>
      <c r="L479">
        <f>OrderLines[[#This Row],[Qty]]*OrderLines[[#This Row],[UnitCost]]</f>
        <v>35.81</v>
      </c>
    </row>
    <row r="480" spans="1:12" x14ac:dyDescent="0.25">
      <c r="A480" t="s">
        <v>225</v>
      </c>
      <c r="B480" t="s">
        <v>419</v>
      </c>
      <c r="C480">
        <v>1</v>
      </c>
      <c r="D480" s="9">
        <f>IFERROR(VLOOKUP($B480,Menu[],MATCH(D$1,Menu[#Headers],0),FALSE),"CHECK")</f>
        <v>50.19</v>
      </c>
      <c r="E480" s="9">
        <f>IFERROR(VLOOKUP($B480,Menu[],MATCH(E$1,Menu[#Headers],0),FALSE),"CHECK")</f>
        <v>22.61</v>
      </c>
      <c r="F480" t="str">
        <f>IFERROR(VLOOKUP($B480,Menu[],MATCH(F$1,Menu[#Headers],0),FALSE),"CHECK")</f>
        <v>Snack</v>
      </c>
      <c r="G480" s="7">
        <f>IFERROR(INT(VLOOKUP($A480,Orders[],MATCH("OrderDateTime",Orders[#Headers],0),FALSE)),"CHECK")</f>
        <v>45890</v>
      </c>
      <c r="H480" s="7" t="str">
        <f>IFERROR(VLOOKUP($A480,Orders[],MATCH(H$1,Orders[#Headers],0),FALSE),"CHECK")</f>
        <v>Plant 2 Canteen</v>
      </c>
      <c r="I480">
        <f>IFERROR(VLOOKUP(OrderLines[[#This Row],[OrderID]],Orders[],MATCH(OrderLines[[#Headers],[DiscountPct]],Orders[#Headers],0),FALSE),"CHECK")</f>
        <v>0.09</v>
      </c>
      <c r="J480" t="str">
        <f>IFERROR(VLOOKUP(OrderLines[[#This Row],[OrderID]],Orders[],MATCH(OrderLines[[#Headers],[Shift]],Orders[#Headers],0),FALSE),"CHECK")</f>
        <v>Dinner</v>
      </c>
      <c r="K480" s="11">
        <f>OrderLines[[#This Row],[Qty]] * OrderLines[[#This Row],[UnitPrice]] * (1-OrderLines[[#This Row],[DiscountPct]])</f>
        <v>45.672899999999998</v>
      </c>
      <c r="L480">
        <f>OrderLines[[#This Row],[Qty]]*OrderLines[[#This Row],[UnitCost]]</f>
        <v>22.61</v>
      </c>
    </row>
    <row r="481" spans="1:12" x14ac:dyDescent="0.25">
      <c r="A481" t="s">
        <v>226</v>
      </c>
      <c r="B481" t="s">
        <v>408</v>
      </c>
      <c r="C481">
        <v>1</v>
      </c>
      <c r="D481" s="9">
        <f>IFERROR(VLOOKUP($B481,Menu[],MATCH(D$1,Menu[#Headers],0),FALSE),"CHECK")</f>
        <v>70.540000000000006</v>
      </c>
      <c r="E481" s="9">
        <f>IFERROR(VLOOKUP($B481,Menu[],MATCH(E$1,Menu[#Headers],0),FALSE),"CHECK")</f>
        <v>35.81</v>
      </c>
      <c r="F481" t="str">
        <f>IFERROR(VLOOKUP($B481,Menu[],MATCH(F$1,Menu[#Headers],0),FALSE),"CHECK")</f>
        <v>Snack</v>
      </c>
      <c r="G481" s="7">
        <f>IFERROR(INT(VLOOKUP($A481,Orders[],MATCH("OrderDateTime",Orders[#Headers],0),FALSE)),"CHECK")</f>
        <v>45855</v>
      </c>
      <c r="H481" s="7" t="str">
        <f>IFERROR(VLOOKUP($A481,Orders[],MATCH(H$1,Orders[#Headers],0),FALSE),"CHECK")</f>
        <v>Plant 1 Canteen</v>
      </c>
      <c r="I481">
        <f>IFERROR(VLOOKUP(OrderLines[[#This Row],[OrderID]],Orders[],MATCH(OrderLines[[#Headers],[DiscountPct]],Orders[#Headers],0),FALSE),"CHECK")</f>
        <v>0.03</v>
      </c>
      <c r="J481" t="str">
        <f>IFERROR(VLOOKUP(OrderLines[[#This Row],[OrderID]],Orders[],MATCH(OrderLines[[#Headers],[Shift]],Orders[#Headers],0),FALSE),"CHECK")</f>
        <v>Dinner</v>
      </c>
      <c r="K481" s="11">
        <f>OrderLines[[#This Row],[Qty]] * OrderLines[[#This Row],[UnitPrice]] * (1-OrderLines[[#This Row],[DiscountPct]])</f>
        <v>68.4238</v>
      </c>
      <c r="L481">
        <f>OrderLines[[#This Row],[Qty]]*OrderLines[[#This Row],[UnitCost]]</f>
        <v>35.81</v>
      </c>
    </row>
    <row r="482" spans="1:12" x14ac:dyDescent="0.25">
      <c r="A482" t="s">
        <v>226</v>
      </c>
      <c r="B482" t="s">
        <v>410</v>
      </c>
      <c r="C482">
        <v>2</v>
      </c>
      <c r="D482" s="9">
        <f>IFERROR(VLOOKUP($B482,Menu[],MATCH(D$1,Menu[#Headers],0),FALSE),"CHECK")</f>
        <v>20.11</v>
      </c>
      <c r="E482" s="9">
        <f>IFERROR(VLOOKUP($B482,Menu[],MATCH(E$1,Menu[#Headers],0),FALSE),"CHECK")</f>
        <v>8</v>
      </c>
      <c r="F482" t="str">
        <f>IFERROR(VLOOKUP($B482,Menu[],MATCH(F$1,Menu[#Headers],0),FALSE),"CHECK")</f>
        <v>Beverage</v>
      </c>
      <c r="G482" s="7">
        <f>IFERROR(INT(VLOOKUP($A482,Orders[],MATCH("OrderDateTime",Orders[#Headers],0),FALSE)),"CHECK")</f>
        <v>45855</v>
      </c>
      <c r="H482" s="7" t="str">
        <f>IFERROR(VLOOKUP($A482,Orders[],MATCH(H$1,Orders[#Headers],0),FALSE),"CHECK")</f>
        <v>Plant 1 Canteen</v>
      </c>
      <c r="I482">
        <f>IFERROR(VLOOKUP(OrderLines[[#This Row],[OrderID]],Orders[],MATCH(OrderLines[[#Headers],[DiscountPct]],Orders[#Headers],0),FALSE),"CHECK")</f>
        <v>0.03</v>
      </c>
      <c r="J482" t="str">
        <f>IFERROR(VLOOKUP(OrderLines[[#This Row],[OrderID]],Orders[],MATCH(OrderLines[[#Headers],[Shift]],Orders[#Headers],0),FALSE),"CHECK")</f>
        <v>Dinner</v>
      </c>
      <c r="K482" s="11">
        <f>OrderLines[[#This Row],[Qty]] * OrderLines[[#This Row],[UnitPrice]] * (1-OrderLines[[#This Row],[DiscountPct]])</f>
        <v>39.013399999999997</v>
      </c>
      <c r="L482">
        <f>OrderLines[[#This Row],[Qty]]*OrderLines[[#This Row],[UnitCost]]</f>
        <v>16</v>
      </c>
    </row>
    <row r="483" spans="1:12" x14ac:dyDescent="0.25">
      <c r="A483" t="s">
        <v>226</v>
      </c>
      <c r="B483" t="s">
        <v>407</v>
      </c>
      <c r="C483">
        <v>2</v>
      </c>
      <c r="D483" s="9">
        <f>IFERROR(VLOOKUP($B483,Menu[],MATCH(D$1,Menu[#Headers],0),FALSE),"CHECK")</f>
        <v>246.09</v>
      </c>
      <c r="E483" s="9">
        <f>IFERROR(VLOOKUP($B483,Menu[],MATCH(E$1,Menu[#Headers],0),FALSE),"CHECK")</f>
        <v>112.08</v>
      </c>
      <c r="F483" t="str">
        <f>IFERROR(VLOOKUP($B483,Menu[],MATCH(F$1,Menu[#Headers],0),FALSE),"CHECK")</f>
        <v>Hot Meal</v>
      </c>
      <c r="G483" s="7">
        <f>IFERROR(INT(VLOOKUP($A483,Orders[],MATCH("OrderDateTime",Orders[#Headers],0),FALSE)),"CHECK")</f>
        <v>45855</v>
      </c>
      <c r="H483" s="7" t="str">
        <f>IFERROR(VLOOKUP($A483,Orders[],MATCH(H$1,Orders[#Headers],0),FALSE),"CHECK")</f>
        <v>Plant 1 Canteen</v>
      </c>
      <c r="I483">
        <f>IFERROR(VLOOKUP(OrderLines[[#This Row],[OrderID]],Orders[],MATCH(OrderLines[[#Headers],[DiscountPct]],Orders[#Headers],0),FALSE),"CHECK")</f>
        <v>0.03</v>
      </c>
      <c r="J483" t="str">
        <f>IFERROR(VLOOKUP(OrderLines[[#This Row],[OrderID]],Orders[],MATCH(OrderLines[[#Headers],[Shift]],Orders[#Headers],0),FALSE),"CHECK")</f>
        <v>Dinner</v>
      </c>
      <c r="K483" s="11">
        <f>OrderLines[[#This Row],[Qty]] * OrderLines[[#This Row],[UnitPrice]] * (1-OrderLines[[#This Row],[DiscountPct]])</f>
        <v>477.41460000000001</v>
      </c>
      <c r="L483">
        <f>OrderLines[[#This Row],[Qty]]*OrderLines[[#This Row],[UnitCost]]</f>
        <v>224.16</v>
      </c>
    </row>
    <row r="484" spans="1:12" x14ac:dyDescent="0.25">
      <c r="A484" t="s">
        <v>227</v>
      </c>
      <c r="B484" t="s">
        <v>417</v>
      </c>
      <c r="C484">
        <v>1</v>
      </c>
      <c r="D484" s="9">
        <f>IFERROR(VLOOKUP($B484,Menu[],MATCH(D$1,Menu[#Headers],0),FALSE),"CHECK")</f>
        <v>146.4</v>
      </c>
      <c r="E484" s="9">
        <f>IFERROR(VLOOKUP($B484,Menu[],MATCH(E$1,Menu[#Headers],0),FALSE),"CHECK")</f>
        <v>80.92</v>
      </c>
      <c r="F484" t="str">
        <f>IFERROR(VLOOKUP($B484,Menu[],MATCH(F$1,Menu[#Headers],0),FALSE),"CHECK")</f>
        <v>Hot Meal</v>
      </c>
      <c r="G484" s="7">
        <f>IFERROR(INT(VLOOKUP($A484,Orders[],MATCH("OrderDateTime",Orders[#Headers],0),FALSE)),"CHECK")</f>
        <v>45862</v>
      </c>
      <c r="H484" s="7" t="str">
        <f>IFERROR(VLOOKUP($A484,Orders[],MATCH(H$1,Orders[#Headers],0),FALSE),"CHECK")</f>
        <v>Plant 2 Canteen</v>
      </c>
      <c r="I484">
        <f>IFERROR(VLOOKUP(OrderLines[[#This Row],[OrderID]],Orders[],MATCH(OrderLines[[#Headers],[DiscountPct]],Orders[#Headers],0),FALSE),"CHECK")</f>
        <v>7.0000000000000007E-2</v>
      </c>
      <c r="J484" t="str">
        <f>IFERROR(VLOOKUP(OrderLines[[#This Row],[OrderID]],Orders[],MATCH(OrderLines[[#Headers],[Shift]],Orders[#Headers],0),FALSE),"CHECK")</f>
        <v>Lunch</v>
      </c>
      <c r="K484" s="11">
        <f>OrderLines[[#This Row],[Qty]] * OrderLines[[#This Row],[UnitPrice]] * (1-OrderLines[[#This Row],[DiscountPct]])</f>
        <v>136.15199999999999</v>
      </c>
      <c r="L484">
        <f>OrderLines[[#This Row],[Qty]]*OrderLines[[#This Row],[UnitCost]]</f>
        <v>80.92</v>
      </c>
    </row>
    <row r="485" spans="1:12" x14ac:dyDescent="0.25">
      <c r="A485" t="s">
        <v>228</v>
      </c>
      <c r="B485" t="s">
        <v>419</v>
      </c>
      <c r="C485">
        <v>2</v>
      </c>
      <c r="D485" s="9">
        <f>IFERROR(VLOOKUP($B485,Menu[],MATCH(D$1,Menu[#Headers],0),FALSE),"CHECK")</f>
        <v>50.19</v>
      </c>
      <c r="E485" s="9">
        <f>IFERROR(VLOOKUP($B485,Menu[],MATCH(E$1,Menu[#Headers],0),FALSE),"CHECK")</f>
        <v>22.61</v>
      </c>
      <c r="F485" t="str">
        <f>IFERROR(VLOOKUP($B485,Menu[],MATCH(F$1,Menu[#Headers],0),FALSE),"CHECK")</f>
        <v>Snack</v>
      </c>
      <c r="G485" s="7">
        <f>IFERROR(INT(VLOOKUP($A485,Orders[],MATCH("OrderDateTime",Orders[#Headers],0),FALSE)),"CHECK")</f>
        <v>45884</v>
      </c>
      <c r="H485" s="7" t="str">
        <f>IFERROR(VLOOKUP($A485,Orders[],MATCH(H$1,Orders[#Headers],0),FALSE),"CHECK")</f>
        <v>Head Office Café</v>
      </c>
      <c r="I485">
        <f>IFERROR(VLOOKUP(OrderLines[[#This Row],[OrderID]],Orders[],MATCH(OrderLines[[#Headers],[DiscountPct]],Orders[#Headers],0),FALSE),"CHECK")</f>
        <v>0.06</v>
      </c>
      <c r="J485" t="str">
        <f>IFERROR(VLOOKUP(OrderLines[[#This Row],[OrderID]],Orders[],MATCH(OrderLines[[#Headers],[Shift]],Orders[#Headers],0),FALSE),"CHECK")</f>
        <v>Breakfast</v>
      </c>
      <c r="K485" s="11">
        <f>OrderLines[[#This Row],[Qty]] * OrderLines[[#This Row],[UnitPrice]] * (1-OrderLines[[#This Row],[DiscountPct]])</f>
        <v>94.357199999999992</v>
      </c>
      <c r="L485">
        <f>OrderLines[[#This Row],[Qty]]*OrderLines[[#This Row],[UnitCost]]</f>
        <v>45.22</v>
      </c>
    </row>
    <row r="486" spans="1:12" x14ac:dyDescent="0.25">
      <c r="A486" t="s">
        <v>228</v>
      </c>
      <c r="B486" t="s">
        <v>412</v>
      </c>
      <c r="C486">
        <v>3</v>
      </c>
      <c r="D486" s="9">
        <f>IFERROR(VLOOKUP($B486,Menu[],MATCH(D$1,Menu[#Headers],0),FALSE),"CHECK")</f>
        <v>57.07</v>
      </c>
      <c r="E486" s="9">
        <f>IFERROR(VLOOKUP($B486,Menu[],MATCH(E$1,Menu[#Headers],0),FALSE),"CHECK")</f>
        <v>29.14</v>
      </c>
      <c r="F486" t="str">
        <f>IFERROR(VLOOKUP($B486,Menu[],MATCH(F$1,Menu[#Headers],0),FALSE),"CHECK")</f>
        <v>Dessert</v>
      </c>
      <c r="G486" s="7">
        <f>IFERROR(INT(VLOOKUP($A486,Orders[],MATCH("OrderDateTime",Orders[#Headers],0),FALSE)),"CHECK")</f>
        <v>45884</v>
      </c>
      <c r="H486" s="7" t="str">
        <f>IFERROR(VLOOKUP($A486,Orders[],MATCH(H$1,Orders[#Headers],0),FALSE),"CHECK")</f>
        <v>Head Office Café</v>
      </c>
      <c r="I486">
        <f>IFERROR(VLOOKUP(OrderLines[[#This Row],[OrderID]],Orders[],MATCH(OrderLines[[#Headers],[DiscountPct]],Orders[#Headers],0),FALSE),"CHECK")</f>
        <v>0.06</v>
      </c>
      <c r="J486" t="str">
        <f>IFERROR(VLOOKUP(OrderLines[[#This Row],[OrderID]],Orders[],MATCH(OrderLines[[#Headers],[Shift]],Orders[#Headers],0),FALSE),"CHECK")</f>
        <v>Breakfast</v>
      </c>
      <c r="K486" s="11">
        <f>OrderLines[[#This Row],[Qty]] * OrderLines[[#This Row],[UnitPrice]] * (1-OrderLines[[#This Row],[DiscountPct]])</f>
        <v>160.9374</v>
      </c>
      <c r="L486">
        <f>OrderLines[[#This Row],[Qty]]*OrderLines[[#This Row],[UnitCost]]</f>
        <v>87.42</v>
      </c>
    </row>
    <row r="487" spans="1:12" x14ac:dyDescent="0.25">
      <c r="A487" t="s">
        <v>229</v>
      </c>
      <c r="B487" t="s">
        <v>415</v>
      </c>
      <c r="C487">
        <v>2</v>
      </c>
      <c r="D487" s="9">
        <f>IFERROR(VLOOKUP($B487,Menu[],MATCH(D$1,Menu[#Headers],0),FALSE),"CHECK")</f>
        <v>256.91000000000003</v>
      </c>
      <c r="E487" s="9">
        <f>IFERROR(VLOOKUP($B487,Menu[],MATCH(E$1,Menu[#Headers],0),FALSE),"CHECK")</f>
        <v>121.24</v>
      </c>
      <c r="F487" t="str">
        <f>IFERROR(VLOOKUP($B487,Menu[],MATCH(F$1,Menu[#Headers],0),FALSE),"CHECK")</f>
        <v>Hot Meal</v>
      </c>
      <c r="G487" s="7">
        <f>IFERROR(INT(VLOOKUP($A487,Orders[],MATCH("OrderDateTime",Orders[#Headers],0),FALSE)),"CHECK")</f>
        <v>45840</v>
      </c>
      <c r="H487" s="7" t="str">
        <f>IFERROR(VLOOKUP($A487,Orders[],MATCH(H$1,Orders[#Headers],0),FALSE),"CHECK")</f>
        <v>Plant 2 Canteen</v>
      </c>
      <c r="I487">
        <f>IFERROR(VLOOKUP(OrderLines[[#This Row],[OrderID]],Orders[],MATCH(OrderLines[[#Headers],[DiscountPct]],Orders[#Headers],0),FALSE),"CHECK")</f>
        <v>0.03</v>
      </c>
      <c r="J487" t="str">
        <f>IFERROR(VLOOKUP(OrderLines[[#This Row],[OrderID]],Orders[],MATCH(OrderLines[[#Headers],[Shift]],Orders[#Headers],0),FALSE),"CHECK")</f>
        <v>Breakfast</v>
      </c>
      <c r="K487" s="11">
        <f>OrderLines[[#This Row],[Qty]] * OrderLines[[#This Row],[UnitPrice]] * (1-OrderLines[[#This Row],[DiscountPct]])</f>
        <v>498.40540000000004</v>
      </c>
      <c r="L487">
        <f>OrderLines[[#This Row],[Qty]]*OrderLines[[#This Row],[UnitCost]]</f>
        <v>242.48</v>
      </c>
    </row>
    <row r="488" spans="1:12" x14ac:dyDescent="0.25">
      <c r="A488" t="s">
        <v>230</v>
      </c>
      <c r="B488" t="s">
        <v>410</v>
      </c>
      <c r="C488">
        <v>1</v>
      </c>
      <c r="D488" s="9">
        <f>IFERROR(VLOOKUP($B488,Menu[],MATCH(D$1,Menu[#Headers],0),FALSE),"CHECK")</f>
        <v>20.11</v>
      </c>
      <c r="E488" s="9">
        <f>IFERROR(VLOOKUP($B488,Menu[],MATCH(E$1,Menu[#Headers],0),FALSE),"CHECK")</f>
        <v>8</v>
      </c>
      <c r="F488" t="str">
        <f>IFERROR(VLOOKUP($B488,Menu[],MATCH(F$1,Menu[#Headers],0),FALSE),"CHECK")</f>
        <v>Beverage</v>
      </c>
      <c r="G488" s="7">
        <f>IFERROR(INT(VLOOKUP($A488,Orders[],MATCH("OrderDateTime",Orders[#Headers],0),FALSE)),"CHECK")</f>
        <v>45854</v>
      </c>
      <c r="H488" s="7" t="str">
        <f>IFERROR(VLOOKUP($A488,Orders[],MATCH(H$1,Orders[#Headers],0),FALSE),"CHECK")</f>
        <v>Plant 1 Canteen</v>
      </c>
      <c r="I488">
        <f>IFERROR(VLOOKUP(OrderLines[[#This Row],[OrderID]],Orders[],MATCH(OrderLines[[#Headers],[DiscountPct]],Orders[#Headers],0),FALSE),"CHECK")</f>
        <v>0.15</v>
      </c>
      <c r="J488" t="str">
        <f>IFERROR(VLOOKUP(OrderLines[[#This Row],[OrderID]],Orders[],MATCH(OrderLines[[#Headers],[Shift]],Orders[#Headers],0),FALSE),"CHECK")</f>
        <v>Lunch</v>
      </c>
      <c r="K488" s="11">
        <f>OrderLines[[#This Row],[Qty]] * OrderLines[[#This Row],[UnitPrice]] * (1-OrderLines[[#This Row],[DiscountPct]])</f>
        <v>17.093499999999999</v>
      </c>
      <c r="L488">
        <f>OrderLines[[#This Row],[Qty]]*OrderLines[[#This Row],[UnitCost]]</f>
        <v>8</v>
      </c>
    </row>
    <row r="489" spans="1:12" x14ac:dyDescent="0.25">
      <c r="A489" t="s">
        <v>230</v>
      </c>
      <c r="B489" t="s">
        <v>408</v>
      </c>
      <c r="C489">
        <v>1</v>
      </c>
      <c r="D489" s="9">
        <f>IFERROR(VLOOKUP($B489,Menu[],MATCH(D$1,Menu[#Headers],0),FALSE),"CHECK")</f>
        <v>70.540000000000006</v>
      </c>
      <c r="E489" s="9">
        <f>IFERROR(VLOOKUP($B489,Menu[],MATCH(E$1,Menu[#Headers],0),FALSE),"CHECK")</f>
        <v>35.81</v>
      </c>
      <c r="F489" t="str">
        <f>IFERROR(VLOOKUP($B489,Menu[],MATCH(F$1,Menu[#Headers],0),FALSE),"CHECK")</f>
        <v>Snack</v>
      </c>
      <c r="G489" s="7">
        <f>IFERROR(INT(VLOOKUP($A489,Orders[],MATCH("OrderDateTime",Orders[#Headers],0),FALSE)),"CHECK")</f>
        <v>45854</v>
      </c>
      <c r="H489" s="7" t="str">
        <f>IFERROR(VLOOKUP($A489,Orders[],MATCH(H$1,Orders[#Headers],0),FALSE),"CHECK")</f>
        <v>Plant 1 Canteen</v>
      </c>
      <c r="I489">
        <f>IFERROR(VLOOKUP(OrderLines[[#This Row],[OrderID]],Orders[],MATCH(OrderLines[[#Headers],[DiscountPct]],Orders[#Headers],0),FALSE),"CHECK")</f>
        <v>0.15</v>
      </c>
      <c r="J489" t="str">
        <f>IFERROR(VLOOKUP(OrderLines[[#This Row],[OrderID]],Orders[],MATCH(OrderLines[[#Headers],[Shift]],Orders[#Headers],0),FALSE),"CHECK")</f>
        <v>Lunch</v>
      </c>
      <c r="K489" s="11">
        <f>OrderLines[[#This Row],[Qty]] * OrderLines[[#This Row],[UnitPrice]] * (1-OrderLines[[#This Row],[DiscountPct]])</f>
        <v>59.959000000000003</v>
      </c>
      <c r="L489">
        <f>OrderLines[[#This Row],[Qty]]*OrderLines[[#This Row],[UnitCost]]</f>
        <v>35.81</v>
      </c>
    </row>
    <row r="490" spans="1:12" x14ac:dyDescent="0.25">
      <c r="A490" t="s">
        <v>230</v>
      </c>
      <c r="B490" t="s">
        <v>404</v>
      </c>
      <c r="C490">
        <v>3</v>
      </c>
      <c r="D490" s="9">
        <f>IFERROR(VLOOKUP($B490,Menu[],MATCH(D$1,Menu[#Headers],0),FALSE),"CHECK")</f>
        <v>32.979999999999997</v>
      </c>
      <c r="E490" s="9">
        <f>IFERROR(VLOOKUP($B490,Menu[],MATCH(E$1,Menu[#Headers],0),FALSE),"CHECK")</f>
        <v>11.84</v>
      </c>
      <c r="F490" t="str">
        <f>IFERROR(VLOOKUP($B490,Menu[],MATCH(F$1,Menu[#Headers],0),FALSE),"CHECK")</f>
        <v>Beverage</v>
      </c>
      <c r="G490" s="7">
        <f>IFERROR(INT(VLOOKUP($A490,Orders[],MATCH("OrderDateTime",Orders[#Headers],0),FALSE)),"CHECK")</f>
        <v>45854</v>
      </c>
      <c r="H490" s="7" t="str">
        <f>IFERROR(VLOOKUP($A490,Orders[],MATCH(H$1,Orders[#Headers],0),FALSE),"CHECK")</f>
        <v>Plant 1 Canteen</v>
      </c>
      <c r="I490">
        <f>IFERROR(VLOOKUP(OrderLines[[#This Row],[OrderID]],Orders[],MATCH(OrderLines[[#Headers],[DiscountPct]],Orders[#Headers],0),FALSE),"CHECK")</f>
        <v>0.15</v>
      </c>
      <c r="J490" t="str">
        <f>IFERROR(VLOOKUP(OrderLines[[#This Row],[OrderID]],Orders[],MATCH(OrderLines[[#Headers],[Shift]],Orders[#Headers],0),FALSE),"CHECK")</f>
        <v>Lunch</v>
      </c>
      <c r="K490" s="11">
        <f>OrderLines[[#This Row],[Qty]] * OrderLines[[#This Row],[UnitPrice]] * (1-OrderLines[[#This Row],[DiscountPct]])</f>
        <v>84.09899999999999</v>
      </c>
      <c r="L490">
        <f>OrderLines[[#This Row],[Qty]]*OrderLines[[#This Row],[UnitCost]]</f>
        <v>35.519999999999996</v>
      </c>
    </row>
    <row r="491" spans="1:12" x14ac:dyDescent="0.25">
      <c r="A491" t="s">
        <v>230</v>
      </c>
      <c r="B491" t="s">
        <v>412</v>
      </c>
      <c r="C491">
        <v>1</v>
      </c>
      <c r="D491" s="9">
        <f>IFERROR(VLOOKUP($B491,Menu[],MATCH(D$1,Menu[#Headers],0),FALSE),"CHECK")</f>
        <v>57.07</v>
      </c>
      <c r="E491" s="9">
        <f>IFERROR(VLOOKUP($B491,Menu[],MATCH(E$1,Menu[#Headers],0),FALSE),"CHECK")</f>
        <v>29.14</v>
      </c>
      <c r="F491" t="str">
        <f>IFERROR(VLOOKUP($B491,Menu[],MATCH(F$1,Menu[#Headers],0),FALSE),"CHECK")</f>
        <v>Dessert</v>
      </c>
      <c r="G491" s="7">
        <f>IFERROR(INT(VLOOKUP($A491,Orders[],MATCH("OrderDateTime",Orders[#Headers],0),FALSE)),"CHECK")</f>
        <v>45854</v>
      </c>
      <c r="H491" s="7" t="str">
        <f>IFERROR(VLOOKUP($A491,Orders[],MATCH(H$1,Orders[#Headers],0),FALSE),"CHECK")</f>
        <v>Plant 1 Canteen</v>
      </c>
      <c r="I491">
        <f>IFERROR(VLOOKUP(OrderLines[[#This Row],[OrderID]],Orders[],MATCH(OrderLines[[#Headers],[DiscountPct]],Orders[#Headers],0),FALSE),"CHECK")</f>
        <v>0.15</v>
      </c>
      <c r="J491" t="str">
        <f>IFERROR(VLOOKUP(OrderLines[[#This Row],[OrderID]],Orders[],MATCH(OrderLines[[#Headers],[Shift]],Orders[#Headers],0),FALSE),"CHECK")</f>
        <v>Lunch</v>
      </c>
      <c r="K491" s="11">
        <f>OrderLines[[#This Row],[Qty]] * OrderLines[[#This Row],[UnitPrice]] * (1-OrderLines[[#This Row],[DiscountPct]])</f>
        <v>48.509499999999996</v>
      </c>
      <c r="L491">
        <f>OrderLines[[#This Row],[Qty]]*OrderLines[[#This Row],[UnitCost]]</f>
        <v>29.14</v>
      </c>
    </row>
    <row r="492" spans="1:12" x14ac:dyDescent="0.25">
      <c r="A492" t="s">
        <v>231</v>
      </c>
      <c r="B492" t="s">
        <v>411</v>
      </c>
      <c r="C492">
        <v>2</v>
      </c>
      <c r="D492" s="9">
        <f>IFERROR(VLOOKUP($B492,Menu[],MATCH(D$1,Menu[#Headers],0),FALSE),"CHECK")</f>
        <v>22.2</v>
      </c>
      <c r="E492" s="9">
        <f>IFERROR(VLOOKUP($B492,Menu[],MATCH(E$1,Menu[#Headers],0),FALSE),"CHECK")</f>
        <v>9.3800000000000008</v>
      </c>
      <c r="F492" t="str">
        <f>IFERROR(VLOOKUP($B492,Menu[],MATCH(F$1,Menu[#Headers],0),FALSE),"CHECK")</f>
        <v>Beverage</v>
      </c>
      <c r="G492" s="7">
        <f>IFERROR(INT(VLOOKUP($A492,Orders[],MATCH("OrderDateTime",Orders[#Headers],0),FALSE)),"CHECK")</f>
        <v>45880</v>
      </c>
      <c r="H492" s="7" t="str">
        <f>IFERROR(VLOOKUP($A492,Orders[],MATCH(H$1,Orders[#Headers],0),FALSE),"CHECK")</f>
        <v>Head Office Café</v>
      </c>
      <c r="I492">
        <f>IFERROR(VLOOKUP(OrderLines[[#This Row],[OrderID]],Orders[],MATCH(OrderLines[[#Headers],[DiscountPct]],Orders[#Headers],0),FALSE),"CHECK")</f>
        <v>0.09</v>
      </c>
      <c r="J492" t="str">
        <f>IFERROR(VLOOKUP(OrderLines[[#This Row],[OrderID]],Orders[],MATCH(OrderLines[[#Headers],[Shift]],Orders[#Headers],0),FALSE),"CHECK")</f>
        <v>Breakfast</v>
      </c>
      <c r="K492" s="11">
        <f>OrderLines[[#This Row],[Qty]] * OrderLines[[#This Row],[UnitPrice]] * (1-OrderLines[[#This Row],[DiscountPct]])</f>
        <v>40.404000000000003</v>
      </c>
      <c r="L492">
        <f>OrderLines[[#This Row],[Qty]]*OrderLines[[#This Row],[UnitCost]]</f>
        <v>18.760000000000002</v>
      </c>
    </row>
    <row r="493" spans="1:12" x14ac:dyDescent="0.25">
      <c r="A493" t="s">
        <v>231</v>
      </c>
      <c r="B493" t="s">
        <v>419</v>
      </c>
      <c r="C493">
        <v>2</v>
      </c>
      <c r="D493" s="9">
        <f>IFERROR(VLOOKUP($B493,Menu[],MATCH(D$1,Menu[#Headers],0),FALSE),"CHECK")</f>
        <v>50.19</v>
      </c>
      <c r="E493" s="9">
        <f>IFERROR(VLOOKUP($B493,Menu[],MATCH(E$1,Menu[#Headers],0),FALSE),"CHECK")</f>
        <v>22.61</v>
      </c>
      <c r="F493" t="str">
        <f>IFERROR(VLOOKUP($B493,Menu[],MATCH(F$1,Menu[#Headers],0),FALSE),"CHECK")</f>
        <v>Snack</v>
      </c>
      <c r="G493" s="7">
        <f>IFERROR(INT(VLOOKUP($A493,Orders[],MATCH("OrderDateTime",Orders[#Headers],0),FALSE)),"CHECK")</f>
        <v>45880</v>
      </c>
      <c r="H493" s="7" t="str">
        <f>IFERROR(VLOOKUP($A493,Orders[],MATCH(H$1,Orders[#Headers],0),FALSE),"CHECK")</f>
        <v>Head Office Café</v>
      </c>
      <c r="I493">
        <f>IFERROR(VLOOKUP(OrderLines[[#This Row],[OrderID]],Orders[],MATCH(OrderLines[[#Headers],[DiscountPct]],Orders[#Headers],0),FALSE),"CHECK")</f>
        <v>0.09</v>
      </c>
      <c r="J493" t="str">
        <f>IFERROR(VLOOKUP(OrderLines[[#This Row],[OrderID]],Orders[],MATCH(OrderLines[[#Headers],[Shift]],Orders[#Headers],0),FALSE),"CHECK")</f>
        <v>Breakfast</v>
      </c>
      <c r="K493" s="11">
        <f>OrderLines[[#This Row],[Qty]] * OrderLines[[#This Row],[UnitPrice]] * (1-OrderLines[[#This Row],[DiscountPct]])</f>
        <v>91.345799999999997</v>
      </c>
      <c r="L493">
        <f>OrderLines[[#This Row],[Qty]]*OrderLines[[#This Row],[UnitCost]]</f>
        <v>45.22</v>
      </c>
    </row>
    <row r="494" spans="1:12" x14ac:dyDescent="0.25">
      <c r="A494" t="s">
        <v>231</v>
      </c>
      <c r="B494" t="s">
        <v>401</v>
      </c>
      <c r="C494">
        <v>2</v>
      </c>
      <c r="D494" s="9">
        <f>IFERROR(VLOOKUP($B494,Menu[],MATCH(D$1,Menu[#Headers],0),FALSE),"CHECK")</f>
        <v>52.45</v>
      </c>
      <c r="E494" s="9">
        <f>IFERROR(VLOOKUP($B494,Menu[],MATCH(E$1,Menu[#Headers],0),FALSE),"CHECK")</f>
        <v>25.8</v>
      </c>
      <c r="F494" t="str">
        <f>IFERROR(VLOOKUP($B494,Menu[],MATCH(F$1,Menu[#Headers],0),FALSE),"CHECK")</f>
        <v>Snack</v>
      </c>
      <c r="G494" s="7">
        <f>IFERROR(INT(VLOOKUP($A494,Orders[],MATCH("OrderDateTime",Orders[#Headers],0),FALSE)),"CHECK")</f>
        <v>45880</v>
      </c>
      <c r="H494" s="7" t="str">
        <f>IFERROR(VLOOKUP($A494,Orders[],MATCH(H$1,Orders[#Headers],0),FALSE),"CHECK")</f>
        <v>Head Office Café</v>
      </c>
      <c r="I494">
        <f>IFERROR(VLOOKUP(OrderLines[[#This Row],[OrderID]],Orders[],MATCH(OrderLines[[#Headers],[DiscountPct]],Orders[#Headers],0),FALSE),"CHECK")</f>
        <v>0.09</v>
      </c>
      <c r="J494" t="str">
        <f>IFERROR(VLOOKUP(OrderLines[[#This Row],[OrderID]],Orders[],MATCH(OrderLines[[#Headers],[Shift]],Orders[#Headers],0),FALSE),"CHECK")</f>
        <v>Breakfast</v>
      </c>
      <c r="K494" s="11">
        <f>OrderLines[[#This Row],[Qty]] * OrderLines[[#This Row],[UnitPrice]] * (1-OrderLines[[#This Row],[DiscountPct]])</f>
        <v>95.459000000000003</v>
      </c>
      <c r="L494">
        <f>OrderLines[[#This Row],[Qty]]*OrderLines[[#This Row],[UnitCost]]</f>
        <v>51.6</v>
      </c>
    </row>
    <row r="495" spans="1:12" x14ac:dyDescent="0.25">
      <c r="A495" t="s">
        <v>232</v>
      </c>
      <c r="B495" t="s">
        <v>414</v>
      </c>
      <c r="C495">
        <v>1</v>
      </c>
      <c r="D495" s="9">
        <f>IFERROR(VLOOKUP($B495,Menu[],MATCH(D$1,Menu[#Headers],0),FALSE),"CHECK")</f>
        <v>116.8</v>
      </c>
      <c r="E495" s="9">
        <f>IFERROR(VLOOKUP($B495,Menu[],MATCH(E$1,Menu[#Headers],0),FALSE),"CHECK")</f>
        <v>48.97</v>
      </c>
      <c r="F495" t="str">
        <f>IFERROR(VLOOKUP($B495,Menu[],MATCH(F$1,Menu[#Headers],0),FALSE),"CHECK")</f>
        <v>Dessert</v>
      </c>
      <c r="G495" s="7">
        <f>IFERROR(INT(VLOOKUP($A495,Orders[],MATCH("OrderDateTime",Orders[#Headers],0),FALSE)),"CHECK")</f>
        <v>45858</v>
      </c>
      <c r="H495" s="7" t="str">
        <f>IFERROR(VLOOKUP($A495,Orders[],MATCH(H$1,Orders[#Headers],0),FALSE),"CHECK")</f>
        <v>Plant 2 Canteen</v>
      </c>
      <c r="I495">
        <f>IFERROR(VLOOKUP(OrderLines[[#This Row],[OrderID]],Orders[],MATCH(OrderLines[[#Headers],[DiscountPct]],Orders[#Headers],0),FALSE),"CHECK")</f>
        <v>0</v>
      </c>
      <c r="J495" t="str">
        <f>IFERROR(VLOOKUP(OrderLines[[#This Row],[OrderID]],Orders[],MATCH(OrderLines[[#Headers],[Shift]],Orders[#Headers],0),FALSE),"CHECK")</f>
        <v>Lunch</v>
      </c>
      <c r="K495" s="11">
        <f>OrderLines[[#This Row],[Qty]] * OrderLines[[#This Row],[UnitPrice]] * (1-OrderLines[[#This Row],[DiscountPct]])</f>
        <v>116.8</v>
      </c>
      <c r="L495">
        <f>OrderLines[[#This Row],[Qty]]*OrderLines[[#This Row],[UnitCost]]</f>
        <v>48.97</v>
      </c>
    </row>
    <row r="496" spans="1:12" x14ac:dyDescent="0.25">
      <c r="A496" t="s">
        <v>232</v>
      </c>
      <c r="B496" t="s">
        <v>419</v>
      </c>
      <c r="C496">
        <v>2</v>
      </c>
      <c r="D496" s="9">
        <f>IFERROR(VLOOKUP($B496,Menu[],MATCH(D$1,Menu[#Headers],0),FALSE),"CHECK")</f>
        <v>50.19</v>
      </c>
      <c r="E496" s="9">
        <f>IFERROR(VLOOKUP($B496,Menu[],MATCH(E$1,Menu[#Headers],0),FALSE),"CHECK")</f>
        <v>22.61</v>
      </c>
      <c r="F496" t="str">
        <f>IFERROR(VLOOKUP($B496,Menu[],MATCH(F$1,Menu[#Headers],0),FALSE),"CHECK")</f>
        <v>Snack</v>
      </c>
      <c r="G496" s="7">
        <f>IFERROR(INT(VLOOKUP($A496,Orders[],MATCH("OrderDateTime",Orders[#Headers],0),FALSE)),"CHECK")</f>
        <v>45858</v>
      </c>
      <c r="H496" s="7" t="str">
        <f>IFERROR(VLOOKUP($A496,Orders[],MATCH(H$1,Orders[#Headers],0),FALSE),"CHECK")</f>
        <v>Plant 2 Canteen</v>
      </c>
      <c r="I496">
        <f>IFERROR(VLOOKUP(OrderLines[[#This Row],[OrderID]],Orders[],MATCH(OrderLines[[#Headers],[DiscountPct]],Orders[#Headers],0),FALSE),"CHECK")</f>
        <v>0</v>
      </c>
      <c r="J496" t="str">
        <f>IFERROR(VLOOKUP(OrderLines[[#This Row],[OrderID]],Orders[],MATCH(OrderLines[[#Headers],[Shift]],Orders[#Headers],0),FALSE),"CHECK")</f>
        <v>Lunch</v>
      </c>
      <c r="K496" s="11">
        <f>OrderLines[[#This Row],[Qty]] * OrderLines[[#This Row],[UnitPrice]] * (1-OrderLines[[#This Row],[DiscountPct]])</f>
        <v>100.38</v>
      </c>
      <c r="L496">
        <f>OrderLines[[#This Row],[Qty]]*OrderLines[[#This Row],[UnitCost]]</f>
        <v>45.22</v>
      </c>
    </row>
    <row r="497" spans="1:12" x14ac:dyDescent="0.25">
      <c r="A497" t="s">
        <v>232</v>
      </c>
      <c r="B497" t="s">
        <v>415</v>
      </c>
      <c r="C497">
        <v>2</v>
      </c>
      <c r="D497" s="9">
        <f>IFERROR(VLOOKUP($B497,Menu[],MATCH(D$1,Menu[#Headers],0),FALSE),"CHECK")</f>
        <v>256.91000000000003</v>
      </c>
      <c r="E497" s="9">
        <f>IFERROR(VLOOKUP($B497,Menu[],MATCH(E$1,Menu[#Headers],0),FALSE),"CHECK")</f>
        <v>121.24</v>
      </c>
      <c r="F497" t="str">
        <f>IFERROR(VLOOKUP($B497,Menu[],MATCH(F$1,Menu[#Headers],0),FALSE),"CHECK")</f>
        <v>Hot Meal</v>
      </c>
      <c r="G497" s="7">
        <f>IFERROR(INT(VLOOKUP($A497,Orders[],MATCH("OrderDateTime",Orders[#Headers],0),FALSE)),"CHECK")</f>
        <v>45858</v>
      </c>
      <c r="H497" s="7" t="str">
        <f>IFERROR(VLOOKUP($A497,Orders[],MATCH(H$1,Orders[#Headers],0),FALSE),"CHECK")</f>
        <v>Plant 2 Canteen</v>
      </c>
      <c r="I497">
        <f>IFERROR(VLOOKUP(OrderLines[[#This Row],[OrderID]],Orders[],MATCH(OrderLines[[#Headers],[DiscountPct]],Orders[#Headers],0),FALSE),"CHECK")</f>
        <v>0</v>
      </c>
      <c r="J497" t="str">
        <f>IFERROR(VLOOKUP(OrderLines[[#This Row],[OrderID]],Orders[],MATCH(OrderLines[[#Headers],[Shift]],Orders[#Headers],0),FALSE),"CHECK")</f>
        <v>Lunch</v>
      </c>
      <c r="K497" s="11">
        <f>OrderLines[[#This Row],[Qty]] * OrderLines[[#This Row],[UnitPrice]] * (1-OrderLines[[#This Row],[DiscountPct]])</f>
        <v>513.82000000000005</v>
      </c>
      <c r="L497">
        <f>OrderLines[[#This Row],[Qty]]*OrderLines[[#This Row],[UnitCost]]</f>
        <v>242.48</v>
      </c>
    </row>
    <row r="498" spans="1:12" x14ac:dyDescent="0.25">
      <c r="A498" t="s">
        <v>233</v>
      </c>
      <c r="B498" t="s">
        <v>403</v>
      </c>
      <c r="C498">
        <v>1</v>
      </c>
      <c r="D498" s="9">
        <f>IFERROR(VLOOKUP($B498,Menu[],MATCH(D$1,Menu[#Headers],0),FALSE),"CHECK")</f>
        <v>76.55</v>
      </c>
      <c r="E498" s="9">
        <f>IFERROR(VLOOKUP($B498,Menu[],MATCH(E$1,Menu[#Headers],0),FALSE),"CHECK")</f>
        <v>38.229999999999997</v>
      </c>
      <c r="F498" t="str">
        <f>IFERROR(VLOOKUP($B498,Menu[],MATCH(F$1,Menu[#Headers],0),FALSE),"CHECK")</f>
        <v>Dessert</v>
      </c>
      <c r="G498" s="7">
        <f>IFERROR(INT(VLOOKUP($A498,Orders[],MATCH("OrderDateTime",Orders[#Headers],0),FALSE)),"CHECK")</f>
        <v>45876</v>
      </c>
      <c r="H498" s="7" t="str">
        <f>IFERROR(VLOOKUP($A498,Orders[],MATCH(H$1,Orders[#Headers],0),FALSE),"CHECK")</f>
        <v>Head Office Café</v>
      </c>
      <c r="I498">
        <f>IFERROR(VLOOKUP(OrderLines[[#This Row],[OrderID]],Orders[],MATCH(OrderLines[[#Headers],[DiscountPct]],Orders[#Headers],0),FALSE),"CHECK")</f>
        <v>7.0000000000000007E-2</v>
      </c>
      <c r="J498" t="str">
        <f>IFERROR(VLOOKUP(OrderLines[[#This Row],[OrderID]],Orders[],MATCH(OrderLines[[#Headers],[Shift]],Orders[#Headers],0),FALSE),"CHECK")</f>
        <v>Breakfast</v>
      </c>
      <c r="K498" s="11">
        <f>OrderLines[[#This Row],[Qty]] * OrderLines[[#This Row],[UnitPrice]] * (1-OrderLines[[#This Row],[DiscountPct]])</f>
        <v>71.191499999999991</v>
      </c>
      <c r="L498">
        <f>OrderLines[[#This Row],[Qty]]*OrderLines[[#This Row],[UnitCost]]</f>
        <v>38.229999999999997</v>
      </c>
    </row>
    <row r="499" spans="1:12" x14ac:dyDescent="0.25">
      <c r="A499" t="s">
        <v>233</v>
      </c>
      <c r="B499" t="s">
        <v>418</v>
      </c>
      <c r="C499">
        <v>3</v>
      </c>
      <c r="D499" s="9">
        <f>IFERROR(VLOOKUP($B499,Menu[],MATCH(D$1,Menu[#Headers],0),FALSE),"CHECK")</f>
        <v>39.950000000000003</v>
      </c>
      <c r="E499" s="9">
        <f>IFERROR(VLOOKUP($B499,Menu[],MATCH(E$1,Menu[#Headers],0),FALSE),"CHECK")</f>
        <v>15.51</v>
      </c>
      <c r="F499" t="str">
        <f>IFERROR(VLOOKUP($B499,Menu[],MATCH(F$1,Menu[#Headers],0),FALSE),"CHECK")</f>
        <v>Snack</v>
      </c>
      <c r="G499" s="7">
        <f>IFERROR(INT(VLOOKUP($A499,Orders[],MATCH("OrderDateTime",Orders[#Headers],0),FALSE)),"CHECK")</f>
        <v>45876</v>
      </c>
      <c r="H499" s="7" t="str">
        <f>IFERROR(VLOOKUP($A499,Orders[],MATCH(H$1,Orders[#Headers],0),FALSE),"CHECK")</f>
        <v>Head Office Café</v>
      </c>
      <c r="I499">
        <f>IFERROR(VLOOKUP(OrderLines[[#This Row],[OrderID]],Orders[],MATCH(OrderLines[[#Headers],[DiscountPct]],Orders[#Headers],0),FALSE),"CHECK")</f>
        <v>7.0000000000000007E-2</v>
      </c>
      <c r="J499" t="str">
        <f>IFERROR(VLOOKUP(OrderLines[[#This Row],[OrderID]],Orders[],MATCH(OrderLines[[#Headers],[Shift]],Orders[#Headers],0),FALSE),"CHECK")</f>
        <v>Breakfast</v>
      </c>
      <c r="K499" s="11">
        <f>OrderLines[[#This Row],[Qty]] * OrderLines[[#This Row],[UnitPrice]] * (1-OrderLines[[#This Row],[DiscountPct]])</f>
        <v>111.4605</v>
      </c>
      <c r="L499">
        <f>OrderLines[[#This Row],[Qty]]*OrderLines[[#This Row],[UnitCost]]</f>
        <v>46.53</v>
      </c>
    </row>
    <row r="500" spans="1:12" x14ac:dyDescent="0.25">
      <c r="A500" t="s">
        <v>233</v>
      </c>
      <c r="B500" t="s">
        <v>417</v>
      </c>
      <c r="C500">
        <v>1</v>
      </c>
      <c r="D500" s="9">
        <f>IFERROR(VLOOKUP($B500,Menu[],MATCH(D$1,Menu[#Headers],0),FALSE),"CHECK")</f>
        <v>146.4</v>
      </c>
      <c r="E500" s="9">
        <f>IFERROR(VLOOKUP($B500,Menu[],MATCH(E$1,Menu[#Headers],0),FALSE),"CHECK")</f>
        <v>80.92</v>
      </c>
      <c r="F500" t="str">
        <f>IFERROR(VLOOKUP($B500,Menu[],MATCH(F$1,Menu[#Headers],0),FALSE),"CHECK")</f>
        <v>Hot Meal</v>
      </c>
      <c r="G500" s="7">
        <f>IFERROR(INT(VLOOKUP($A500,Orders[],MATCH("OrderDateTime",Orders[#Headers],0),FALSE)),"CHECK")</f>
        <v>45876</v>
      </c>
      <c r="H500" s="7" t="str">
        <f>IFERROR(VLOOKUP($A500,Orders[],MATCH(H$1,Orders[#Headers],0),FALSE),"CHECK")</f>
        <v>Head Office Café</v>
      </c>
      <c r="I500">
        <f>IFERROR(VLOOKUP(OrderLines[[#This Row],[OrderID]],Orders[],MATCH(OrderLines[[#Headers],[DiscountPct]],Orders[#Headers],0),FALSE),"CHECK")</f>
        <v>7.0000000000000007E-2</v>
      </c>
      <c r="J500" t="str">
        <f>IFERROR(VLOOKUP(OrderLines[[#This Row],[OrderID]],Orders[],MATCH(OrderLines[[#Headers],[Shift]],Orders[#Headers],0),FALSE),"CHECK")</f>
        <v>Breakfast</v>
      </c>
      <c r="K500" s="11">
        <f>OrderLines[[#This Row],[Qty]] * OrderLines[[#This Row],[UnitPrice]] * (1-OrderLines[[#This Row],[DiscountPct]])</f>
        <v>136.15199999999999</v>
      </c>
      <c r="L500">
        <f>OrderLines[[#This Row],[Qty]]*OrderLines[[#This Row],[UnitCost]]</f>
        <v>80.92</v>
      </c>
    </row>
    <row r="501" spans="1:12" x14ac:dyDescent="0.25">
      <c r="A501" t="s">
        <v>234</v>
      </c>
      <c r="B501" t="s">
        <v>402</v>
      </c>
      <c r="C501">
        <v>2</v>
      </c>
      <c r="D501" s="9">
        <f>IFERROR(VLOOKUP($B501,Menu[],MATCH(D$1,Menu[#Headers],0),FALSE),"CHECK")</f>
        <v>30.34</v>
      </c>
      <c r="E501" s="9">
        <f>IFERROR(VLOOKUP($B501,Menu[],MATCH(E$1,Menu[#Headers],0),FALSE),"CHECK")</f>
        <v>14.18</v>
      </c>
      <c r="F501" t="str">
        <f>IFERROR(VLOOKUP($B501,Menu[],MATCH(F$1,Menu[#Headers],0),FALSE),"CHECK")</f>
        <v>Beverage</v>
      </c>
      <c r="G501" s="7">
        <f>IFERROR(INT(VLOOKUP($A501,Orders[],MATCH("OrderDateTime",Orders[#Headers],0),FALSE)),"CHECK")</f>
        <v>45867</v>
      </c>
      <c r="H501" s="7" t="str">
        <f>IFERROR(VLOOKUP($A501,Orders[],MATCH(H$1,Orders[#Headers],0),FALSE),"CHECK")</f>
        <v>Plant 1 Canteen</v>
      </c>
      <c r="I501">
        <f>IFERROR(VLOOKUP(OrderLines[[#This Row],[OrderID]],Orders[],MATCH(OrderLines[[#Headers],[DiscountPct]],Orders[#Headers],0),FALSE),"CHECK")</f>
        <v>0.03</v>
      </c>
      <c r="J501" t="str">
        <f>IFERROR(VLOOKUP(OrderLines[[#This Row],[OrderID]],Orders[],MATCH(OrderLines[[#Headers],[Shift]],Orders[#Headers],0),FALSE),"CHECK")</f>
        <v>Dinner</v>
      </c>
      <c r="K501" s="11">
        <f>OrderLines[[#This Row],[Qty]] * OrderLines[[#This Row],[UnitPrice]] * (1-OrderLines[[#This Row],[DiscountPct]])</f>
        <v>58.8596</v>
      </c>
      <c r="L501">
        <f>OrderLines[[#This Row],[Qty]]*OrderLines[[#This Row],[UnitCost]]</f>
        <v>28.36</v>
      </c>
    </row>
    <row r="502" spans="1:12" x14ac:dyDescent="0.25">
      <c r="A502" t="s">
        <v>234</v>
      </c>
      <c r="B502" t="s">
        <v>415</v>
      </c>
      <c r="C502">
        <v>1</v>
      </c>
      <c r="D502" s="9">
        <f>IFERROR(VLOOKUP($B502,Menu[],MATCH(D$1,Menu[#Headers],0),FALSE),"CHECK")</f>
        <v>256.91000000000003</v>
      </c>
      <c r="E502" s="9">
        <f>IFERROR(VLOOKUP($B502,Menu[],MATCH(E$1,Menu[#Headers],0),FALSE),"CHECK")</f>
        <v>121.24</v>
      </c>
      <c r="F502" t="str">
        <f>IFERROR(VLOOKUP($B502,Menu[],MATCH(F$1,Menu[#Headers],0),FALSE),"CHECK")</f>
        <v>Hot Meal</v>
      </c>
      <c r="G502" s="7">
        <f>IFERROR(INT(VLOOKUP($A502,Orders[],MATCH("OrderDateTime",Orders[#Headers],0),FALSE)),"CHECK")</f>
        <v>45867</v>
      </c>
      <c r="H502" s="7" t="str">
        <f>IFERROR(VLOOKUP($A502,Orders[],MATCH(H$1,Orders[#Headers],0),FALSE),"CHECK")</f>
        <v>Plant 1 Canteen</v>
      </c>
      <c r="I502">
        <f>IFERROR(VLOOKUP(OrderLines[[#This Row],[OrderID]],Orders[],MATCH(OrderLines[[#Headers],[DiscountPct]],Orders[#Headers],0),FALSE),"CHECK")</f>
        <v>0.03</v>
      </c>
      <c r="J502" t="str">
        <f>IFERROR(VLOOKUP(OrderLines[[#This Row],[OrderID]],Orders[],MATCH(OrderLines[[#Headers],[Shift]],Orders[#Headers],0),FALSE),"CHECK")</f>
        <v>Dinner</v>
      </c>
      <c r="K502" s="11">
        <f>OrderLines[[#This Row],[Qty]] * OrderLines[[#This Row],[UnitPrice]] * (1-OrderLines[[#This Row],[DiscountPct]])</f>
        <v>249.20270000000002</v>
      </c>
      <c r="L502">
        <f>OrderLines[[#This Row],[Qty]]*OrderLines[[#This Row],[UnitCost]]</f>
        <v>121.24</v>
      </c>
    </row>
    <row r="503" spans="1:12" x14ac:dyDescent="0.25">
      <c r="A503" t="s">
        <v>235</v>
      </c>
      <c r="B503" t="s">
        <v>412</v>
      </c>
      <c r="C503">
        <v>1</v>
      </c>
      <c r="D503" s="9">
        <f>IFERROR(VLOOKUP($B503,Menu[],MATCH(D$1,Menu[#Headers],0),FALSE),"CHECK")</f>
        <v>57.07</v>
      </c>
      <c r="E503" s="9">
        <f>IFERROR(VLOOKUP($B503,Menu[],MATCH(E$1,Menu[#Headers],0),FALSE),"CHECK")</f>
        <v>29.14</v>
      </c>
      <c r="F503" t="str">
        <f>IFERROR(VLOOKUP($B503,Menu[],MATCH(F$1,Menu[#Headers],0),FALSE),"CHECK")</f>
        <v>Dessert</v>
      </c>
      <c r="G503" s="7">
        <f>IFERROR(INT(VLOOKUP($A503,Orders[],MATCH("OrderDateTime",Orders[#Headers],0),FALSE)),"CHECK")</f>
        <v>45840</v>
      </c>
      <c r="H503" s="7" t="str">
        <f>IFERROR(VLOOKUP($A503,Orders[],MATCH(H$1,Orders[#Headers],0),FALSE),"CHECK")</f>
        <v>Head Office Café</v>
      </c>
      <c r="I503">
        <f>IFERROR(VLOOKUP(OrderLines[[#This Row],[OrderID]],Orders[],MATCH(OrderLines[[#Headers],[DiscountPct]],Orders[#Headers],0),FALSE),"CHECK")</f>
        <v>0.09</v>
      </c>
      <c r="J503" t="str">
        <f>IFERROR(VLOOKUP(OrderLines[[#This Row],[OrderID]],Orders[],MATCH(OrderLines[[#Headers],[Shift]],Orders[#Headers],0),FALSE),"CHECK")</f>
        <v>Breakfast</v>
      </c>
      <c r="K503" s="11">
        <f>OrderLines[[#This Row],[Qty]] * OrderLines[[#This Row],[UnitPrice]] * (1-OrderLines[[#This Row],[DiscountPct]])</f>
        <v>51.933700000000002</v>
      </c>
      <c r="L503">
        <f>OrderLines[[#This Row],[Qty]]*OrderLines[[#This Row],[UnitCost]]</f>
        <v>29.14</v>
      </c>
    </row>
    <row r="504" spans="1:12" x14ac:dyDescent="0.25">
      <c r="A504" t="s">
        <v>235</v>
      </c>
      <c r="B504" t="s">
        <v>402</v>
      </c>
      <c r="C504">
        <v>2</v>
      </c>
      <c r="D504" s="9">
        <f>IFERROR(VLOOKUP($B504,Menu[],MATCH(D$1,Menu[#Headers],0),FALSE),"CHECK")</f>
        <v>30.34</v>
      </c>
      <c r="E504" s="9">
        <f>IFERROR(VLOOKUP($B504,Menu[],MATCH(E$1,Menu[#Headers],0),FALSE),"CHECK")</f>
        <v>14.18</v>
      </c>
      <c r="F504" t="str">
        <f>IFERROR(VLOOKUP($B504,Menu[],MATCH(F$1,Menu[#Headers],0),FALSE),"CHECK")</f>
        <v>Beverage</v>
      </c>
      <c r="G504" s="7">
        <f>IFERROR(INT(VLOOKUP($A504,Orders[],MATCH("OrderDateTime",Orders[#Headers],0),FALSE)),"CHECK")</f>
        <v>45840</v>
      </c>
      <c r="H504" s="7" t="str">
        <f>IFERROR(VLOOKUP($A504,Orders[],MATCH(H$1,Orders[#Headers],0),FALSE),"CHECK")</f>
        <v>Head Office Café</v>
      </c>
      <c r="I504">
        <f>IFERROR(VLOOKUP(OrderLines[[#This Row],[OrderID]],Orders[],MATCH(OrderLines[[#Headers],[DiscountPct]],Orders[#Headers],0),FALSE),"CHECK")</f>
        <v>0.09</v>
      </c>
      <c r="J504" t="str">
        <f>IFERROR(VLOOKUP(OrderLines[[#This Row],[OrderID]],Orders[],MATCH(OrderLines[[#Headers],[Shift]],Orders[#Headers],0),FALSE),"CHECK")</f>
        <v>Breakfast</v>
      </c>
      <c r="K504" s="11">
        <f>OrderLines[[#This Row],[Qty]] * OrderLines[[#This Row],[UnitPrice]] * (1-OrderLines[[#This Row],[DiscountPct]])</f>
        <v>55.218800000000002</v>
      </c>
      <c r="L504">
        <f>OrderLines[[#This Row],[Qty]]*OrderLines[[#This Row],[UnitCost]]</f>
        <v>28.36</v>
      </c>
    </row>
    <row r="505" spans="1:12" x14ac:dyDescent="0.25">
      <c r="A505" t="s">
        <v>236</v>
      </c>
      <c r="B505" t="s">
        <v>407</v>
      </c>
      <c r="C505">
        <v>1</v>
      </c>
      <c r="D505" s="9">
        <f>IFERROR(VLOOKUP($B505,Menu[],MATCH(D$1,Menu[#Headers],0),FALSE),"CHECK")</f>
        <v>246.09</v>
      </c>
      <c r="E505" s="9">
        <f>IFERROR(VLOOKUP($B505,Menu[],MATCH(E$1,Menu[#Headers],0),FALSE),"CHECK")</f>
        <v>112.08</v>
      </c>
      <c r="F505" t="str">
        <f>IFERROR(VLOOKUP($B505,Menu[],MATCH(F$1,Menu[#Headers],0),FALSE),"CHECK")</f>
        <v>Hot Meal</v>
      </c>
      <c r="G505" s="7">
        <f>IFERROR(INT(VLOOKUP($A505,Orders[],MATCH("OrderDateTime",Orders[#Headers],0),FALSE)),"CHECK")</f>
        <v>45898</v>
      </c>
      <c r="H505" s="7" t="str">
        <f>IFERROR(VLOOKUP($A505,Orders[],MATCH(H$1,Orders[#Headers],0),FALSE),"CHECK")</f>
        <v>Head Office Café</v>
      </c>
      <c r="I505">
        <f>IFERROR(VLOOKUP(OrderLines[[#This Row],[OrderID]],Orders[],MATCH(OrderLines[[#Headers],[DiscountPct]],Orders[#Headers],0),FALSE),"CHECK")</f>
        <v>0.03</v>
      </c>
      <c r="J505" t="str">
        <f>IFERROR(VLOOKUP(OrderLines[[#This Row],[OrderID]],Orders[],MATCH(OrderLines[[#Headers],[Shift]],Orders[#Headers],0),FALSE),"CHECK")</f>
        <v>Breakfast</v>
      </c>
      <c r="K505" s="11">
        <f>OrderLines[[#This Row],[Qty]] * OrderLines[[#This Row],[UnitPrice]] * (1-OrderLines[[#This Row],[DiscountPct]])</f>
        <v>238.7073</v>
      </c>
      <c r="L505">
        <f>OrderLines[[#This Row],[Qty]]*OrderLines[[#This Row],[UnitCost]]</f>
        <v>112.08</v>
      </c>
    </row>
    <row r="506" spans="1:12" x14ac:dyDescent="0.25">
      <c r="A506" t="s">
        <v>236</v>
      </c>
      <c r="B506" t="s">
        <v>415</v>
      </c>
      <c r="C506">
        <v>1</v>
      </c>
      <c r="D506" s="9">
        <f>IFERROR(VLOOKUP($B506,Menu[],MATCH(D$1,Menu[#Headers],0),FALSE),"CHECK")</f>
        <v>256.91000000000003</v>
      </c>
      <c r="E506" s="9">
        <f>IFERROR(VLOOKUP($B506,Menu[],MATCH(E$1,Menu[#Headers],0),FALSE),"CHECK")</f>
        <v>121.24</v>
      </c>
      <c r="F506" t="str">
        <f>IFERROR(VLOOKUP($B506,Menu[],MATCH(F$1,Menu[#Headers],0),FALSE),"CHECK")</f>
        <v>Hot Meal</v>
      </c>
      <c r="G506" s="7">
        <f>IFERROR(INT(VLOOKUP($A506,Orders[],MATCH("OrderDateTime",Orders[#Headers],0),FALSE)),"CHECK")</f>
        <v>45898</v>
      </c>
      <c r="H506" s="7" t="str">
        <f>IFERROR(VLOOKUP($A506,Orders[],MATCH(H$1,Orders[#Headers],0),FALSE),"CHECK")</f>
        <v>Head Office Café</v>
      </c>
      <c r="I506">
        <f>IFERROR(VLOOKUP(OrderLines[[#This Row],[OrderID]],Orders[],MATCH(OrderLines[[#Headers],[DiscountPct]],Orders[#Headers],0),FALSE),"CHECK")</f>
        <v>0.03</v>
      </c>
      <c r="J506" t="str">
        <f>IFERROR(VLOOKUP(OrderLines[[#This Row],[OrderID]],Orders[],MATCH(OrderLines[[#Headers],[Shift]],Orders[#Headers],0),FALSE),"CHECK")</f>
        <v>Breakfast</v>
      </c>
      <c r="K506" s="11">
        <f>OrderLines[[#This Row],[Qty]] * OrderLines[[#This Row],[UnitPrice]] * (1-OrderLines[[#This Row],[DiscountPct]])</f>
        <v>249.20270000000002</v>
      </c>
      <c r="L506">
        <f>OrderLines[[#This Row],[Qty]]*OrderLines[[#This Row],[UnitCost]]</f>
        <v>121.24</v>
      </c>
    </row>
    <row r="507" spans="1:12" x14ac:dyDescent="0.25">
      <c r="A507" t="s">
        <v>236</v>
      </c>
      <c r="B507" t="s">
        <v>405</v>
      </c>
      <c r="C507">
        <v>2</v>
      </c>
      <c r="D507" s="9">
        <f>IFERROR(VLOOKUP($B507,Menu[],MATCH(D$1,Menu[#Headers],0),FALSE),"CHECK")</f>
        <v>170.83</v>
      </c>
      <c r="E507" s="9">
        <f>IFERROR(VLOOKUP($B507,Menu[],MATCH(E$1,Menu[#Headers],0),FALSE),"CHECK")</f>
        <v>74.069999999999993</v>
      </c>
      <c r="F507" t="str">
        <f>IFERROR(VLOOKUP($B507,Menu[],MATCH(F$1,Menu[#Headers],0),FALSE),"CHECK")</f>
        <v>Hot Meal</v>
      </c>
      <c r="G507" s="7">
        <f>IFERROR(INT(VLOOKUP($A507,Orders[],MATCH("OrderDateTime",Orders[#Headers],0),FALSE)),"CHECK")</f>
        <v>45898</v>
      </c>
      <c r="H507" s="7" t="str">
        <f>IFERROR(VLOOKUP($A507,Orders[],MATCH(H$1,Orders[#Headers],0),FALSE),"CHECK")</f>
        <v>Head Office Café</v>
      </c>
      <c r="I507">
        <f>IFERROR(VLOOKUP(OrderLines[[#This Row],[OrderID]],Orders[],MATCH(OrderLines[[#Headers],[DiscountPct]],Orders[#Headers],0),FALSE),"CHECK")</f>
        <v>0.03</v>
      </c>
      <c r="J507" t="str">
        <f>IFERROR(VLOOKUP(OrderLines[[#This Row],[OrderID]],Orders[],MATCH(OrderLines[[#Headers],[Shift]],Orders[#Headers],0),FALSE),"CHECK")</f>
        <v>Breakfast</v>
      </c>
      <c r="K507" s="11">
        <f>OrderLines[[#This Row],[Qty]] * OrderLines[[#This Row],[UnitPrice]] * (1-OrderLines[[#This Row],[DiscountPct]])</f>
        <v>331.41020000000003</v>
      </c>
      <c r="L507">
        <f>OrderLines[[#This Row],[Qty]]*OrderLines[[#This Row],[UnitCost]]</f>
        <v>148.13999999999999</v>
      </c>
    </row>
    <row r="508" spans="1:12" x14ac:dyDescent="0.25">
      <c r="A508" t="s">
        <v>236</v>
      </c>
      <c r="B508" t="s">
        <v>404</v>
      </c>
      <c r="C508">
        <v>1</v>
      </c>
      <c r="D508" s="9">
        <f>IFERROR(VLOOKUP($B508,Menu[],MATCH(D$1,Menu[#Headers],0),FALSE),"CHECK")</f>
        <v>32.979999999999997</v>
      </c>
      <c r="E508" s="9">
        <f>IFERROR(VLOOKUP($B508,Menu[],MATCH(E$1,Menu[#Headers],0),FALSE),"CHECK")</f>
        <v>11.84</v>
      </c>
      <c r="F508" t="str">
        <f>IFERROR(VLOOKUP($B508,Menu[],MATCH(F$1,Menu[#Headers],0),FALSE),"CHECK")</f>
        <v>Beverage</v>
      </c>
      <c r="G508" s="7">
        <f>IFERROR(INT(VLOOKUP($A508,Orders[],MATCH("OrderDateTime",Orders[#Headers],0),FALSE)),"CHECK")</f>
        <v>45898</v>
      </c>
      <c r="H508" s="7" t="str">
        <f>IFERROR(VLOOKUP($A508,Orders[],MATCH(H$1,Orders[#Headers],0),FALSE),"CHECK")</f>
        <v>Head Office Café</v>
      </c>
      <c r="I508">
        <f>IFERROR(VLOOKUP(OrderLines[[#This Row],[OrderID]],Orders[],MATCH(OrderLines[[#Headers],[DiscountPct]],Orders[#Headers],0),FALSE),"CHECK")</f>
        <v>0.03</v>
      </c>
      <c r="J508" t="str">
        <f>IFERROR(VLOOKUP(OrderLines[[#This Row],[OrderID]],Orders[],MATCH(OrderLines[[#Headers],[Shift]],Orders[#Headers],0),FALSE),"CHECK")</f>
        <v>Breakfast</v>
      </c>
      <c r="K508" s="11">
        <f>OrderLines[[#This Row],[Qty]] * OrderLines[[#This Row],[UnitPrice]] * (1-OrderLines[[#This Row],[DiscountPct]])</f>
        <v>31.990599999999997</v>
      </c>
      <c r="L508">
        <f>OrderLines[[#This Row],[Qty]]*OrderLines[[#This Row],[UnitCost]]</f>
        <v>11.84</v>
      </c>
    </row>
    <row r="509" spans="1:12" x14ac:dyDescent="0.25">
      <c r="A509" t="s">
        <v>237</v>
      </c>
      <c r="B509" t="s">
        <v>418</v>
      </c>
      <c r="C509">
        <v>1</v>
      </c>
      <c r="D509" s="9">
        <f>IFERROR(VLOOKUP($B509,Menu[],MATCH(D$1,Menu[#Headers],0),FALSE),"CHECK")</f>
        <v>39.950000000000003</v>
      </c>
      <c r="E509" s="9">
        <f>IFERROR(VLOOKUP($B509,Menu[],MATCH(E$1,Menu[#Headers],0),FALSE),"CHECK")</f>
        <v>15.51</v>
      </c>
      <c r="F509" t="str">
        <f>IFERROR(VLOOKUP($B509,Menu[],MATCH(F$1,Menu[#Headers],0),FALSE),"CHECK")</f>
        <v>Snack</v>
      </c>
      <c r="G509" s="7">
        <f>IFERROR(INT(VLOOKUP($A509,Orders[],MATCH("OrderDateTime",Orders[#Headers],0),FALSE)),"CHECK")</f>
        <v>45898</v>
      </c>
      <c r="H509" s="7" t="str">
        <f>IFERROR(VLOOKUP($A509,Orders[],MATCH(H$1,Orders[#Headers],0),FALSE),"CHECK")</f>
        <v>Plant 2 Canteen</v>
      </c>
      <c r="I509">
        <f>IFERROR(VLOOKUP(OrderLines[[#This Row],[OrderID]],Orders[],MATCH(OrderLines[[#Headers],[DiscountPct]],Orders[#Headers],0),FALSE),"CHECK")</f>
        <v>0.06</v>
      </c>
      <c r="J509" t="str">
        <f>IFERROR(VLOOKUP(OrderLines[[#This Row],[OrderID]],Orders[],MATCH(OrderLines[[#Headers],[Shift]],Orders[#Headers],0),FALSE),"CHECK")</f>
        <v>Breakfast</v>
      </c>
      <c r="K509" s="11">
        <f>OrderLines[[#This Row],[Qty]] * OrderLines[[#This Row],[UnitPrice]] * (1-OrderLines[[#This Row],[DiscountPct]])</f>
        <v>37.552999999999997</v>
      </c>
      <c r="L509">
        <f>OrderLines[[#This Row],[Qty]]*OrderLines[[#This Row],[UnitCost]]</f>
        <v>15.51</v>
      </c>
    </row>
    <row r="510" spans="1:12" x14ac:dyDescent="0.25">
      <c r="A510" t="s">
        <v>238</v>
      </c>
      <c r="B510" t="s">
        <v>406</v>
      </c>
      <c r="C510">
        <v>1</v>
      </c>
      <c r="D510" s="9">
        <f>IFERROR(VLOOKUP($B510,Menu[],MATCH(D$1,Menu[#Headers],0),FALSE),"CHECK")</f>
        <v>38.06</v>
      </c>
      <c r="E510" s="9">
        <f>IFERROR(VLOOKUP($B510,Menu[],MATCH(E$1,Menu[#Headers],0),FALSE),"CHECK")</f>
        <v>19.55</v>
      </c>
      <c r="F510" t="str">
        <f>IFERROR(VLOOKUP($B510,Menu[],MATCH(F$1,Menu[#Headers],0),FALSE),"CHECK")</f>
        <v>Snack</v>
      </c>
      <c r="G510" s="7">
        <f>IFERROR(INT(VLOOKUP($A510,Orders[],MATCH("OrderDateTime",Orders[#Headers],0),FALSE)),"CHECK")</f>
        <v>45863</v>
      </c>
      <c r="H510" s="7" t="str">
        <f>IFERROR(VLOOKUP($A510,Orders[],MATCH(H$1,Orders[#Headers],0),FALSE),"CHECK")</f>
        <v>Head Office Café</v>
      </c>
      <c r="I510">
        <f>IFERROR(VLOOKUP(OrderLines[[#This Row],[OrderID]],Orders[],MATCH(OrderLines[[#Headers],[DiscountPct]],Orders[#Headers],0),FALSE),"CHECK")</f>
        <v>0.08</v>
      </c>
      <c r="J510" t="str">
        <f>IFERROR(VLOOKUP(OrderLines[[#This Row],[OrderID]],Orders[],MATCH(OrderLines[[#Headers],[Shift]],Orders[#Headers],0),FALSE),"CHECK")</f>
        <v>Lunch</v>
      </c>
      <c r="K510" s="11">
        <f>OrderLines[[#This Row],[Qty]] * OrderLines[[#This Row],[UnitPrice]] * (1-OrderLines[[#This Row],[DiscountPct]])</f>
        <v>35.0152</v>
      </c>
      <c r="L510">
        <f>OrderLines[[#This Row],[Qty]]*OrderLines[[#This Row],[UnitCost]]</f>
        <v>19.55</v>
      </c>
    </row>
    <row r="511" spans="1:12" x14ac:dyDescent="0.25">
      <c r="A511" t="s">
        <v>239</v>
      </c>
      <c r="B511" t="s">
        <v>405</v>
      </c>
      <c r="C511">
        <v>1</v>
      </c>
      <c r="D511" s="9">
        <f>IFERROR(VLOOKUP($B511,Menu[],MATCH(D$1,Menu[#Headers],0),FALSE),"CHECK")</f>
        <v>170.83</v>
      </c>
      <c r="E511" s="9">
        <f>IFERROR(VLOOKUP($B511,Menu[],MATCH(E$1,Menu[#Headers],0),FALSE),"CHECK")</f>
        <v>74.069999999999993</v>
      </c>
      <c r="F511" t="str">
        <f>IFERROR(VLOOKUP($B511,Menu[],MATCH(F$1,Menu[#Headers],0),FALSE),"CHECK")</f>
        <v>Hot Meal</v>
      </c>
      <c r="G511" s="7">
        <f>IFERROR(INT(VLOOKUP($A511,Orders[],MATCH("OrderDateTime",Orders[#Headers],0),FALSE)),"CHECK")</f>
        <v>45848</v>
      </c>
      <c r="H511" s="7" t="str">
        <f>IFERROR(VLOOKUP($A511,Orders[],MATCH(H$1,Orders[#Headers],0),FALSE),"CHECK")</f>
        <v>Head Office Café</v>
      </c>
      <c r="I511">
        <f>IFERROR(VLOOKUP(OrderLines[[#This Row],[OrderID]],Orders[],MATCH(OrderLines[[#Headers],[DiscountPct]],Orders[#Headers],0),FALSE),"CHECK")</f>
        <v>0.09</v>
      </c>
      <c r="J511" t="str">
        <f>IFERROR(VLOOKUP(OrderLines[[#This Row],[OrderID]],Orders[],MATCH(OrderLines[[#Headers],[Shift]],Orders[#Headers],0),FALSE),"CHECK")</f>
        <v>Dinner</v>
      </c>
      <c r="K511" s="11">
        <f>OrderLines[[#This Row],[Qty]] * OrderLines[[#This Row],[UnitPrice]] * (1-OrderLines[[#This Row],[DiscountPct]])</f>
        <v>155.45530000000002</v>
      </c>
      <c r="L511">
        <f>OrderLines[[#This Row],[Qty]]*OrderLines[[#This Row],[UnitCost]]</f>
        <v>74.069999999999993</v>
      </c>
    </row>
    <row r="512" spans="1:12" x14ac:dyDescent="0.25">
      <c r="A512" t="s">
        <v>240</v>
      </c>
      <c r="B512" t="s">
        <v>417</v>
      </c>
      <c r="C512">
        <v>1</v>
      </c>
      <c r="D512" s="9">
        <f>IFERROR(VLOOKUP($B512,Menu[],MATCH(D$1,Menu[#Headers],0),FALSE),"CHECK")</f>
        <v>146.4</v>
      </c>
      <c r="E512" s="9">
        <f>IFERROR(VLOOKUP($B512,Menu[],MATCH(E$1,Menu[#Headers],0),FALSE),"CHECK")</f>
        <v>80.92</v>
      </c>
      <c r="F512" t="str">
        <f>IFERROR(VLOOKUP($B512,Menu[],MATCH(F$1,Menu[#Headers],0),FALSE),"CHECK")</f>
        <v>Hot Meal</v>
      </c>
      <c r="G512" s="7">
        <f>IFERROR(INT(VLOOKUP($A512,Orders[],MATCH("OrderDateTime",Orders[#Headers],0),FALSE)),"CHECK")</f>
        <v>45882</v>
      </c>
      <c r="H512" s="7" t="str">
        <f>IFERROR(VLOOKUP($A512,Orders[],MATCH(H$1,Orders[#Headers],0),FALSE),"CHECK")</f>
        <v>Plant 1 Canteen</v>
      </c>
      <c r="I512">
        <f>IFERROR(VLOOKUP(OrderLines[[#This Row],[OrderID]],Orders[],MATCH(OrderLines[[#Headers],[DiscountPct]],Orders[#Headers],0),FALSE),"CHECK")</f>
        <v>0.01</v>
      </c>
      <c r="J512" t="str">
        <f>IFERROR(VLOOKUP(OrderLines[[#This Row],[OrderID]],Orders[],MATCH(OrderLines[[#Headers],[Shift]],Orders[#Headers],0),FALSE),"CHECK")</f>
        <v>Breakfast</v>
      </c>
      <c r="K512" s="11">
        <f>OrderLines[[#This Row],[Qty]] * OrderLines[[#This Row],[UnitPrice]] * (1-OrderLines[[#This Row],[DiscountPct]])</f>
        <v>144.93600000000001</v>
      </c>
      <c r="L512">
        <f>OrderLines[[#This Row],[Qty]]*OrderLines[[#This Row],[UnitCost]]</f>
        <v>80.92</v>
      </c>
    </row>
    <row r="513" spans="1:12" x14ac:dyDescent="0.25">
      <c r="A513" t="s">
        <v>240</v>
      </c>
      <c r="B513" t="s">
        <v>413</v>
      </c>
      <c r="C513">
        <v>2</v>
      </c>
      <c r="D513" s="9">
        <f>IFERROR(VLOOKUP($B513,Menu[],MATCH(D$1,Menu[#Headers],0),FALSE),"CHECK")</f>
        <v>54.2</v>
      </c>
      <c r="E513" s="9">
        <f>IFERROR(VLOOKUP($B513,Menu[],MATCH(E$1,Menu[#Headers],0),FALSE),"CHECK")</f>
        <v>21.95</v>
      </c>
      <c r="F513" t="str">
        <f>IFERROR(VLOOKUP($B513,Menu[],MATCH(F$1,Menu[#Headers],0),FALSE),"CHECK")</f>
        <v>Dessert</v>
      </c>
      <c r="G513" s="7">
        <f>IFERROR(INT(VLOOKUP($A513,Orders[],MATCH("OrderDateTime",Orders[#Headers],0),FALSE)),"CHECK")</f>
        <v>45882</v>
      </c>
      <c r="H513" s="7" t="str">
        <f>IFERROR(VLOOKUP($A513,Orders[],MATCH(H$1,Orders[#Headers],0),FALSE),"CHECK")</f>
        <v>Plant 1 Canteen</v>
      </c>
      <c r="I513">
        <f>IFERROR(VLOOKUP(OrderLines[[#This Row],[OrderID]],Orders[],MATCH(OrderLines[[#Headers],[DiscountPct]],Orders[#Headers],0),FALSE),"CHECK")</f>
        <v>0.01</v>
      </c>
      <c r="J513" t="str">
        <f>IFERROR(VLOOKUP(OrderLines[[#This Row],[OrderID]],Orders[],MATCH(OrderLines[[#Headers],[Shift]],Orders[#Headers],0),FALSE),"CHECK")</f>
        <v>Breakfast</v>
      </c>
      <c r="K513" s="11">
        <f>OrderLines[[#This Row],[Qty]] * OrderLines[[#This Row],[UnitPrice]] * (1-OrderLines[[#This Row],[DiscountPct]])</f>
        <v>107.316</v>
      </c>
      <c r="L513">
        <f>OrderLines[[#This Row],[Qty]]*OrderLines[[#This Row],[UnitCost]]</f>
        <v>43.9</v>
      </c>
    </row>
    <row r="514" spans="1:12" x14ac:dyDescent="0.25">
      <c r="A514" t="s">
        <v>241</v>
      </c>
      <c r="B514" t="s">
        <v>411</v>
      </c>
      <c r="C514">
        <v>1</v>
      </c>
      <c r="D514" s="9">
        <f>IFERROR(VLOOKUP($B514,Menu[],MATCH(D$1,Menu[#Headers],0),FALSE),"CHECK")</f>
        <v>22.2</v>
      </c>
      <c r="E514" s="9">
        <f>IFERROR(VLOOKUP($B514,Menu[],MATCH(E$1,Menu[#Headers],0),FALSE),"CHECK")</f>
        <v>9.3800000000000008</v>
      </c>
      <c r="F514" t="str">
        <f>IFERROR(VLOOKUP($B514,Menu[],MATCH(F$1,Menu[#Headers],0),FALSE),"CHECK")</f>
        <v>Beverage</v>
      </c>
      <c r="G514" s="7">
        <f>IFERROR(INT(VLOOKUP($A514,Orders[],MATCH("OrderDateTime",Orders[#Headers],0),FALSE)),"CHECK")</f>
        <v>45848</v>
      </c>
      <c r="H514" s="7" t="str">
        <f>IFERROR(VLOOKUP($A514,Orders[],MATCH(H$1,Orders[#Headers],0),FALSE),"CHECK")</f>
        <v>Plant 2 Canteen</v>
      </c>
      <c r="I514">
        <f>IFERROR(VLOOKUP(OrderLines[[#This Row],[OrderID]],Orders[],MATCH(OrderLines[[#Headers],[DiscountPct]],Orders[#Headers],0),FALSE),"CHECK")</f>
        <v>0.05</v>
      </c>
      <c r="J514" t="str">
        <f>IFERROR(VLOOKUP(OrderLines[[#This Row],[OrderID]],Orders[],MATCH(OrderLines[[#Headers],[Shift]],Orders[#Headers],0),FALSE),"CHECK")</f>
        <v>Breakfast</v>
      </c>
      <c r="K514" s="11">
        <f>OrderLines[[#This Row],[Qty]] * OrderLines[[#This Row],[UnitPrice]] * (1-OrderLines[[#This Row],[DiscountPct]])</f>
        <v>21.09</v>
      </c>
      <c r="L514">
        <f>OrderLines[[#This Row],[Qty]]*OrderLines[[#This Row],[UnitCost]]</f>
        <v>9.3800000000000008</v>
      </c>
    </row>
    <row r="515" spans="1:12" x14ac:dyDescent="0.25">
      <c r="A515" t="s">
        <v>241</v>
      </c>
      <c r="B515" t="s">
        <v>416</v>
      </c>
      <c r="C515">
        <v>3</v>
      </c>
      <c r="D515" s="9">
        <f>IFERROR(VLOOKUP($B515,Menu[],MATCH(D$1,Menu[#Headers],0),FALSE),"CHECK")</f>
        <v>227.61</v>
      </c>
      <c r="E515" s="9">
        <f>IFERROR(VLOOKUP($B515,Menu[],MATCH(E$1,Menu[#Headers],0),FALSE),"CHECK")</f>
        <v>96.22</v>
      </c>
      <c r="F515" t="str">
        <f>IFERROR(VLOOKUP($B515,Menu[],MATCH(F$1,Menu[#Headers],0),FALSE),"CHECK")</f>
        <v>Hot Meal</v>
      </c>
      <c r="G515" s="7">
        <f>IFERROR(INT(VLOOKUP($A515,Orders[],MATCH("OrderDateTime",Orders[#Headers],0),FALSE)),"CHECK")</f>
        <v>45848</v>
      </c>
      <c r="H515" s="7" t="str">
        <f>IFERROR(VLOOKUP($A515,Orders[],MATCH(H$1,Orders[#Headers],0),FALSE),"CHECK")</f>
        <v>Plant 2 Canteen</v>
      </c>
      <c r="I515">
        <f>IFERROR(VLOOKUP(OrderLines[[#This Row],[OrderID]],Orders[],MATCH(OrderLines[[#Headers],[DiscountPct]],Orders[#Headers],0),FALSE),"CHECK")</f>
        <v>0.05</v>
      </c>
      <c r="J515" t="str">
        <f>IFERROR(VLOOKUP(OrderLines[[#This Row],[OrderID]],Orders[],MATCH(OrderLines[[#Headers],[Shift]],Orders[#Headers],0),FALSE),"CHECK")</f>
        <v>Breakfast</v>
      </c>
      <c r="K515" s="11">
        <f>OrderLines[[#This Row],[Qty]] * OrderLines[[#This Row],[UnitPrice]] * (1-OrderLines[[#This Row],[DiscountPct]])</f>
        <v>648.68849999999998</v>
      </c>
      <c r="L515">
        <f>OrderLines[[#This Row],[Qty]]*OrderLines[[#This Row],[UnitCost]]</f>
        <v>288.65999999999997</v>
      </c>
    </row>
    <row r="516" spans="1:12" x14ac:dyDescent="0.25">
      <c r="A516" t="s">
        <v>241</v>
      </c>
      <c r="B516" t="s">
        <v>407</v>
      </c>
      <c r="C516">
        <v>1</v>
      </c>
      <c r="D516" s="9">
        <f>IFERROR(VLOOKUP($B516,Menu[],MATCH(D$1,Menu[#Headers],0),FALSE),"CHECK")</f>
        <v>246.09</v>
      </c>
      <c r="E516" s="9">
        <f>IFERROR(VLOOKUP($B516,Menu[],MATCH(E$1,Menu[#Headers],0),FALSE),"CHECK")</f>
        <v>112.08</v>
      </c>
      <c r="F516" t="str">
        <f>IFERROR(VLOOKUP($B516,Menu[],MATCH(F$1,Menu[#Headers],0),FALSE),"CHECK")</f>
        <v>Hot Meal</v>
      </c>
      <c r="G516" s="7">
        <f>IFERROR(INT(VLOOKUP($A516,Orders[],MATCH("OrderDateTime",Orders[#Headers],0),FALSE)),"CHECK")</f>
        <v>45848</v>
      </c>
      <c r="H516" s="7" t="str">
        <f>IFERROR(VLOOKUP($A516,Orders[],MATCH(H$1,Orders[#Headers],0),FALSE),"CHECK")</f>
        <v>Plant 2 Canteen</v>
      </c>
      <c r="I516">
        <f>IFERROR(VLOOKUP(OrderLines[[#This Row],[OrderID]],Orders[],MATCH(OrderLines[[#Headers],[DiscountPct]],Orders[#Headers],0),FALSE),"CHECK")</f>
        <v>0.05</v>
      </c>
      <c r="J516" t="str">
        <f>IFERROR(VLOOKUP(OrderLines[[#This Row],[OrderID]],Orders[],MATCH(OrderLines[[#Headers],[Shift]],Orders[#Headers],0),FALSE),"CHECK")</f>
        <v>Breakfast</v>
      </c>
      <c r="K516" s="11">
        <f>OrderLines[[#This Row],[Qty]] * OrderLines[[#This Row],[UnitPrice]] * (1-OrderLines[[#This Row],[DiscountPct]])</f>
        <v>233.78549999999998</v>
      </c>
      <c r="L516">
        <f>OrderLines[[#This Row],[Qty]]*OrderLines[[#This Row],[UnitCost]]</f>
        <v>112.08</v>
      </c>
    </row>
    <row r="517" spans="1:12" x14ac:dyDescent="0.25">
      <c r="A517" t="s">
        <v>242</v>
      </c>
      <c r="B517" t="s">
        <v>417</v>
      </c>
      <c r="C517">
        <v>1</v>
      </c>
      <c r="D517" s="9">
        <f>IFERROR(VLOOKUP($B517,Menu[],MATCH(D$1,Menu[#Headers],0),FALSE),"CHECK")</f>
        <v>146.4</v>
      </c>
      <c r="E517" s="9">
        <f>IFERROR(VLOOKUP($B517,Menu[],MATCH(E$1,Menu[#Headers],0),FALSE),"CHECK")</f>
        <v>80.92</v>
      </c>
      <c r="F517" t="str">
        <f>IFERROR(VLOOKUP($B517,Menu[],MATCH(F$1,Menu[#Headers],0),FALSE),"CHECK")</f>
        <v>Hot Meal</v>
      </c>
      <c r="G517" s="7">
        <f>IFERROR(INT(VLOOKUP($A517,Orders[],MATCH("OrderDateTime",Orders[#Headers],0),FALSE)),"CHECK")</f>
        <v>45856</v>
      </c>
      <c r="H517" s="7" t="str">
        <f>IFERROR(VLOOKUP($A517,Orders[],MATCH(H$1,Orders[#Headers],0),FALSE),"CHECK")</f>
        <v>Plant 1 Canteen</v>
      </c>
      <c r="I517">
        <f>IFERROR(VLOOKUP(OrderLines[[#This Row],[OrderID]],Orders[],MATCH(OrderLines[[#Headers],[DiscountPct]],Orders[#Headers],0),FALSE),"CHECK")</f>
        <v>0.04</v>
      </c>
      <c r="J517" t="str">
        <f>IFERROR(VLOOKUP(OrderLines[[#This Row],[OrderID]],Orders[],MATCH(OrderLines[[#Headers],[Shift]],Orders[#Headers],0),FALSE),"CHECK")</f>
        <v>Breakfast</v>
      </c>
      <c r="K517" s="11">
        <f>OrderLines[[#This Row],[Qty]] * OrderLines[[#This Row],[UnitPrice]] * (1-OrderLines[[#This Row],[DiscountPct]])</f>
        <v>140.54400000000001</v>
      </c>
      <c r="L517">
        <f>OrderLines[[#This Row],[Qty]]*OrderLines[[#This Row],[UnitCost]]</f>
        <v>80.92</v>
      </c>
    </row>
    <row r="518" spans="1:12" x14ac:dyDescent="0.25">
      <c r="A518" t="s">
        <v>242</v>
      </c>
      <c r="B518" t="s">
        <v>418</v>
      </c>
      <c r="C518">
        <v>2</v>
      </c>
      <c r="D518" s="9">
        <f>IFERROR(VLOOKUP($B518,Menu[],MATCH(D$1,Menu[#Headers],0),FALSE),"CHECK")</f>
        <v>39.950000000000003</v>
      </c>
      <c r="E518" s="9">
        <f>IFERROR(VLOOKUP($B518,Menu[],MATCH(E$1,Menu[#Headers],0),FALSE),"CHECK")</f>
        <v>15.51</v>
      </c>
      <c r="F518" t="str">
        <f>IFERROR(VLOOKUP($B518,Menu[],MATCH(F$1,Menu[#Headers],0),FALSE),"CHECK")</f>
        <v>Snack</v>
      </c>
      <c r="G518" s="7">
        <f>IFERROR(INT(VLOOKUP($A518,Orders[],MATCH("OrderDateTime",Orders[#Headers],0),FALSE)),"CHECK")</f>
        <v>45856</v>
      </c>
      <c r="H518" s="7" t="str">
        <f>IFERROR(VLOOKUP($A518,Orders[],MATCH(H$1,Orders[#Headers],0),FALSE),"CHECK")</f>
        <v>Plant 1 Canteen</v>
      </c>
      <c r="I518">
        <f>IFERROR(VLOOKUP(OrderLines[[#This Row],[OrderID]],Orders[],MATCH(OrderLines[[#Headers],[DiscountPct]],Orders[#Headers],0),FALSE),"CHECK")</f>
        <v>0.04</v>
      </c>
      <c r="J518" t="str">
        <f>IFERROR(VLOOKUP(OrderLines[[#This Row],[OrderID]],Orders[],MATCH(OrderLines[[#Headers],[Shift]],Orders[#Headers],0),FALSE),"CHECK")</f>
        <v>Breakfast</v>
      </c>
      <c r="K518" s="11">
        <f>OrderLines[[#This Row],[Qty]] * OrderLines[[#This Row],[UnitPrice]] * (1-OrderLines[[#This Row],[DiscountPct]])</f>
        <v>76.704000000000008</v>
      </c>
      <c r="L518">
        <f>OrderLines[[#This Row],[Qty]]*OrderLines[[#This Row],[UnitCost]]</f>
        <v>31.02</v>
      </c>
    </row>
    <row r="519" spans="1:12" x14ac:dyDescent="0.25">
      <c r="A519" t="s">
        <v>242</v>
      </c>
      <c r="B519" t="s">
        <v>402</v>
      </c>
      <c r="C519">
        <v>1</v>
      </c>
      <c r="D519" s="9">
        <f>IFERROR(VLOOKUP($B519,Menu[],MATCH(D$1,Menu[#Headers],0),FALSE),"CHECK")</f>
        <v>30.34</v>
      </c>
      <c r="E519" s="9">
        <f>IFERROR(VLOOKUP($B519,Menu[],MATCH(E$1,Menu[#Headers],0),FALSE),"CHECK")</f>
        <v>14.18</v>
      </c>
      <c r="F519" t="str">
        <f>IFERROR(VLOOKUP($B519,Menu[],MATCH(F$1,Menu[#Headers],0),FALSE),"CHECK")</f>
        <v>Beverage</v>
      </c>
      <c r="G519" s="7">
        <f>IFERROR(INT(VLOOKUP($A519,Orders[],MATCH("OrderDateTime",Orders[#Headers],0),FALSE)),"CHECK")</f>
        <v>45856</v>
      </c>
      <c r="H519" s="7" t="str">
        <f>IFERROR(VLOOKUP($A519,Orders[],MATCH(H$1,Orders[#Headers],0),FALSE),"CHECK")</f>
        <v>Plant 1 Canteen</v>
      </c>
      <c r="I519">
        <f>IFERROR(VLOOKUP(OrderLines[[#This Row],[OrderID]],Orders[],MATCH(OrderLines[[#Headers],[DiscountPct]],Orders[#Headers],0),FALSE),"CHECK")</f>
        <v>0.04</v>
      </c>
      <c r="J519" t="str">
        <f>IFERROR(VLOOKUP(OrderLines[[#This Row],[OrderID]],Orders[],MATCH(OrderLines[[#Headers],[Shift]],Orders[#Headers],0),FALSE),"CHECK")</f>
        <v>Breakfast</v>
      </c>
      <c r="K519" s="11">
        <f>OrderLines[[#This Row],[Qty]] * OrderLines[[#This Row],[UnitPrice]] * (1-OrderLines[[#This Row],[DiscountPct]])</f>
        <v>29.1264</v>
      </c>
      <c r="L519">
        <f>OrderLines[[#This Row],[Qty]]*OrderLines[[#This Row],[UnitCost]]</f>
        <v>14.18</v>
      </c>
    </row>
    <row r="520" spans="1:12" x14ac:dyDescent="0.25">
      <c r="A520" t="s">
        <v>242</v>
      </c>
      <c r="B520" t="s">
        <v>401</v>
      </c>
      <c r="C520">
        <v>1</v>
      </c>
      <c r="D520" s="9">
        <f>IFERROR(VLOOKUP($B520,Menu[],MATCH(D$1,Menu[#Headers],0),FALSE),"CHECK")</f>
        <v>52.45</v>
      </c>
      <c r="E520" s="9">
        <f>IFERROR(VLOOKUP($B520,Menu[],MATCH(E$1,Menu[#Headers],0),FALSE),"CHECK")</f>
        <v>25.8</v>
      </c>
      <c r="F520" t="str">
        <f>IFERROR(VLOOKUP($B520,Menu[],MATCH(F$1,Menu[#Headers],0),FALSE),"CHECK")</f>
        <v>Snack</v>
      </c>
      <c r="G520" s="7">
        <f>IFERROR(INT(VLOOKUP($A520,Orders[],MATCH("OrderDateTime",Orders[#Headers],0),FALSE)),"CHECK")</f>
        <v>45856</v>
      </c>
      <c r="H520" s="7" t="str">
        <f>IFERROR(VLOOKUP($A520,Orders[],MATCH(H$1,Orders[#Headers],0),FALSE),"CHECK")</f>
        <v>Plant 1 Canteen</v>
      </c>
      <c r="I520">
        <f>IFERROR(VLOOKUP(OrderLines[[#This Row],[OrderID]],Orders[],MATCH(OrderLines[[#Headers],[DiscountPct]],Orders[#Headers],0),FALSE),"CHECK")</f>
        <v>0.04</v>
      </c>
      <c r="J520" t="str">
        <f>IFERROR(VLOOKUP(OrderLines[[#This Row],[OrderID]],Orders[],MATCH(OrderLines[[#Headers],[Shift]],Orders[#Headers],0),FALSE),"CHECK")</f>
        <v>Breakfast</v>
      </c>
      <c r="K520" s="11">
        <f>OrderLines[[#This Row],[Qty]] * OrderLines[[#This Row],[UnitPrice]] * (1-OrderLines[[#This Row],[DiscountPct]])</f>
        <v>50.352000000000004</v>
      </c>
      <c r="L520">
        <f>OrderLines[[#This Row],[Qty]]*OrderLines[[#This Row],[UnitCost]]</f>
        <v>25.8</v>
      </c>
    </row>
    <row r="521" spans="1:12" x14ac:dyDescent="0.25">
      <c r="A521" t="s">
        <v>243</v>
      </c>
      <c r="B521" t="s">
        <v>409</v>
      </c>
      <c r="C521">
        <v>3</v>
      </c>
      <c r="D521" s="9">
        <f>IFERROR(VLOOKUP($B521,Menu[],MATCH(D$1,Menu[#Headers],0),FALSE),"CHECK")</f>
        <v>28.43</v>
      </c>
      <c r="E521" s="9">
        <f>IFERROR(VLOOKUP($B521,Menu[],MATCH(E$1,Menu[#Headers],0),FALSE),"CHECK")</f>
        <v>13.89</v>
      </c>
      <c r="F521" t="str">
        <f>IFERROR(VLOOKUP($B521,Menu[],MATCH(F$1,Menu[#Headers],0),FALSE),"CHECK")</f>
        <v>Beverage</v>
      </c>
      <c r="G521" s="7">
        <f>IFERROR(INT(VLOOKUP($A521,Orders[],MATCH("OrderDateTime",Orders[#Headers],0),FALSE)),"CHECK")</f>
        <v>45890</v>
      </c>
      <c r="H521" s="7" t="str">
        <f>IFERROR(VLOOKUP($A521,Orders[],MATCH(H$1,Orders[#Headers],0),FALSE),"CHECK")</f>
        <v>Head Office Café</v>
      </c>
      <c r="I521">
        <f>IFERROR(VLOOKUP(OrderLines[[#This Row],[OrderID]],Orders[],MATCH(OrderLines[[#Headers],[DiscountPct]],Orders[#Headers],0),FALSE),"CHECK")</f>
        <v>0.03</v>
      </c>
      <c r="J521" t="str">
        <f>IFERROR(VLOOKUP(OrderLines[[#This Row],[OrderID]],Orders[],MATCH(OrderLines[[#Headers],[Shift]],Orders[#Headers],0),FALSE),"CHECK")</f>
        <v>Dinner</v>
      </c>
      <c r="K521" s="11">
        <f>OrderLines[[#This Row],[Qty]] * OrderLines[[#This Row],[UnitPrice]] * (1-OrderLines[[#This Row],[DiscountPct]])</f>
        <v>82.73129999999999</v>
      </c>
      <c r="L521">
        <f>OrderLines[[#This Row],[Qty]]*OrderLines[[#This Row],[UnitCost]]</f>
        <v>41.67</v>
      </c>
    </row>
    <row r="522" spans="1:12" x14ac:dyDescent="0.25">
      <c r="A522" t="s">
        <v>243</v>
      </c>
      <c r="B522" t="s">
        <v>406</v>
      </c>
      <c r="C522">
        <v>1</v>
      </c>
      <c r="D522" s="9">
        <f>IFERROR(VLOOKUP($B522,Menu[],MATCH(D$1,Menu[#Headers],0),FALSE),"CHECK")</f>
        <v>38.06</v>
      </c>
      <c r="E522" s="9">
        <f>IFERROR(VLOOKUP($B522,Menu[],MATCH(E$1,Menu[#Headers],0),FALSE),"CHECK")</f>
        <v>19.55</v>
      </c>
      <c r="F522" t="str">
        <f>IFERROR(VLOOKUP($B522,Menu[],MATCH(F$1,Menu[#Headers],0),FALSE),"CHECK")</f>
        <v>Snack</v>
      </c>
      <c r="G522" s="7">
        <f>IFERROR(INT(VLOOKUP($A522,Orders[],MATCH("OrderDateTime",Orders[#Headers],0),FALSE)),"CHECK")</f>
        <v>45890</v>
      </c>
      <c r="H522" s="7" t="str">
        <f>IFERROR(VLOOKUP($A522,Orders[],MATCH(H$1,Orders[#Headers],0),FALSE),"CHECK")</f>
        <v>Head Office Café</v>
      </c>
      <c r="I522">
        <f>IFERROR(VLOOKUP(OrderLines[[#This Row],[OrderID]],Orders[],MATCH(OrderLines[[#Headers],[DiscountPct]],Orders[#Headers],0),FALSE),"CHECK")</f>
        <v>0.03</v>
      </c>
      <c r="J522" t="str">
        <f>IFERROR(VLOOKUP(OrderLines[[#This Row],[OrderID]],Orders[],MATCH(OrderLines[[#Headers],[Shift]],Orders[#Headers],0),FALSE),"CHECK")</f>
        <v>Dinner</v>
      </c>
      <c r="K522" s="11">
        <f>OrderLines[[#This Row],[Qty]] * OrderLines[[#This Row],[UnitPrice]] * (1-OrderLines[[#This Row],[DiscountPct]])</f>
        <v>36.918199999999999</v>
      </c>
      <c r="L522">
        <f>OrderLines[[#This Row],[Qty]]*OrderLines[[#This Row],[UnitCost]]</f>
        <v>19.55</v>
      </c>
    </row>
    <row r="523" spans="1:12" x14ac:dyDescent="0.25">
      <c r="A523" t="s">
        <v>243</v>
      </c>
      <c r="B523" t="s">
        <v>404</v>
      </c>
      <c r="C523">
        <v>2</v>
      </c>
      <c r="D523" s="9">
        <f>IFERROR(VLOOKUP($B523,Menu[],MATCH(D$1,Menu[#Headers],0),FALSE),"CHECK")</f>
        <v>32.979999999999997</v>
      </c>
      <c r="E523" s="9">
        <f>IFERROR(VLOOKUP($B523,Menu[],MATCH(E$1,Menu[#Headers],0),FALSE),"CHECK")</f>
        <v>11.84</v>
      </c>
      <c r="F523" t="str">
        <f>IFERROR(VLOOKUP($B523,Menu[],MATCH(F$1,Menu[#Headers],0),FALSE),"CHECK")</f>
        <v>Beverage</v>
      </c>
      <c r="G523" s="7">
        <f>IFERROR(INT(VLOOKUP($A523,Orders[],MATCH("OrderDateTime",Orders[#Headers],0),FALSE)),"CHECK")</f>
        <v>45890</v>
      </c>
      <c r="H523" s="7" t="str">
        <f>IFERROR(VLOOKUP($A523,Orders[],MATCH(H$1,Orders[#Headers],0),FALSE),"CHECK")</f>
        <v>Head Office Café</v>
      </c>
      <c r="I523">
        <f>IFERROR(VLOOKUP(OrderLines[[#This Row],[OrderID]],Orders[],MATCH(OrderLines[[#Headers],[DiscountPct]],Orders[#Headers],0),FALSE),"CHECK")</f>
        <v>0.03</v>
      </c>
      <c r="J523" t="str">
        <f>IFERROR(VLOOKUP(OrderLines[[#This Row],[OrderID]],Orders[],MATCH(OrderLines[[#Headers],[Shift]],Orders[#Headers],0),FALSE),"CHECK")</f>
        <v>Dinner</v>
      </c>
      <c r="K523" s="11">
        <f>OrderLines[[#This Row],[Qty]] * OrderLines[[#This Row],[UnitPrice]] * (1-OrderLines[[#This Row],[DiscountPct]])</f>
        <v>63.981199999999994</v>
      </c>
      <c r="L523">
        <f>OrderLines[[#This Row],[Qty]]*OrderLines[[#This Row],[UnitCost]]</f>
        <v>23.68</v>
      </c>
    </row>
    <row r="524" spans="1:12" x14ac:dyDescent="0.25">
      <c r="A524" t="s">
        <v>243</v>
      </c>
      <c r="B524" t="s">
        <v>402</v>
      </c>
      <c r="C524">
        <v>1</v>
      </c>
      <c r="D524" s="9">
        <f>IFERROR(VLOOKUP($B524,Menu[],MATCH(D$1,Menu[#Headers],0),FALSE),"CHECK")</f>
        <v>30.34</v>
      </c>
      <c r="E524" s="9">
        <f>IFERROR(VLOOKUP($B524,Menu[],MATCH(E$1,Menu[#Headers],0),FALSE),"CHECK")</f>
        <v>14.18</v>
      </c>
      <c r="F524" t="str">
        <f>IFERROR(VLOOKUP($B524,Menu[],MATCH(F$1,Menu[#Headers],0),FALSE),"CHECK")</f>
        <v>Beverage</v>
      </c>
      <c r="G524" s="7">
        <f>IFERROR(INT(VLOOKUP($A524,Orders[],MATCH("OrderDateTime",Orders[#Headers],0),FALSE)),"CHECK")</f>
        <v>45890</v>
      </c>
      <c r="H524" s="7" t="str">
        <f>IFERROR(VLOOKUP($A524,Orders[],MATCH(H$1,Orders[#Headers],0),FALSE),"CHECK")</f>
        <v>Head Office Café</v>
      </c>
      <c r="I524">
        <f>IFERROR(VLOOKUP(OrderLines[[#This Row],[OrderID]],Orders[],MATCH(OrderLines[[#Headers],[DiscountPct]],Orders[#Headers],0),FALSE),"CHECK")</f>
        <v>0.03</v>
      </c>
      <c r="J524" t="str">
        <f>IFERROR(VLOOKUP(OrderLines[[#This Row],[OrderID]],Orders[],MATCH(OrderLines[[#Headers],[Shift]],Orders[#Headers],0),FALSE),"CHECK")</f>
        <v>Dinner</v>
      </c>
      <c r="K524" s="11">
        <f>OrderLines[[#This Row],[Qty]] * OrderLines[[#This Row],[UnitPrice]] * (1-OrderLines[[#This Row],[DiscountPct]])</f>
        <v>29.4298</v>
      </c>
      <c r="L524">
        <f>OrderLines[[#This Row],[Qty]]*OrderLines[[#This Row],[UnitCost]]</f>
        <v>14.18</v>
      </c>
    </row>
    <row r="525" spans="1:12" x14ac:dyDescent="0.25">
      <c r="A525" t="s">
        <v>244</v>
      </c>
      <c r="B525" t="s">
        <v>407</v>
      </c>
      <c r="C525">
        <v>1</v>
      </c>
      <c r="D525" s="9">
        <f>IFERROR(VLOOKUP($B525,Menu[],MATCH(D$1,Menu[#Headers],0),FALSE),"CHECK")</f>
        <v>246.09</v>
      </c>
      <c r="E525" s="9">
        <f>IFERROR(VLOOKUP($B525,Menu[],MATCH(E$1,Menu[#Headers],0),FALSE),"CHECK")</f>
        <v>112.08</v>
      </c>
      <c r="F525" t="str">
        <f>IFERROR(VLOOKUP($B525,Menu[],MATCH(F$1,Menu[#Headers],0),FALSE),"CHECK")</f>
        <v>Hot Meal</v>
      </c>
      <c r="G525" s="7">
        <f>IFERROR(INT(VLOOKUP($A525,Orders[],MATCH("OrderDateTime",Orders[#Headers],0),FALSE)),"CHECK")</f>
        <v>45886</v>
      </c>
      <c r="H525" s="7" t="str">
        <f>IFERROR(VLOOKUP($A525,Orders[],MATCH(H$1,Orders[#Headers],0),FALSE),"CHECK")</f>
        <v>Plant 2 Canteen</v>
      </c>
      <c r="I525">
        <f>IFERROR(VLOOKUP(OrderLines[[#This Row],[OrderID]],Orders[],MATCH(OrderLines[[#Headers],[DiscountPct]],Orders[#Headers],0),FALSE),"CHECK")</f>
        <v>0.13</v>
      </c>
      <c r="J525" t="str">
        <f>IFERROR(VLOOKUP(OrderLines[[#This Row],[OrderID]],Orders[],MATCH(OrderLines[[#Headers],[Shift]],Orders[#Headers],0),FALSE),"CHECK")</f>
        <v>Breakfast</v>
      </c>
      <c r="K525" s="11">
        <f>OrderLines[[#This Row],[Qty]] * OrderLines[[#This Row],[UnitPrice]] * (1-OrderLines[[#This Row],[DiscountPct]])</f>
        <v>214.09829999999999</v>
      </c>
      <c r="L525">
        <f>OrderLines[[#This Row],[Qty]]*OrderLines[[#This Row],[UnitCost]]</f>
        <v>112.08</v>
      </c>
    </row>
    <row r="526" spans="1:12" x14ac:dyDescent="0.25">
      <c r="A526" t="s">
        <v>244</v>
      </c>
      <c r="B526" t="s">
        <v>412</v>
      </c>
      <c r="C526">
        <v>3</v>
      </c>
      <c r="D526" s="9">
        <f>IFERROR(VLOOKUP($B526,Menu[],MATCH(D$1,Menu[#Headers],0),FALSE),"CHECK")</f>
        <v>57.07</v>
      </c>
      <c r="E526" s="9">
        <f>IFERROR(VLOOKUP($B526,Menu[],MATCH(E$1,Menu[#Headers],0),FALSE),"CHECK")</f>
        <v>29.14</v>
      </c>
      <c r="F526" t="str">
        <f>IFERROR(VLOOKUP($B526,Menu[],MATCH(F$1,Menu[#Headers],0),FALSE),"CHECK")</f>
        <v>Dessert</v>
      </c>
      <c r="G526" s="7">
        <f>IFERROR(INT(VLOOKUP($A526,Orders[],MATCH("OrderDateTime",Orders[#Headers],0),FALSE)),"CHECK")</f>
        <v>45886</v>
      </c>
      <c r="H526" s="7" t="str">
        <f>IFERROR(VLOOKUP($A526,Orders[],MATCH(H$1,Orders[#Headers],0),FALSE),"CHECK")</f>
        <v>Plant 2 Canteen</v>
      </c>
      <c r="I526">
        <f>IFERROR(VLOOKUP(OrderLines[[#This Row],[OrderID]],Orders[],MATCH(OrderLines[[#Headers],[DiscountPct]],Orders[#Headers],0),FALSE),"CHECK")</f>
        <v>0.13</v>
      </c>
      <c r="J526" t="str">
        <f>IFERROR(VLOOKUP(OrderLines[[#This Row],[OrderID]],Orders[],MATCH(OrderLines[[#Headers],[Shift]],Orders[#Headers],0),FALSE),"CHECK")</f>
        <v>Breakfast</v>
      </c>
      <c r="K526" s="11">
        <f>OrderLines[[#This Row],[Qty]] * OrderLines[[#This Row],[UnitPrice]] * (1-OrderLines[[#This Row],[DiscountPct]])</f>
        <v>148.95269999999999</v>
      </c>
      <c r="L526">
        <f>OrderLines[[#This Row],[Qty]]*OrderLines[[#This Row],[UnitCost]]</f>
        <v>87.42</v>
      </c>
    </row>
    <row r="527" spans="1:12" x14ac:dyDescent="0.25">
      <c r="A527" t="s">
        <v>245</v>
      </c>
      <c r="B527" t="s">
        <v>411</v>
      </c>
      <c r="C527">
        <v>3</v>
      </c>
      <c r="D527" s="9">
        <f>IFERROR(VLOOKUP($B527,Menu[],MATCH(D$1,Menu[#Headers],0),FALSE),"CHECK")</f>
        <v>22.2</v>
      </c>
      <c r="E527" s="9">
        <f>IFERROR(VLOOKUP($B527,Menu[],MATCH(E$1,Menu[#Headers],0),FALSE),"CHECK")</f>
        <v>9.3800000000000008</v>
      </c>
      <c r="F527" t="str">
        <f>IFERROR(VLOOKUP($B527,Menu[],MATCH(F$1,Menu[#Headers],0),FALSE),"CHECK")</f>
        <v>Beverage</v>
      </c>
      <c r="G527" s="7">
        <f>IFERROR(INT(VLOOKUP($A527,Orders[],MATCH("OrderDateTime",Orders[#Headers],0),FALSE)),"CHECK")</f>
        <v>45884</v>
      </c>
      <c r="H527" s="7" t="str">
        <f>IFERROR(VLOOKUP($A527,Orders[],MATCH(H$1,Orders[#Headers],0),FALSE),"CHECK")</f>
        <v>Plant 1 Canteen</v>
      </c>
      <c r="I527">
        <f>IFERROR(VLOOKUP(OrderLines[[#This Row],[OrderID]],Orders[],MATCH(OrderLines[[#Headers],[DiscountPct]],Orders[#Headers],0),FALSE),"CHECK")</f>
        <v>0.08</v>
      </c>
      <c r="J527" t="str">
        <f>IFERROR(VLOOKUP(OrderLines[[#This Row],[OrderID]],Orders[],MATCH(OrderLines[[#Headers],[Shift]],Orders[#Headers],0),FALSE),"CHECK")</f>
        <v>Dinner</v>
      </c>
      <c r="K527" s="11">
        <f>OrderLines[[#This Row],[Qty]] * OrderLines[[#This Row],[UnitPrice]] * (1-OrderLines[[#This Row],[DiscountPct]])</f>
        <v>61.271999999999998</v>
      </c>
      <c r="L527">
        <f>OrderLines[[#This Row],[Qty]]*OrderLines[[#This Row],[UnitCost]]</f>
        <v>28.14</v>
      </c>
    </row>
    <row r="528" spans="1:12" x14ac:dyDescent="0.25">
      <c r="A528" t="s">
        <v>245</v>
      </c>
      <c r="B528" t="s">
        <v>406</v>
      </c>
      <c r="C528">
        <v>2</v>
      </c>
      <c r="D528" s="9">
        <f>IFERROR(VLOOKUP($B528,Menu[],MATCH(D$1,Menu[#Headers],0),FALSE),"CHECK")</f>
        <v>38.06</v>
      </c>
      <c r="E528" s="9">
        <f>IFERROR(VLOOKUP($B528,Menu[],MATCH(E$1,Menu[#Headers],0),FALSE),"CHECK")</f>
        <v>19.55</v>
      </c>
      <c r="F528" t="str">
        <f>IFERROR(VLOOKUP($B528,Menu[],MATCH(F$1,Menu[#Headers],0),FALSE),"CHECK")</f>
        <v>Snack</v>
      </c>
      <c r="G528" s="7">
        <f>IFERROR(INT(VLOOKUP($A528,Orders[],MATCH("OrderDateTime",Orders[#Headers],0),FALSE)),"CHECK")</f>
        <v>45884</v>
      </c>
      <c r="H528" s="7" t="str">
        <f>IFERROR(VLOOKUP($A528,Orders[],MATCH(H$1,Orders[#Headers],0),FALSE),"CHECK")</f>
        <v>Plant 1 Canteen</v>
      </c>
      <c r="I528">
        <f>IFERROR(VLOOKUP(OrderLines[[#This Row],[OrderID]],Orders[],MATCH(OrderLines[[#Headers],[DiscountPct]],Orders[#Headers],0),FALSE),"CHECK")</f>
        <v>0.08</v>
      </c>
      <c r="J528" t="str">
        <f>IFERROR(VLOOKUP(OrderLines[[#This Row],[OrderID]],Orders[],MATCH(OrderLines[[#Headers],[Shift]],Orders[#Headers],0),FALSE),"CHECK")</f>
        <v>Dinner</v>
      </c>
      <c r="K528" s="11">
        <f>OrderLines[[#This Row],[Qty]] * OrderLines[[#This Row],[UnitPrice]] * (1-OrderLines[[#This Row],[DiscountPct]])</f>
        <v>70.0304</v>
      </c>
      <c r="L528">
        <f>OrderLines[[#This Row],[Qty]]*OrderLines[[#This Row],[UnitCost]]</f>
        <v>39.1</v>
      </c>
    </row>
    <row r="529" spans="1:12" x14ac:dyDescent="0.25">
      <c r="A529" t="s">
        <v>246</v>
      </c>
      <c r="B529" t="s">
        <v>419</v>
      </c>
      <c r="C529">
        <v>3</v>
      </c>
      <c r="D529" s="9">
        <f>IFERROR(VLOOKUP($B529,Menu[],MATCH(D$1,Menu[#Headers],0),FALSE),"CHECK")</f>
        <v>50.19</v>
      </c>
      <c r="E529" s="9">
        <f>IFERROR(VLOOKUP($B529,Menu[],MATCH(E$1,Menu[#Headers],0),FALSE),"CHECK")</f>
        <v>22.61</v>
      </c>
      <c r="F529" t="str">
        <f>IFERROR(VLOOKUP($B529,Menu[],MATCH(F$1,Menu[#Headers],0),FALSE),"CHECK")</f>
        <v>Snack</v>
      </c>
      <c r="G529" s="7">
        <f>IFERROR(INT(VLOOKUP($A529,Orders[],MATCH("OrderDateTime",Orders[#Headers],0),FALSE)),"CHECK")</f>
        <v>45893</v>
      </c>
      <c r="H529" s="7" t="str">
        <f>IFERROR(VLOOKUP($A529,Orders[],MATCH(H$1,Orders[#Headers],0),FALSE),"CHECK")</f>
        <v>Plant 2 Canteen</v>
      </c>
      <c r="I529">
        <f>IFERROR(VLOOKUP(OrderLines[[#This Row],[OrderID]],Orders[],MATCH(OrderLines[[#Headers],[DiscountPct]],Orders[#Headers],0),FALSE),"CHECK")</f>
        <v>0.01</v>
      </c>
      <c r="J529" t="str">
        <f>IFERROR(VLOOKUP(OrderLines[[#This Row],[OrderID]],Orders[],MATCH(OrderLines[[#Headers],[Shift]],Orders[#Headers],0),FALSE),"CHECK")</f>
        <v>Breakfast</v>
      </c>
      <c r="K529" s="11">
        <f>OrderLines[[#This Row],[Qty]] * OrderLines[[#This Row],[UnitPrice]] * (1-OrderLines[[#This Row],[DiscountPct]])</f>
        <v>149.0643</v>
      </c>
      <c r="L529">
        <f>OrderLines[[#This Row],[Qty]]*OrderLines[[#This Row],[UnitCost]]</f>
        <v>67.83</v>
      </c>
    </row>
    <row r="530" spans="1:12" x14ac:dyDescent="0.25">
      <c r="A530" t="s">
        <v>246</v>
      </c>
      <c r="B530" t="s">
        <v>410</v>
      </c>
      <c r="C530">
        <v>1</v>
      </c>
      <c r="D530" s="9">
        <f>IFERROR(VLOOKUP($B530,Menu[],MATCH(D$1,Menu[#Headers],0),FALSE),"CHECK")</f>
        <v>20.11</v>
      </c>
      <c r="E530" s="9">
        <f>IFERROR(VLOOKUP($B530,Menu[],MATCH(E$1,Menu[#Headers],0),FALSE),"CHECK")</f>
        <v>8</v>
      </c>
      <c r="F530" t="str">
        <f>IFERROR(VLOOKUP($B530,Menu[],MATCH(F$1,Menu[#Headers],0),FALSE),"CHECK")</f>
        <v>Beverage</v>
      </c>
      <c r="G530" s="7">
        <f>IFERROR(INT(VLOOKUP($A530,Orders[],MATCH("OrderDateTime",Orders[#Headers],0),FALSE)),"CHECK")</f>
        <v>45893</v>
      </c>
      <c r="H530" s="7" t="str">
        <f>IFERROR(VLOOKUP($A530,Orders[],MATCH(H$1,Orders[#Headers],0),FALSE),"CHECK")</f>
        <v>Plant 2 Canteen</v>
      </c>
      <c r="I530">
        <f>IFERROR(VLOOKUP(OrderLines[[#This Row],[OrderID]],Orders[],MATCH(OrderLines[[#Headers],[DiscountPct]],Orders[#Headers],0),FALSE),"CHECK")</f>
        <v>0.01</v>
      </c>
      <c r="J530" t="str">
        <f>IFERROR(VLOOKUP(OrderLines[[#This Row],[OrderID]],Orders[],MATCH(OrderLines[[#Headers],[Shift]],Orders[#Headers],0),FALSE),"CHECK")</f>
        <v>Breakfast</v>
      </c>
      <c r="K530" s="11">
        <f>OrderLines[[#This Row],[Qty]] * OrderLines[[#This Row],[UnitPrice]] * (1-OrderLines[[#This Row],[DiscountPct]])</f>
        <v>19.908899999999999</v>
      </c>
      <c r="L530">
        <f>OrderLines[[#This Row],[Qty]]*OrderLines[[#This Row],[UnitCost]]</f>
        <v>8</v>
      </c>
    </row>
    <row r="531" spans="1:12" x14ac:dyDescent="0.25">
      <c r="A531" t="s">
        <v>246</v>
      </c>
      <c r="B531" t="s">
        <v>409</v>
      </c>
      <c r="C531">
        <v>2</v>
      </c>
      <c r="D531" s="9">
        <f>IFERROR(VLOOKUP($B531,Menu[],MATCH(D$1,Menu[#Headers],0),FALSE),"CHECK")</f>
        <v>28.43</v>
      </c>
      <c r="E531" s="9">
        <f>IFERROR(VLOOKUP($B531,Menu[],MATCH(E$1,Menu[#Headers],0),FALSE),"CHECK")</f>
        <v>13.89</v>
      </c>
      <c r="F531" t="str">
        <f>IFERROR(VLOOKUP($B531,Menu[],MATCH(F$1,Menu[#Headers],0),FALSE),"CHECK")</f>
        <v>Beverage</v>
      </c>
      <c r="G531" s="7">
        <f>IFERROR(INT(VLOOKUP($A531,Orders[],MATCH("OrderDateTime",Orders[#Headers],0),FALSE)),"CHECK")</f>
        <v>45893</v>
      </c>
      <c r="H531" s="7" t="str">
        <f>IFERROR(VLOOKUP($A531,Orders[],MATCH(H$1,Orders[#Headers],0),FALSE),"CHECK")</f>
        <v>Plant 2 Canteen</v>
      </c>
      <c r="I531">
        <f>IFERROR(VLOOKUP(OrderLines[[#This Row],[OrderID]],Orders[],MATCH(OrderLines[[#Headers],[DiscountPct]],Orders[#Headers],0),FALSE),"CHECK")</f>
        <v>0.01</v>
      </c>
      <c r="J531" t="str">
        <f>IFERROR(VLOOKUP(OrderLines[[#This Row],[OrderID]],Orders[],MATCH(OrderLines[[#Headers],[Shift]],Orders[#Headers],0),FALSE),"CHECK")</f>
        <v>Breakfast</v>
      </c>
      <c r="K531" s="11">
        <f>OrderLines[[#This Row],[Qty]] * OrderLines[[#This Row],[UnitPrice]] * (1-OrderLines[[#This Row],[DiscountPct]])</f>
        <v>56.291399999999996</v>
      </c>
      <c r="L531">
        <f>OrderLines[[#This Row],[Qty]]*OrderLines[[#This Row],[UnitCost]]</f>
        <v>27.78</v>
      </c>
    </row>
    <row r="532" spans="1:12" x14ac:dyDescent="0.25">
      <c r="A532" t="s">
        <v>247</v>
      </c>
      <c r="B532" t="s">
        <v>410</v>
      </c>
      <c r="C532">
        <v>1</v>
      </c>
      <c r="D532" s="9">
        <f>IFERROR(VLOOKUP($B532,Menu[],MATCH(D$1,Menu[#Headers],0),FALSE),"CHECK")</f>
        <v>20.11</v>
      </c>
      <c r="E532" s="9">
        <f>IFERROR(VLOOKUP($B532,Menu[],MATCH(E$1,Menu[#Headers],0),FALSE),"CHECK")</f>
        <v>8</v>
      </c>
      <c r="F532" t="str">
        <f>IFERROR(VLOOKUP($B532,Menu[],MATCH(F$1,Menu[#Headers],0),FALSE),"CHECK")</f>
        <v>Beverage</v>
      </c>
      <c r="G532" s="7">
        <f>IFERROR(INT(VLOOKUP($A532,Orders[],MATCH("OrderDateTime",Orders[#Headers],0),FALSE)),"CHECK")</f>
        <v>45864</v>
      </c>
      <c r="H532" s="7" t="str">
        <f>IFERROR(VLOOKUP($A532,Orders[],MATCH(H$1,Orders[#Headers],0),FALSE),"CHECK")</f>
        <v>Head Office Café</v>
      </c>
      <c r="I532">
        <f>IFERROR(VLOOKUP(OrderLines[[#This Row],[OrderID]],Orders[],MATCH(OrderLines[[#Headers],[DiscountPct]],Orders[#Headers],0),FALSE),"CHECK")</f>
        <v>0.1</v>
      </c>
      <c r="J532" t="str">
        <f>IFERROR(VLOOKUP(OrderLines[[#This Row],[OrderID]],Orders[],MATCH(OrderLines[[#Headers],[Shift]],Orders[#Headers],0),FALSE),"CHECK")</f>
        <v>Dinner</v>
      </c>
      <c r="K532" s="11">
        <f>OrderLines[[#This Row],[Qty]] * OrderLines[[#This Row],[UnitPrice]] * (1-OrderLines[[#This Row],[DiscountPct]])</f>
        <v>18.099</v>
      </c>
      <c r="L532">
        <f>OrderLines[[#This Row],[Qty]]*OrderLines[[#This Row],[UnitCost]]</f>
        <v>8</v>
      </c>
    </row>
    <row r="533" spans="1:12" x14ac:dyDescent="0.25">
      <c r="A533" t="s">
        <v>247</v>
      </c>
      <c r="B533" t="s">
        <v>407</v>
      </c>
      <c r="C533">
        <v>2</v>
      </c>
      <c r="D533" s="9">
        <f>IFERROR(VLOOKUP($B533,Menu[],MATCH(D$1,Menu[#Headers],0),FALSE),"CHECK")</f>
        <v>246.09</v>
      </c>
      <c r="E533" s="9">
        <f>IFERROR(VLOOKUP($B533,Menu[],MATCH(E$1,Menu[#Headers],0),FALSE),"CHECK")</f>
        <v>112.08</v>
      </c>
      <c r="F533" t="str">
        <f>IFERROR(VLOOKUP($B533,Menu[],MATCH(F$1,Menu[#Headers],0),FALSE),"CHECK")</f>
        <v>Hot Meal</v>
      </c>
      <c r="G533" s="7">
        <f>IFERROR(INT(VLOOKUP($A533,Orders[],MATCH("OrderDateTime",Orders[#Headers],0),FALSE)),"CHECK")</f>
        <v>45864</v>
      </c>
      <c r="H533" s="7" t="str">
        <f>IFERROR(VLOOKUP($A533,Orders[],MATCH(H$1,Orders[#Headers],0),FALSE),"CHECK")</f>
        <v>Head Office Café</v>
      </c>
      <c r="I533">
        <f>IFERROR(VLOOKUP(OrderLines[[#This Row],[OrderID]],Orders[],MATCH(OrderLines[[#Headers],[DiscountPct]],Orders[#Headers],0),FALSE),"CHECK")</f>
        <v>0.1</v>
      </c>
      <c r="J533" t="str">
        <f>IFERROR(VLOOKUP(OrderLines[[#This Row],[OrderID]],Orders[],MATCH(OrderLines[[#Headers],[Shift]],Orders[#Headers],0),FALSE),"CHECK")</f>
        <v>Dinner</v>
      </c>
      <c r="K533" s="11">
        <f>OrderLines[[#This Row],[Qty]] * OrderLines[[#This Row],[UnitPrice]] * (1-OrderLines[[#This Row],[DiscountPct]])</f>
        <v>442.96199999999999</v>
      </c>
      <c r="L533">
        <f>OrderLines[[#This Row],[Qty]]*OrderLines[[#This Row],[UnitCost]]</f>
        <v>224.16</v>
      </c>
    </row>
    <row r="534" spans="1:12" x14ac:dyDescent="0.25">
      <c r="A534" t="s">
        <v>247</v>
      </c>
      <c r="B534" t="s">
        <v>411</v>
      </c>
      <c r="C534">
        <v>1</v>
      </c>
      <c r="D534" s="9">
        <f>IFERROR(VLOOKUP($B534,Menu[],MATCH(D$1,Menu[#Headers],0),FALSE),"CHECK")</f>
        <v>22.2</v>
      </c>
      <c r="E534" s="9">
        <f>IFERROR(VLOOKUP($B534,Menu[],MATCH(E$1,Menu[#Headers],0),FALSE),"CHECK")</f>
        <v>9.3800000000000008</v>
      </c>
      <c r="F534" t="str">
        <f>IFERROR(VLOOKUP($B534,Menu[],MATCH(F$1,Menu[#Headers],0),FALSE),"CHECK")</f>
        <v>Beverage</v>
      </c>
      <c r="G534" s="7">
        <f>IFERROR(INT(VLOOKUP($A534,Orders[],MATCH("OrderDateTime",Orders[#Headers],0),FALSE)),"CHECK")</f>
        <v>45864</v>
      </c>
      <c r="H534" s="7" t="str">
        <f>IFERROR(VLOOKUP($A534,Orders[],MATCH(H$1,Orders[#Headers],0),FALSE),"CHECK")</f>
        <v>Head Office Café</v>
      </c>
      <c r="I534">
        <f>IFERROR(VLOOKUP(OrderLines[[#This Row],[OrderID]],Orders[],MATCH(OrderLines[[#Headers],[DiscountPct]],Orders[#Headers],0),FALSE),"CHECK")</f>
        <v>0.1</v>
      </c>
      <c r="J534" t="str">
        <f>IFERROR(VLOOKUP(OrderLines[[#This Row],[OrderID]],Orders[],MATCH(OrderLines[[#Headers],[Shift]],Orders[#Headers],0),FALSE),"CHECK")</f>
        <v>Dinner</v>
      </c>
      <c r="K534" s="11">
        <f>OrderLines[[#This Row],[Qty]] * OrderLines[[#This Row],[UnitPrice]] * (1-OrderLines[[#This Row],[DiscountPct]])</f>
        <v>19.98</v>
      </c>
      <c r="L534">
        <f>OrderLines[[#This Row],[Qty]]*OrderLines[[#This Row],[UnitCost]]</f>
        <v>9.3800000000000008</v>
      </c>
    </row>
    <row r="535" spans="1:12" x14ac:dyDescent="0.25">
      <c r="A535" t="s">
        <v>248</v>
      </c>
      <c r="B535" t="s">
        <v>415</v>
      </c>
      <c r="C535">
        <v>3</v>
      </c>
      <c r="D535" s="9">
        <f>IFERROR(VLOOKUP($B535,Menu[],MATCH(D$1,Menu[#Headers],0),FALSE),"CHECK")</f>
        <v>256.91000000000003</v>
      </c>
      <c r="E535" s="9">
        <f>IFERROR(VLOOKUP($B535,Menu[],MATCH(E$1,Menu[#Headers],0),FALSE),"CHECK")</f>
        <v>121.24</v>
      </c>
      <c r="F535" t="str">
        <f>IFERROR(VLOOKUP($B535,Menu[],MATCH(F$1,Menu[#Headers],0),FALSE),"CHECK")</f>
        <v>Hot Meal</v>
      </c>
      <c r="G535" s="7">
        <f>IFERROR(INT(VLOOKUP($A535,Orders[],MATCH("OrderDateTime",Orders[#Headers],0),FALSE)),"CHECK")</f>
        <v>45864</v>
      </c>
      <c r="H535" s="7" t="str">
        <f>IFERROR(VLOOKUP($A535,Orders[],MATCH(H$1,Orders[#Headers],0),FALSE),"CHECK")</f>
        <v>Head Office Café</v>
      </c>
      <c r="I535">
        <f>IFERROR(VLOOKUP(OrderLines[[#This Row],[OrderID]],Orders[],MATCH(OrderLines[[#Headers],[DiscountPct]],Orders[#Headers],0),FALSE),"CHECK")</f>
        <v>0.14000000000000001</v>
      </c>
      <c r="J535" t="str">
        <f>IFERROR(VLOOKUP(OrderLines[[#This Row],[OrderID]],Orders[],MATCH(OrderLines[[#Headers],[Shift]],Orders[#Headers],0),FALSE),"CHECK")</f>
        <v>Dinner</v>
      </c>
      <c r="K535" s="11">
        <f>OrderLines[[#This Row],[Qty]] * OrderLines[[#This Row],[UnitPrice]] * (1-OrderLines[[#This Row],[DiscountPct]])</f>
        <v>662.82780000000002</v>
      </c>
      <c r="L535">
        <f>OrderLines[[#This Row],[Qty]]*OrderLines[[#This Row],[UnitCost]]</f>
        <v>363.71999999999997</v>
      </c>
    </row>
    <row r="536" spans="1:12" x14ac:dyDescent="0.25">
      <c r="A536" t="s">
        <v>248</v>
      </c>
      <c r="B536" t="s">
        <v>408</v>
      </c>
      <c r="C536">
        <v>3</v>
      </c>
      <c r="D536" s="9">
        <f>IFERROR(VLOOKUP($B536,Menu[],MATCH(D$1,Menu[#Headers],0),FALSE),"CHECK")</f>
        <v>70.540000000000006</v>
      </c>
      <c r="E536" s="9">
        <f>IFERROR(VLOOKUP($B536,Menu[],MATCH(E$1,Menu[#Headers],0),FALSE),"CHECK")</f>
        <v>35.81</v>
      </c>
      <c r="F536" t="str">
        <f>IFERROR(VLOOKUP($B536,Menu[],MATCH(F$1,Menu[#Headers],0),FALSE),"CHECK")</f>
        <v>Snack</v>
      </c>
      <c r="G536" s="7">
        <f>IFERROR(INT(VLOOKUP($A536,Orders[],MATCH("OrderDateTime",Orders[#Headers],0),FALSE)),"CHECK")</f>
        <v>45864</v>
      </c>
      <c r="H536" s="7" t="str">
        <f>IFERROR(VLOOKUP($A536,Orders[],MATCH(H$1,Orders[#Headers],0),FALSE),"CHECK")</f>
        <v>Head Office Café</v>
      </c>
      <c r="I536">
        <f>IFERROR(VLOOKUP(OrderLines[[#This Row],[OrderID]],Orders[],MATCH(OrderLines[[#Headers],[DiscountPct]],Orders[#Headers],0),FALSE),"CHECK")</f>
        <v>0.14000000000000001</v>
      </c>
      <c r="J536" t="str">
        <f>IFERROR(VLOOKUP(OrderLines[[#This Row],[OrderID]],Orders[],MATCH(OrderLines[[#Headers],[Shift]],Orders[#Headers],0),FALSE),"CHECK")</f>
        <v>Dinner</v>
      </c>
      <c r="K536" s="11">
        <f>OrderLines[[#This Row],[Qty]] * OrderLines[[#This Row],[UnitPrice]] * (1-OrderLines[[#This Row],[DiscountPct]])</f>
        <v>181.9932</v>
      </c>
      <c r="L536">
        <f>OrderLines[[#This Row],[Qty]]*OrderLines[[#This Row],[UnitCost]]</f>
        <v>107.43</v>
      </c>
    </row>
    <row r="537" spans="1:12" x14ac:dyDescent="0.25">
      <c r="A537" t="s">
        <v>249</v>
      </c>
      <c r="B537" t="s">
        <v>418</v>
      </c>
      <c r="C537">
        <v>1</v>
      </c>
      <c r="D537" s="9">
        <f>IFERROR(VLOOKUP($B537,Menu[],MATCH(D$1,Menu[#Headers],0),FALSE),"CHECK")</f>
        <v>39.950000000000003</v>
      </c>
      <c r="E537" s="9">
        <f>IFERROR(VLOOKUP($B537,Menu[],MATCH(E$1,Menu[#Headers],0),FALSE),"CHECK")</f>
        <v>15.51</v>
      </c>
      <c r="F537" t="str">
        <f>IFERROR(VLOOKUP($B537,Menu[],MATCH(F$1,Menu[#Headers],0),FALSE),"CHECK")</f>
        <v>Snack</v>
      </c>
      <c r="G537" s="7">
        <f>IFERROR(INT(VLOOKUP($A537,Orders[],MATCH("OrderDateTime",Orders[#Headers],0),FALSE)),"CHECK")</f>
        <v>45849</v>
      </c>
      <c r="H537" s="7" t="str">
        <f>IFERROR(VLOOKUP($A537,Orders[],MATCH(H$1,Orders[#Headers],0),FALSE),"CHECK")</f>
        <v>Head Office Café</v>
      </c>
      <c r="I537">
        <f>IFERROR(VLOOKUP(OrderLines[[#This Row],[OrderID]],Orders[],MATCH(OrderLines[[#Headers],[DiscountPct]],Orders[#Headers],0),FALSE),"CHECK")</f>
        <v>0.1</v>
      </c>
      <c r="J537" t="str">
        <f>IFERROR(VLOOKUP(OrderLines[[#This Row],[OrderID]],Orders[],MATCH(OrderLines[[#Headers],[Shift]],Orders[#Headers],0),FALSE),"CHECK")</f>
        <v>Dinner</v>
      </c>
      <c r="K537" s="11">
        <f>OrderLines[[#This Row],[Qty]] * OrderLines[[#This Row],[UnitPrice]] * (1-OrderLines[[#This Row],[DiscountPct]])</f>
        <v>35.955000000000005</v>
      </c>
      <c r="L537">
        <f>OrderLines[[#This Row],[Qty]]*OrderLines[[#This Row],[UnitCost]]</f>
        <v>15.51</v>
      </c>
    </row>
    <row r="538" spans="1:12" x14ac:dyDescent="0.25">
      <c r="A538" t="s">
        <v>249</v>
      </c>
      <c r="B538" t="s">
        <v>412</v>
      </c>
      <c r="C538">
        <v>1</v>
      </c>
      <c r="D538" s="9">
        <f>IFERROR(VLOOKUP($B538,Menu[],MATCH(D$1,Menu[#Headers],0),FALSE),"CHECK")</f>
        <v>57.07</v>
      </c>
      <c r="E538" s="9">
        <f>IFERROR(VLOOKUP($B538,Menu[],MATCH(E$1,Menu[#Headers],0),FALSE),"CHECK")</f>
        <v>29.14</v>
      </c>
      <c r="F538" t="str">
        <f>IFERROR(VLOOKUP($B538,Menu[],MATCH(F$1,Menu[#Headers],0),FALSE),"CHECK")</f>
        <v>Dessert</v>
      </c>
      <c r="G538" s="7">
        <f>IFERROR(INT(VLOOKUP($A538,Orders[],MATCH("OrderDateTime",Orders[#Headers],0),FALSE)),"CHECK")</f>
        <v>45849</v>
      </c>
      <c r="H538" s="7" t="str">
        <f>IFERROR(VLOOKUP($A538,Orders[],MATCH(H$1,Orders[#Headers],0),FALSE),"CHECK")</f>
        <v>Head Office Café</v>
      </c>
      <c r="I538">
        <f>IFERROR(VLOOKUP(OrderLines[[#This Row],[OrderID]],Orders[],MATCH(OrderLines[[#Headers],[DiscountPct]],Orders[#Headers],0),FALSE),"CHECK")</f>
        <v>0.1</v>
      </c>
      <c r="J538" t="str">
        <f>IFERROR(VLOOKUP(OrderLines[[#This Row],[OrderID]],Orders[],MATCH(OrderLines[[#Headers],[Shift]],Orders[#Headers],0),FALSE),"CHECK")</f>
        <v>Dinner</v>
      </c>
      <c r="K538" s="11">
        <f>OrderLines[[#This Row],[Qty]] * OrderLines[[#This Row],[UnitPrice]] * (1-OrderLines[[#This Row],[DiscountPct]])</f>
        <v>51.363</v>
      </c>
      <c r="L538">
        <f>OrderLines[[#This Row],[Qty]]*OrderLines[[#This Row],[UnitCost]]</f>
        <v>29.14</v>
      </c>
    </row>
    <row r="539" spans="1:12" x14ac:dyDescent="0.25">
      <c r="A539" t="s">
        <v>249</v>
      </c>
      <c r="B539" t="s">
        <v>409</v>
      </c>
      <c r="C539">
        <v>1</v>
      </c>
      <c r="D539" s="9">
        <f>IFERROR(VLOOKUP($B539,Menu[],MATCH(D$1,Menu[#Headers],0),FALSE),"CHECK")</f>
        <v>28.43</v>
      </c>
      <c r="E539" s="9">
        <f>IFERROR(VLOOKUP($B539,Menu[],MATCH(E$1,Menu[#Headers],0),FALSE),"CHECK")</f>
        <v>13.89</v>
      </c>
      <c r="F539" t="str">
        <f>IFERROR(VLOOKUP($B539,Menu[],MATCH(F$1,Menu[#Headers],0),FALSE),"CHECK")</f>
        <v>Beverage</v>
      </c>
      <c r="G539" s="7">
        <f>IFERROR(INT(VLOOKUP($A539,Orders[],MATCH("OrderDateTime",Orders[#Headers],0),FALSE)),"CHECK")</f>
        <v>45849</v>
      </c>
      <c r="H539" s="7" t="str">
        <f>IFERROR(VLOOKUP($A539,Orders[],MATCH(H$1,Orders[#Headers],0),FALSE),"CHECK")</f>
        <v>Head Office Café</v>
      </c>
      <c r="I539">
        <f>IFERROR(VLOOKUP(OrderLines[[#This Row],[OrderID]],Orders[],MATCH(OrderLines[[#Headers],[DiscountPct]],Orders[#Headers],0),FALSE),"CHECK")</f>
        <v>0.1</v>
      </c>
      <c r="J539" t="str">
        <f>IFERROR(VLOOKUP(OrderLines[[#This Row],[OrderID]],Orders[],MATCH(OrderLines[[#Headers],[Shift]],Orders[#Headers],0),FALSE),"CHECK")</f>
        <v>Dinner</v>
      </c>
      <c r="K539" s="11">
        <f>OrderLines[[#This Row],[Qty]] * OrderLines[[#This Row],[UnitPrice]] * (1-OrderLines[[#This Row],[DiscountPct]])</f>
        <v>25.587</v>
      </c>
      <c r="L539">
        <f>OrderLines[[#This Row],[Qty]]*OrderLines[[#This Row],[UnitCost]]</f>
        <v>13.89</v>
      </c>
    </row>
    <row r="540" spans="1:12" x14ac:dyDescent="0.25">
      <c r="A540" t="s">
        <v>249</v>
      </c>
      <c r="B540" t="s">
        <v>416</v>
      </c>
      <c r="C540">
        <v>1</v>
      </c>
      <c r="D540" s="9">
        <f>IFERROR(VLOOKUP($B540,Menu[],MATCH(D$1,Menu[#Headers],0),FALSE),"CHECK")</f>
        <v>227.61</v>
      </c>
      <c r="E540" s="9">
        <f>IFERROR(VLOOKUP($B540,Menu[],MATCH(E$1,Menu[#Headers],0),FALSE),"CHECK")</f>
        <v>96.22</v>
      </c>
      <c r="F540" t="str">
        <f>IFERROR(VLOOKUP($B540,Menu[],MATCH(F$1,Menu[#Headers],0),FALSE),"CHECK")</f>
        <v>Hot Meal</v>
      </c>
      <c r="G540" s="7">
        <f>IFERROR(INT(VLOOKUP($A540,Orders[],MATCH("OrderDateTime",Orders[#Headers],0),FALSE)),"CHECK")</f>
        <v>45849</v>
      </c>
      <c r="H540" s="7" t="str">
        <f>IFERROR(VLOOKUP($A540,Orders[],MATCH(H$1,Orders[#Headers],0),FALSE),"CHECK")</f>
        <v>Head Office Café</v>
      </c>
      <c r="I540">
        <f>IFERROR(VLOOKUP(OrderLines[[#This Row],[OrderID]],Orders[],MATCH(OrderLines[[#Headers],[DiscountPct]],Orders[#Headers],0),FALSE),"CHECK")</f>
        <v>0.1</v>
      </c>
      <c r="J540" t="str">
        <f>IFERROR(VLOOKUP(OrderLines[[#This Row],[OrderID]],Orders[],MATCH(OrderLines[[#Headers],[Shift]],Orders[#Headers],0),FALSE),"CHECK")</f>
        <v>Dinner</v>
      </c>
      <c r="K540" s="11">
        <f>OrderLines[[#This Row],[Qty]] * OrderLines[[#This Row],[UnitPrice]] * (1-OrderLines[[#This Row],[DiscountPct]])</f>
        <v>204.84900000000002</v>
      </c>
      <c r="L540">
        <f>OrderLines[[#This Row],[Qty]]*OrderLines[[#This Row],[UnitCost]]</f>
        <v>96.22</v>
      </c>
    </row>
    <row r="541" spans="1:12" x14ac:dyDescent="0.25">
      <c r="A541" t="s">
        <v>250</v>
      </c>
      <c r="B541" t="s">
        <v>419</v>
      </c>
      <c r="C541">
        <v>2</v>
      </c>
      <c r="D541" s="9">
        <f>IFERROR(VLOOKUP($B541,Menu[],MATCH(D$1,Menu[#Headers],0),FALSE),"CHECK")</f>
        <v>50.19</v>
      </c>
      <c r="E541" s="9">
        <f>IFERROR(VLOOKUP($B541,Menu[],MATCH(E$1,Menu[#Headers],0),FALSE),"CHECK")</f>
        <v>22.61</v>
      </c>
      <c r="F541" t="str">
        <f>IFERROR(VLOOKUP($B541,Menu[],MATCH(F$1,Menu[#Headers],0),FALSE),"CHECK")</f>
        <v>Snack</v>
      </c>
      <c r="G541" s="7">
        <f>IFERROR(INT(VLOOKUP($A541,Orders[],MATCH("OrderDateTime",Orders[#Headers],0),FALSE)),"CHECK")</f>
        <v>45893</v>
      </c>
      <c r="H541" s="7" t="str">
        <f>IFERROR(VLOOKUP($A541,Orders[],MATCH(H$1,Orders[#Headers],0),FALSE),"CHECK")</f>
        <v>Plant 2 Canteen</v>
      </c>
      <c r="I541">
        <f>IFERROR(VLOOKUP(OrderLines[[#This Row],[OrderID]],Orders[],MATCH(OrderLines[[#Headers],[DiscountPct]],Orders[#Headers],0),FALSE),"CHECK")</f>
        <v>0</v>
      </c>
      <c r="J541" t="str">
        <f>IFERROR(VLOOKUP(OrderLines[[#This Row],[OrderID]],Orders[],MATCH(OrderLines[[#Headers],[Shift]],Orders[#Headers],0),FALSE),"CHECK")</f>
        <v>Dinner</v>
      </c>
      <c r="K541" s="11">
        <f>OrderLines[[#This Row],[Qty]] * OrderLines[[#This Row],[UnitPrice]] * (1-OrderLines[[#This Row],[DiscountPct]])</f>
        <v>100.38</v>
      </c>
      <c r="L541">
        <f>OrderLines[[#This Row],[Qty]]*OrderLines[[#This Row],[UnitCost]]</f>
        <v>45.22</v>
      </c>
    </row>
    <row r="542" spans="1:12" x14ac:dyDescent="0.25">
      <c r="A542" t="s">
        <v>250</v>
      </c>
      <c r="B542" t="s">
        <v>406</v>
      </c>
      <c r="C542">
        <v>3</v>
      </c>
      <c r="D542" s="9">
        <f>IFERROR(VLOOKUP($B542,Menu[],MATCH(D$1,Menu[#Headers],0),FALSE),"CHECK")</f>
        <v>38.06</v>
      </c>
      <c r="E542" s="9">
        <f>IFERROR(VLOOKUP($B542,Menu[],MATCH(E$1,Menu[#Headers],0),FALSE),"CHECK")</f>
        <v>19.55</v>
      </c>
      <c r="F542" t="str">
        <f>IFERROR(VLOOKUP($B542,Menu[],MATCH(F$1,Menu[#Headers],0),FALSE),"CHECK")</f>
        <v>Snack</v>
      </c>
      <c r="G542" s="7">
        <f>IFERROR(INT(VLOOKUP($A542,Orders[],MATCH("OrderDateTime",Orders[#Headers],0),FALSE)),"CHECK")</f>
        <v>45893</v>
      </c>
      <c r="H542" s="7" t="str">
        <f>IFERROR(VLOOKUP($A542,Orders[],MATCH(H$1,Orders[#Headers],0),FALSE),"CHECK")</f>
        <v>Plant 2 Canteen</v>
      </c>
      <c r="I542">
        <f>IFERROR(VLOOKUP(OrderLines[[#This Row],[OrderID]],Orders[],MATCH(OrderLines[[#Headers],[DiscountPct]],Orders[#Headers],0),FALSE),"CHECK")</f>
        <v>0</v>
      </c>
      <c r="J542" t="str">
        <f>IFERROR(VLOOKUP(OrderLines[[#This Row],[OrderID]],Orders[],MATCH(OrderLines[[#Headers],[Shift]],Orders[#Headers],0),FALSE),"CHECK")</f>
        <v>Dinner</v>
      </c>
      <c r="K542" s="11">
        <f>OrderLines[[#This Row],[Qty]] * OrderLines[[#This Row],[UnitPrice]] * (1-OrderLines[[#This Row],[DiscountPct]])</f>
        <v>114.18</v>
      </c>
      <c r="L542">
        <f>OrderLines[[#This Row],[Qty]]*OrderLines[[#This Row],[UnitCost]]</f>
        <v>58.650000000000006</v>
      </c>
    </row>
    <row r="543" spans="1:12" x14ac:dyDescent="0.25">
      <c r="A543" t="s">
        <v>250</v>
      </c>
      <c r="B543" t="s">
        <v>416</v>
      </c>
      <c r="C543">
        <v>1</v>
      </c>
      <c r="D543" s="9">
        <f>IFERROR(VLOOKUP($B543,Menu[],MATCH(D$1,Menu[#Headers],0),FALSE),"CHECK")</f>
        <v>227.61</v>
      </c>
      <c r="E543" s="9">
        <f>IFERROR(VLOOKUP($B543,Menu[],MATCH(E$1,Menu[#Headers],0),FALSE),"CHECK")</f>
        <v>96.22</v>
      </c>
      <c r="F543" t="str">
        <f>IFERROR(VLOOKUP($B543,Menu[],MATCH(F$1,Menu[#Headers],0),FALSE),"CHECK")</f>
        <v>Hot Meal</v>
      </c>
      <c r="G543" s="7">
        <f>IFERROR(INT(VLOOKUP($A543,Orders[],MATCH("OrderDateTime",Orders[#Headers],0),FALSE)),"CHECK")</f>
        <v>45893</v>
      </c>
      <c r="H543" s="7" t="str">
        <f>IFERROR(VLOOKUP($A543,Orders[],MATCH(H$1,Orders[#Headers],0),FALSE),"CHECK")</f>
        <v>Plant 2 Canteen</v>
      </c>
      <c r="I543">
        <f>IFERROR(VLOOKUP(OrderLines[[#This Row],[OrderID]],Orders[],MATCH(OrderLines[[#Headers],[DiscountPct]],Orders[#Headers],0),FALSE),"CHECK")</f>
        <v>0</v>
      </c>
      <c r="J543" t="str">
        <f>IFERROR(VLOOKUP(OrderLines[[#This Row],[OrderID]],Orders[],MATCH(OrderLines[[#Headers],[Shift]],Orders[#Headers],0),FALSE),"CHECK")</f>
        <v>Dinner</v>
      </c>
      <c r="K543" s="11">
        <f>OrderLines[[#This Row],[Qty]] * OrderLines[[#This Row],[UnitPrice]] * (1-OrderLines[[#This Row],[DiscountPct]])</f>
        <v>227.61</v>
      </c>
      <c r="L543">
        <f>OrderLines[[#This Row],[Qty]]*OrderLines[[#This Row],[UnitCost]]</f>
        <v>96.22</v>
      </c>
    </row>
    <row r="544" spans="1:12" x14ac:dyDescent="0.25">
      <c r="A544" t="s">
        <v>251</v>
      </c>
      <c r="B544" t="s">
        <v>412</v>
      </c>
      <c r="C544">
        <v>1</v>
      </c>
      <c r="D544" s="9">
        <f>IFERROR(VLOOKUP($B544,Menu[],MATCH(D$1,Menu[#Headers],0),FALSE),"CHECK")</f>
        <v>57.07</v>
      </c>
      <c r="E544" s="9">
        <f>IFERROR(VLOOKUP($B544,Menu[],MATCH(E$1,Menu[#Headers],0),FALSE),"CHECK")</f>
        <v>29.14</v>
      </c>
      <c r="F544" t="str">
        <f>IFERROR(VLOOKUP($B544,Menu[],MATCH(F$1,Menu[#Headers],0),FALSE),"CHECK")</f>
        <v>Dessert</v>
      </c>
      <c r="G544" s="7">
        <f>IFERROR(INT(VLOOKUP($A544,Orders[],MATCH("OrderDateTime",Orders[#Headers],0),FALSE)),"CHECK")</f>
        <v>45884</v>
      </c>
      <c r="H544" s="7" t="str">
        <f>IFERROR(VLOOKUP($A544,Orders[],MATCH(H$1,Orders[#Headers],0),FALSE),"CHECK")</f>
        <v>Head Office Café</v>
      </c>
      <c r="I544">
        <f>IFERROR(VLOOKUP(OrderLines[[#This Row],[OrderID]],Orders[],MATCH(OrderLines[[#Headers],[DiscountPct]],Orders[#Headers],0),FALSE),"CHECK")</f>
        <v>0.04</v>
      </c>
      <c r="J544" t="str">
        <f>IFERROR(VLOOKUP(OrderLines[[#This Row],[OrderID]],Orders[],MATCH(OrderLines[[#Headers],[Shift]],Orders[#Headers],0),FALSE),"CHECK")</f>
        <v>Breakfast</v>
      </c>
      <c r="K544" s="11">
        <f>OrderLines[[#This Row],[Qty]] * OrderLines[[#This Row],[UnitPrice]] * (1-OrderLines[[#This Row],[DiscountPct]])</f>
        <v>54.787199999999999</v>
      </c>
      <c r="L544">
        <f>OrderLines[[#This Row],[Qty]]*OrderLines[[#This Row],[UnitCost]]</f>
        <v>29.14</v>
      </c>
    </row>
    <row r="545" spans="1:12" x14ac:dyDescent="0.25">
      <c r="A545" t="s">
        <v>251</v>
      </c>
      <c r="B545" t="s">
        <v>411</v>
      </c>
      <c r="C545">
        <v>1</v>
      </c>
      <c r="D545" s="9">
        <f>IFERROR(VLOOKUP($B545,Menu[],MATCH(D$1,Menu[#Headers],0),FALSE),"CHECK")</f>
        <v>22.2</v>
      </c>
      <c r="E545" s="9">
        <f>IFERROR(VLOOKUP($B545,Menu[],MATCH(E$1,Menu[#Headers],0),FALSE),"CHECK")</f>
        <v>9.3800000000000008</v>
      </c>
      <c r="F545" t="str">
        <f>IFERROR(VLOOKUP($B545,Menu[],MATCH(F$1,Menu[#Headers],0),FALSE),"CHECK")</f>
        <v>Beverage</v>
      </c>
      <c r="G545" s="7">
        <f>IFERROR(INT(VLOOKUP($A545,Orders[],MATCH("OrderDateTime",Orders[#Headers],0),FALSE)),"CHECK")</f>
        <v>45884</v>
      </c>
      <c r="H545" s="7" t="str">
        <f>IFERROR(VLOOKUP($A545,Orders[],MATCH(H$1,Orders[#Headers],0),FALSE),"CHECK")</f>
        <v>Head Office Café</v>
      </c>
      <c r="I545">
        <f>IFERROR(VLOOKUP(OrderLines[[#This Row],[OrderID]],Orders[],MATCH(OrderLines[[#Headers],[DiscountPct]],Orders[#Headers],0),FALSE),"CHECK")</f>
        <v>0.04</v>
      </c>
      <c r="J545" t="str">
        <f>IFERROR(VLOOKUP(OrderLines[[#This Row],[OrderID]],Orders[],MATCH(OrderLines[[#Headers],[Shift]],Orders[#Headers],0),FALSE),"CHECK")</f>
        <v>Breakfast</v>
      </c>
      <c r="K545" s="11">
        <f>OrderLines[[#This Row],[Qty]] * OrderLines[[#This Row],[UnitPrice]] * (1-OrderLines[[#This Row],[DiscountPct]])</f>
        <v>21.311999999999998</v>
      </c>
      <c r="L545">
        <f>OrderLines[[#This Row],[Qty]]*OrderLines[[#This Row],[UnitCost]]</f>
        <v>9.3800000000000008</v>
      </c>
    </row>
    <row r="546" spans="1:12" x14ac:dyDescent="0.25">
      <c r="A546" t="s">
        <v>251</v>
      </c>
      <c r="B546" t="s">
        <v>416</v>
      </c>
      <c r="C546">
        <v>3</v>
      </c>
      <c r="D546" s="9">
        <f>IFERROR(VLOOKUP($B546,Menu[],MATCH(D$1,Menu[#Headers],0),FALSE),"CHECK")</f>
        <v>227.61</v>
      </c>
      <c r="E546" s="9">
        <f>IFERROR(VLOOKUP($B546,Menu[],MATCH(E$1,Menu[#Headers],0),FALSE),"CHECK")</f>
        <v>96.22</v>
      </c>
      <c r="F546" t="str">
        <f>IFERROR(VLOOKUP($B546,Menu[],MATCH(F$1,Menu[#Headers],0),FALSE),"CHECK")</f>
        <v>Hot Meal</v>
      </c>
      <c r="G546" s="7">
        <f>IFERROR(INT(VLOOKUP($A546,Orders[],MATCH("OrderDateTime",Orders[#Headers],0),FALSE)),"CHECK")</f>
        <v>45884</v>
      </c>
      <c r="H546" s="7" t="str">
        <f>IFERROR(VLOOKUP($A546,Orders[],MATCH(H$1,Orders[#Headers],0),FALSE),"CHECK")</f>
        <v>Head Office Café</v>
      </c>
      <c r="I546">
        <f>IFERROR(VLOOKUP(OrderLines[[#This Row],[OrderID]],Orders[],MATCH(OrderLines[[#Headers],[DiscountPct]],Orders[#Headers],0),FALSE),"CHECK")</f>
        <v>0.04</v>
      </c>
      <c r="J546" t="str">
        <f>IFERROR(VLOOKUP(OrderLines[[#This Row],[OrderID]],Orders[],MATCH(OrderLines[[#Headers],[Shift]],Orders[#Headers],0),FALSE),"CHECK")</f>
        <v>Breakfast</v>
      </c>
      <c r="K546" s="11">
        <f>OrderLines[[#This Row],[Qty]] * OrderLines[[#This Row],[UnitPrice]] * (1-OrderLines[[#This Row],[DiscountPct]])</f>
        <v>655.51679999999999</v>
      </c>
      <c r="L546">
        <f>OrderLines[[#This Row],[Qty]]*OrderLines[[#This Row],[UnitCost]]</f>
        <v>288.65999999999997</v>
      </c>
    </row>
    <row r="547" spans="1:12" x14ac:dyDescent="0.25">
      <c r="A547" t="s">
        <v>252</v>
      </c>
      <c r="B547" t="s">
        <v>419</v>
      </c>
      <c r="C547">
        <v>1</v>
      </c>
      <c r="D547" s="9">
        <f>IFERROR(VLOOKUP($B547,Menu[],MATCH(D$1,Menu[#Headers],0),FALSE),"CHECK")</f>
        <v>50.19</v>
      </c>
      <c r="E547" s="9">
        <f>IFERROR(VLOOKUP($B547,Menu[],MATCH(E$1,Menu[#Headers],0),FALSE),"CHECK")</f>
        <v>22.61</v>
      </c>
      <c r="F547" t="str">
        <f>IFERROR(VLOOKUP($B547,Menu[],MATCH(F$1,Menu[#Headers],0),FALSE),"CHECK")</f>
        <v>Snack</v>
      </c>
      <c r="G547" s="7">
        <f>IFERROR(INT(VLOOKUP($A547,Orders[],MATCH("OrderDateTime",Orders[#Headers],0),FALSE)),"CHECK")</f>
        <v>45850</v>
      </c>
      <c r="H547" s="7" t="str">
        <f>IFERROR(VLOOKUP($A547,Orders[],MATCH(H$1,Orders[#Headers],0),FALSE),"CHECK")</f>
        <v>Plant 1 Canteen</v>
      </c>
      <c r="I547">
        <f>IFERROR(VLOOKUP(OrderLines[[#This Row],[OrderID]],Orders[],MATCH(OrderLines[[#Headers],[DiscountPct]],Orders[#Headers],0),FALSE),"CHECK")</f>
        <v>0.11</v>
      </c>
      <c r="J547" t="str">
        <f>IFERROR(VLOOKUP(OrderLines[[#This Row],[OrderID]],Orders[],MATCH(OrderLines[[#Headers],[Shift]],Orders[#Headers],0),FALSE),"CHECK")</f>
        <v>Lunch</v>
      </c>
      <c r="K547" s="11">
        <f>OrderLines[[#This Row],[Qty]] * OrderLines[[#This Row],[UnitPrice]] * (1-OrderLines[[#This Row],[DiscountPct]])</f>
        <v>44.6691</v>
      </c>
      <c r="L547">
        <f>OrderLines[[#This Row],[Qty]]*OrderLines[[#This Row],[UnitCost]]</f>
        <v>22.61</v>
      </c>
    </row>
    <row r="548" spans="1:12" x14ac:dyDescent="0.25">
      <c r="A548" t="s">
        <v>252</v>
      </c>
      <c r="B548" t="s">
        <v>417</v>
      </c>
      <c r="C548">
        <v>1</v>
      </c>
      <c r="D548" s="9">
        <f>IFERROR(VLOOKUP($B548,Menu[],MATCH(D$1,Menu[#Headers],0),FALSE),"CHECK")</f>
        <v>146.4</v>
      </c>
      <c r="E548" s="9">
        <f>IFERROR(VLOOKUP($B548,Menu[],MATCH(E$1,Menu[#Headers],0),FALSE),"CHECK")</f>
        <v>80.92</v>
      </c>
      <c r="F548" t="str">
        <f>IFERROR(VLOOKUP($B548,Menu[],MATCH(F$1,Menu[#Headers],0),FALSE),"CHECK")</f>
        <v>Hot Meal</v>
      </c>
      <c r="G548" s="7">
        <f>IFERROR(INT(VLOOKUP($A548,Orders[],MATCH("OrderDateTime",Orders[#Headers],0),FALSE)),"CHECK")</f>
        <v>45850</v>
      </c>
      <c r="H548" s="7" t="str">
        <f>IFERROR(VLOOKUP($A548,Orders[],MATCH(H$1,Orders[#Headers],0),FALSE),"CHECK")</f>
        <v>Plant 1 Canteen</v>
      </c>
      <c r="I548">
        <f>IFERROR(VLOOKUP(OrderLines[[#This Row],[OrderID]],Orders[],MATCH(OrderLines[[#Headers],[DiscountPct]],Orders[#Headers],0),FALSE),"CHECK")</f>
        <v>0.11</v>
      </c>
      <c r="J548" t="str">
        <f>IFERROR(VLOOKUP(OrderLines[[#This Row],[OrderID]],Orders[],MATCH(OrderLines[[#Headers],[Shift]],Orders[#Headers],0),FALSE),"CHECK")</f>
        <v>Lunch</v>
      </c>
      <c r="K548" s="11">
        <f>OrderLines[[#This Row],[Qty]] * OrderLines[[#This Row],[UnitPrice]] * (1-OrderLines[[#This Row],[DiscountPct]])</f>
        <v>130.29600000000002</v>
      </c>
      <c r="L548">
        <f>OrderLines[[#This Row],[Qty]]*OrderLines[[#This Row],[UnitCost]]</f>
        <v>80.92</v>
      </c>
    </row>
    <row r="549" spans="1:12" x14ac:dyDescent="0.25">
      <c r="A549" t="s">
        <v>252</v>
      </c>
      <c r="B549" t="s">
        <v>410</v>
      </c>
      <c r="C549">
        <v>1</v>
      </c>
      <c r="D549" s="9">
        <f>IFERROR(VLOOKUP($B549,Menu[],MATCH(D$1,Menu[#Headers],0),FALSE),"CHECK")</f>
        <v>20.11</v>
      </c>
      <c r="E549" s="9">
        <f>IFERROR(VLOOKUP($B549,Menu[],MATCH(E$1,Menu[#Headers],0),FALSE),"CHECK")</f>
        <v>8</v>
      </c>
      <c r="F549" t="str">
        <f>IFERROR(VLOOKUP($B549,Menu[],MATCH(F$1,Menu[#Headers],0),FALSE),"CHECK")</f>
        <v>Beverage</v>
      </c>
      <c r="G549" s="7">
        <f>IFERROR(INT(VLOOKUP($A549,Orders[],MATCH("OrderDateTime",Orders[#Headers],0),FALSE)),"CHECK")</f>
        <v>45850</v>
      </c>
      <c r="H549" s="7" t="str">
        <f>IFERROR(VLOOKUP($A549,Orders[],MATCH(H$1,Orders[#Headers],0),FALSE),"CHECK")</f>
        <v>Plant 1 Canteen</v>
      </c>
      <c r="I549">
        <f>IFERROR(VLOOKUP(OrderLines[[#This Row],[OrderID]],Orders[],MATCH(OrderLines[[#Headers],[DiscountPct]],Orders[#Headers],0),FALSE),"CHECK")</f>
        <v>0.11</v>
      </c>
      <c r="J549" t="str">
        <f>IFERROR(VLOOKUP(OrderLines[[#This Row],[OrderID]],Orders[],MATCH(OrderLines[[#Headers],[Shift]],Orders[#Headers],0),FALSE),"CHECK")</f>
        <v>Lunch</v>
      </c>
      <c r="K549" s="11">
        <f>OrderLines[[#This Row],[Qty]] * OrderLines[[#This Row],[UnitPrice]] * (1-OrderLines[[#This Row],[DiscountPct]])</f>
        <v>17.8979</v>
      </c>
      <c r="L549">
        <f>OrderLines[[#This Row],[Qty]]*OrderLines[[#This Row],[UnitCost]]</f>
        <v>8</v>
      </c>
    </row>
    <row r="550" spans="1:12" x14ac:dyDescent="0.25">
      <c r="A550" t="s">
        <v>252</v>
      </c>
      <c r="B550" t="s">
        <v>403</v>
      </c>
      <c r="C550">
        <v>2</v>
      </c>
      <c r="D550" s="9">
        <f>IFERROR(VLOOKUP($B550,Menu[],MATCH(D$1,Menu[#Headers],0),FALSE),"CHECK")</f>
        <v>76.55</v>
      </c>
      <c r="E550" s="9">
        <f>IFERROR(VLOOKUP($B550,Menu[],MATCH(E$1,Menu[#Headers],0),FALSE),"CHECK")</f>
        <v>38.229999999999997</v>
      </c>
      <c r="F550" t="str">
        <f>IFERROR(VLOOKUP($B550,Menu[],MATCH(F$1,Menu[#Headers],0),FALSE),"CHECK")</f>
        <v>Dessert</v>
      </c>
      <c r="G550" s="7">
        <f>IFERROR(INT(VLOOKUP($A550,Orders[],MATCH("OrderDateTime",Orders[#Headers],0),FALSE)),"CHECK")</f>
        <v>45850</v>
      </c>
      <c r="H550" s="7" t="str">
        <f>IFERROR(VLOOKUP($A550,Orders[],MATCH(H$1,Orders[#Headers],0),FALSE),"CHECK")</f>
        <v>Plant 1 Canteen</v>
      </c>
      <c r="I550">
        <f>IFERROR(VLOOKUP(OrderLines[[#This Row],[OrderID]],Orders[],MATCH(OrderLines[[#Headers],[DiscountPct]],Orders[#Headers],0),FALSE),"CHECK")</f>
        <v>0.11</v>
      </c>
      <c r="J550" t="str">
        <f>IFERROR(VLOOKUP(OrderLines[[#This Row],[OrderID]],Orders[],MATCH(OrderLines[[#Headers],[Shift]],Orders[#Headers],0),FALSE),"CHECK")</f>
        <v>Lunch</v>
      </c>
      <c r="K550" s="11">
        <f>OrderLines[[#This Row],[Qty]] * OrderLines[[#This Row],[UnitPrice]] * (1-OrderLines[[#This Row],[DiscountPct]])</f>
        <v>136.25899999999999</v>
      </c>
      <c r="L550">
        <f>OrderLines[[#This Row],[Qty]]*OrderLines[[#This Row],[UnitCost]]</f>
        <v>76.459999999999994</v>
      </c>
    </row>
    <row r="551" spans="1:12" x14ac:dyDescent="0.25">
      <c r="A551" t="s">
        <v>253</v>
      </c>
      <c r="B551" t="s">
        <v>410</v>
      </c>
      <c r="C551">
        <v>2</v>
      </c>
      <c r="D551" s="9">
        <f>IFERROR(VLOOKUP($B551,Menu[],MATCH(D$1,Menu[#Headers],0),FALSE),"CHECK")</f>
        <v>20.11</v>
      </c>
      <c r="E551" s="9">
        <f>IFERROR(VLOOKUP($B551,Menu[],MATCH(E$1,Menu[#Headers],0),FALSE),"CHECK")</f>
        <v>8</v>
      </c>
      <c r="F551" t="str">
        <f>IFERROR(VLOOKUP($B551,Menu[],MATCH(F$1,Menu[#Headers],0),FALSE),"CHECK")</f>
        <v>Beverage</v>
      </c>
      <c r="G551" s="7">
        <f>IFERROR(INT(VLOOKUP($A551,Orders[],MATCH("OrderDateTime",Orders[#Headers],0),FALSE)),"CHECK")</f>
        <v>45887</v>
      </c>
      <c r="H551" s="7" t="str">
        <f>IFERROR(VLOOKUP($A551,Orders[],MATCH(H$1,Orders[#Headers],0),FALSE),"CHECK")</f>
        <v>Plant 1 Canteen</v>
      </c>
      <c r="I551">
        <f>IFERROR(VLOOKUP(OrderLines[[#This Row],[OrderID]],Orders[],MATCH(OrderLines[[#Headers],[DiscountPct]],Orders[#Headers],0),FALSE),"CHECK")</f>
        <v>0.03</v>
      </c>
      <c r="J551" t="str">
        <f>IFERROR(VLOOKUP(OrderLines[[#This Row],[OrderID]],Orders[],MATCH(OrderLines[[#Headers],[Shift]],Orders[#Headers],0),FALSE),"CHECK")</f>
        <v>Breakfast</v>
      </c>
      <c r="K551" s="11">
        <f>OrderLines[[#This Row],[Qty]] * OrderLines[[#This Row],[UnitPrice]] * (1-OrderLines[[#This Row],[DiscountPct]])</f>
        <v>39.013399999999997</v>
      </c>
      <c r="L551">
        <f>OrderLines[[#This Row],[Qty]]*OrderLines[[#This Row],[UnitCost]]</f>
        <v>16</v>
      </c>
    </row>
    <row r="552" spans="1:12" x14ac:dyDescent="0.25">
      <c r="A552" t="s">
        <v>253</v>
      </c>
      <c r="B552" t="s">
        <v>402</v>
      </c>
      <c r="C552">
        <v>2</v>
      </c>
      <c r="D552" s="9">
        <f>IFERROR(VLOOKUP($B552,Menu[],MATCH(D$1,Menu[#Headers],0),FALSE),"CHECK")</f>
        <v>30.34</v>
      </c>
      <c r="E552" s="9">
        <f>IFERROR(VLOOKUP($B552,Menu[],MATCH(E$1,Menu[#Headers],0),FALSE),"CHECK")</f>
        <v>14.18</v>
      </c>
      <c r="F552" t="str">
        <f>IFERROR(VLOOKUP($B552,Menu[],MATCH(F$1,Menu[#Headers],0),FALSE),"CHECK")</f>
        <v>Beverage</v>
      </c>
      <c r="G552" s="7">
        <f>IFERROR(INT(VLOOKUP($A552,Orders[],MATCH("OrderDateTime",Orders[#Headers],0),FALSE)),"CHECK")</f>
        <v>45887</v>
      </c>
      <c r="H552" s="7" t="str">
        <f>IFERROR(VLOOKUP($A552,Orders[],MATCH(H$1,Orders[#Headers],0),FALSE),"CHECK")</f>
        <v>Plant 1 Canteen</v>
      </c>
      <c r="I552">
        <f>IFERROR(VLOOKUP(OrderLines[[#This Row],[OrderID]],Orders[],MATCH(OrderLines[[#Headers],[DiscountPct]],Orders[#Headers],0),FALSE),"CHECK")</f>
        <v>0.03</v>
      </c>
      <c r="J552" t="str">
        <f>IFERROR(VLOOKUP(OrderLines[[#This Row],[OrderID]],Orders[],MATCH(OrderLines[[#Headers],[Shift]],Orders[#Headers],0),FALSE),"CHECK")</f>
        <v>Breakfast</v>
      </c>
      <c r="K552" s="11">
        <f>OrderLines[[#This Row],[Qty]] * OrderLines[[#This Row],[UnitPrice]] * (1-OrderLines[[#This Row],[DiscountPct]])</f>
        <v>58.8596</v>
      </c>
      <c r="L552">
        <f>OrderLines[[#This Row],[Qty]]*OrderLines[[#This Row],[UnitCost]]</f>
        <v>28.36</v>
      </c>
    </row>
    <row r="553" spans="1:12" x14ac:dyDescent="0.25">
      <c r="A553" t="s">
        <v>253</v>
      </c>
      <c r="B553" t="s">
        <v>408</v>
      </c>
      <c r="C553">
        <v>1</v>
      </c>
      <c r="D553" s="9">
        <f>IFERROR(VLOOKUP($B553,Menu[],MATCH(D$1,Menu[#Headers],0),FALSE),"CHECK")</f>
        <v>70.540000000000006</v>
      </c>
      <c r="E553" s="9">
        <f>IFERROR(VLOOKUP($B553,Menu[],MATCH(E$1,Menu[#Headers],0),FALSE),"CHECK")</f>
        <v>35.81</v>
      </c>
      <c r="F553" t="str">
        <f>IFERROR(VLOOKUP($B553,Menu[],MATCH(F$1,Menu[#Headers],0),FALSE),"CHECK")</f>
        <v>Snack</v>
      </c>
      <c r="G553" s="7">
        <f>IFERROR(INT(VLOOKUP($A553,Orders[],MATCH("OrderDateTime",Orders[#Headers],0),FALSE)),"CHECK")</f>
        <v>45887</v>
      </c>
      <c r="H553" s="7" t="str">
        <f>IFERROR(VLOOKUP($A553,Orders[],MATCH(H$1,Orders[#Headers],0),FALSE),"CHECK")</f>
        <v>Plant 1 Canteen</v>
      </c>
      <c r="I553">
        <f>IFERROR(VLOOKUP(OrderLines[[#This Row],[OrderID]],Orders[],MATCH(OrderLines[[#Headers],[DiscountPct]],Orders[#Headers],0),FALSE),"CHECK")</f>
        <v>0.03</v>
      </c>
      <c r="J553" t="str">
        <f>IFERROR(VLOOKUP(OrderLines[[#This Row],[OrderID]],Orders[],MATCH(OrderLines[[#Headers],[Shift]],Orders[#Headers],0),FALSE),"CHECK")</f>
        <v>Breakfast</v>
      </c>
      <c r="K553" s="11">
        <f>OrderLines[[#This Row],[Qty]] * OrderLines[[#This Row],[UnitPrice]] * (1-OrderLines[[#This Row],[DiscountPct]])</f>
        <v>68.4238</v>
      </c>
      <c r="L553">
        <f>OrderLines[[#This Row],[Qty]]*OrderLines[[#This Row],[UnitCost]]</f>
        <v>35.81</v>
      </c>
    </row>
    <row r="554" spans="1:12" x14ac:dyDescent="0.25">
      <c r="A554" t="s">
        <v>254</v>
      </c>
      <c r="B554" t="s">
        <v>405</v>
      </c>
      <c r="C554">
        <v>1</v>
      </c>
      <c r="D554" s="9">
        <f>IFERROR(VLOOKUP($B554,Menu[],MATCH(D$1,Menu[#Headers],0),FALSE),"CHECK")</f>
        <v>170.83</v>
      </c>
      <c r="E554" s="9">
        <f>IFERROR(VLOOKUP($B554,Menu[],MATCH(E$1,Menu[#Headers],0),FALSE),"CHECK")</f>
        <v>74.069999999999993</v>
      </c>
      <c r="F554" t="str">
        <f>IFERROR(VLOOKUP($B554,Menu[],MATCH(F$1,Menu[#Headers],0),FALSE),"CHECK")</f>
        <v>Hot Meal</v>
      </c>
      <c r="G554" s="7">
        <f>IFERROR(INT(VLOOKUP($A554,Orders[],MATCH("OrderDateTime",Orders[#Headers],0),FALSE)),"CHECK")</f>
        <v>45852</v>
      </c>
      <c r="H554" s="7" t="str">
        <f>IFERROR(VLOOKUP($A554,Orders[],MATCH(H$1,Orders[#Headers],0),FALSE),"CHECK")</f>
        <v>Plant 2 Canteen</v>
      </c>
      <c r="I554">
        <f>IFERROR(VLOOKUP(OrderLines[[#This Row],[OrderID]],Orders[],MATCH(OrderLines[[#Headers],[DiscountPct]],Orders[#Headers],0),FALSE),"CHECK")</f>
        <v>0.08</v>
      </c>
      <c r="J554" t="str">
        <f>IFERROR(VLOOKUP(OrderLines[[#This Row],[OrderID]],Orders[],MATCH(OrderLines[[#Headers],[Shift]],Orders[#Headers],0),FALSE),"CHECK")</f>
        <v>Breakfast</v>
      </c>
      <c r="K554" s="11">
        <f>OrderLines[[#This Row],[Qty]] * OrderLines[[#This Row],[UnitPrice]] * (1-OrderLines[[#This Row],[DiscountPct]])</f>
        <v>157.16360000000003</v>
      </c>
      <c r="L554">
        <f>OrderLines[[#This Row],[Qty]]*OrderLines[[#This Row],[UnitCost]]</f>
        <v>74.069999999999993</v>
      </c>
    </row>
    <row r="555" spans="1:12" x14ac:dyDescent="0.25">
      <c r="A555" t="s">
        <v>254</v>
      </c>
      <c r="B555" t="s">
        <v>415</v>
      </c>
      <c r="C555">
        <v>1</v>
      </c>
      <c r="D555" s="9">
        <f>IFERROR(VLOOKUP($B555,Menu[],MATCH(D$1,Menu[#Headers],0),FALSE),"CHECK")</f>
        <v>256.91000000000003</v>
      </c>
      <c r="E555" s="9">
        <f>IFERROR(VLOOKUP($B555,Menu[],MATCH(E$1,Menu[#Headers],0),FALSE),"CHECK")</f>
        <v>121.24</v>
      </c>
      <c r="F555" t="str">
        <f>IFERROR(VLOOKUP($B555,Menu[],MATCH(F$1,Menu[#Headers],0),FALSE),"CHECK")</f>
        <v>Hot Meal</v>
      </c>
      <c r="G555" s="7">
        <f>IFERROR(INT(VLOOKUP($A555,Orders[],MATCH("OrderDateTime",Orders[#Headers],0),FALSE)),"CHECK")</f>
        <v>45852</v>
      </c>
      <c r="H555" s="7" t="str">
        <f>IFERROR(VLOOKUP($A555,Orders[],MATCH(H$1,Orders[#Headers],0),FALSE),"CHECK")</f>
        <v>Plant 2 Canteen</v>
      </c>
      <c r="I555">
        <f>IFERROR(VLOOKUP(OrderLines[[#This Row],[OrderID]],Orders[],MATCH(OrderLines[[#Headers],[DiscountPct]],Orders[#Headers],0),FALSE),"CHECK")</f>
        <v>0.08</v>
      </c>
      <c r="J555" t="str">
        <f>IFERROR(VLOOKUP(OrderLines[[#This Row],[OrderID]],Orders[],MATCH(OrderLines[[#Headers],[Shift]],Orders[#Headers],0),FALSE),"CHECK")</f>
        <v>Breakfast</v>
      </c>
      <c r="K555" s="11">
        <f>OrderLines[[#This Row],[Qty]] * OrderLines[[#This Row],[UnitPrice]] * (1-OrderLines[[#This Row],[DiscountPct]])</f>
        <v>236.35720000000003</v>
      </c>
      <c r="L555">
        <f>OrderLines[[#This Row],[Qty]]*OrderLines[[#This Row],[UnitCost]]</f>
        <v>121.24</v>
      </c>
    </row>
    <row r="556" spans="1:12" x14ac:dyDescent="0.25">
      <c r="A556" t="s">
        <v>254</v>
      </c>
      <c r="B556" t="s">
        <v>418</v>
      </c>
      <c r="C556">
        <v>2</v>
      </c>
      <c r="D556" s="9">
        <f>IFERROR(VLOOKUP($B556,Menu[],MATCH(D$1,Menu[#Headers],0),FALSE),"CHECK")</f>
        <v>39.950000000000003</v>
      </c>
      <c r="E556" s="9">
        <f>IFERROR(VLOOKUP($B556,Menu[],MATCH(E$1,Menu[#Headers],0),FALSE),"CHECK")</f>
        <v>15.51</v>
      </c>
      <c r="F556" t="str">
        <f>IFERROR(VLOOKUP($B556,Menu[],MATCH(F$1,Menu[#Headers],0),FALSE),"CHECK")</f>
        <v>Snack</v>
      </c>
      <c r="G556" s="7">
        <f>IFERROR(INT(VLOOKUP($A556,Orders[],MATCH("OrderDateTime",Orders[#Headers],0),FALSE)),"CHECK")</f>
        <v>45852</v>
      </c>
      <c r="H556" s="7" t="str">
        <f>IFERROR(VLOOKUP($A556,Orders[],MATCH(H$1,Orders[#Headers],0),FALSE),"CHECK")</f>
        <v>Plant 2 Canteen</v>
      </c>
      <c r="I556">
        <f>IFERROR(VLOOKUP(OrderLines[[#This Row],[OrderID]],Orders[],MATCH(OrderLines[[#Headers],[DiscountPct]],Orders[#Headers],0),FALSE),"CHECK")</f>
        <v>0.08</v>
      </c>
      <c r="J556" t="str">
        <f>IFERROR(VLOOKUP(OrderLines[[#This Row],[OrderID]],Orders[],MATCH(OrderLines[[#Headers],[Shift]],Orders[#Headers],0),FALSE),"CHECK")</f>
        <v>Breakfast</v>
      </c>
      <c r="K556" s="11">
        <f>OrderLines[[#This Row],[Qty]] * OrderLines[[#This Row],[UnitPrice]] * (1-OrderLines[[#This Row],[DiscountPct]])</f>
        <v>73.50800000000001</v>
      </c>
      <c r="L556">
        <f>OrderLines[[#This Row],[Qty]]*OrderLines[[#This Row],[UnitCost]]</f>
        <v>31.02</v>
      </c>
    </row>
    <row r="557" spans="1:12" x14ac:dyDescent="0.25">
      <c r="A557" t="s">
        <v>254</v>
      </c>
      <c r="B557" t="s">
        <v>401</v>
      </c>
      <c r="C557">
        <v>3</v>
      </c>
      <c r="D557" s="9">
        <f>IFERROR(VLOOKUP($B557,Menu[],MATCH(D$1,Menu[#Headers],0),FALSE),"CHECK")</f>
        <v>52.45</v>
      </c>
      <c r="E557" s="9">
        <f>IFERROR(VLOOKUP($B557,Menu[],MATCH(E$1,Menu[#Headers],0),FALSE),"CHECK")</f>
        <v>25.8</v>
      </c>
      <c r="F557" t="str">
        <f>IFERROR(VLOOKUP($B557,Menu[],MATCH(F$1,Menu[#Headers],0),FALSE),"CHECK")</f>
        <v>Snack</v>
      </c>
      <c r="G557" s="7">
        <f>IFERROR(INT(VLOOKUP($A557,Orders[],MATCH("OrderDateTime",Orders[#Headers],0),FALSE)),"CHECK")</f>
        <v>45852</v>
      </c>
      <c r="H557" s="7" t="str">
        <f>IFERROR(VLOOKUP($A557,Orders[],MATCH(H$1,Orders[#Headers],0),FALSE),"CHECK")</f>
        <v>Plant 2 Canteen</v>
      </c>
      <c r="I557">
        <f>IFERROR(VLOOKUP(OrderLines[[#This Row],[OrderID]],Orders[],MATCH(OrderLines[[#Headers],[DiscountPct]],Orders[#Headers],0),FALSE),"CHECK")</f>
        <v>0.08</v>
      </c>
      <c r="J557" t="str">
        <f>IFERROR(VLOOKUP(OrderLines[[#This Row],[OrderID]],Orders[],MATCH(OrderLines[[#Headers],[Shift]],Orders[#Headers],0),FALSE),"CHECK")</f>
        <v>Breakfast</v>
      </c>
      <c r="K557" s="11">
        <f>OrderLines[[#This Row],[Qty]] * OrderLines[[#This Row],[UnitPrice]] * (1-OrderLines[[#This Row],[DiscountPct]])</f>
        <v>144.76200000000003</v>
      </c>
      <c r="L557">
        <f>OrderLines[[#This Row],[Qty]]*OrderLines[[#This Row],[UnitCost]]</f>
        <v>77.400000000000006</v>
      </c>
    </row>
    <row r="558" spans="1:12" x14ac:dyDescent="0.25">
      <c r="A558" t="s">
        <v>255</v>
      </c>
      <c r="B558" t="s">
        <v>409</v>
      </c>
      <c r="C558">
        <v>1</v>
      </c>
      <c r="D558" s="9">
        <f>IFERROR(VLOOKUP($B558,Menu[],MATCH(D$1,Menu[#Headers],0),FALSE),"CHECK")</f>
        <v>28.43</v>
      </c>
      <c r="E558" s="9">
        <f>IFERROR(VLOOKUP($B558,Menu[],MATCH(E$1,Menu[#Headers],0),FALSE),"CHECK")</f>
        <v>13.89</v>
      </c>
      <c r="F558" t="str">
        <f>IFERROR(VLOOKUP($B558,Menu[],MATCH(F$1,Menu[#Headers],0),FALSE),"CHECK")</f>
        <v>Beverage</v>
      </c>
      <c r="G558" s="7">
        <f>IFERROR(INT(VLOOKUP($A558,Orders[],MATCH("OrderDateTime",Orders[#Headers],0),FALSE)),"CHECK")</f>
        <v>45879</v>
      </c>
      <c r="H558" s="7" t="str">
        <f>IFERROR(VLOOKUP($A558,Orders[],MATCH(H$1,Orders[#Headers],0),FALSE),"CHECK")</f>
        <v>Head Office Café</v>
      </c>
      <c r="I558">
        <f>IFERROR(VLOOKUP(OrderLines[[#This Row],[OrderID]],Orders[],MATCH(OrderLines[[#Headers],[DiscountPct]],Orders[#Headers],0),FALSE),"CHECK")</f>
        <v>0.09</v>
      </c>
      <c r="J558" t="str">
        <f>IFERROR(VLOOKUP(OrderLines[[#This Row],[OrderID]],Orders[],MATCH(OrderLines[[#Headers],[Shift]],Orders[#Headers],0),FALSE),"CHECK")</f>
        <v>Dinner</v>
      </c>
      <c r="K558" s="11">
        <f>OrderLines[[#This Row],[Qty]] * OrderLines[[#This Row],[UnitPrice]] * (1-OrderLines[[#This Row],[DiscountPct]])</f>
        <v>25.871300000000002</v>
      </c>
      <c r="L558">
        <f>OrderLines[[#This Row],[Qty]]*OrderLines[[#This Row],[UnitCost]]</f>
        <v>13.89</v>
      </c>
    </row>
    <row r="559" spans="1:12" x14ac:dyDescent="0.25">
      <c r="A559" t="s">
        <v>256</v>
      </c>
      <c r="B559" t="s">
        <v>412</v>
      </c>
      <c r="C559">
        <v>2</v>
      </c>
      <c r="D559" s="9">
        <f>IFERROR(VLOOKUP($B559,Menu[],MATCH(D$1,Menu[#Headers],0),FALSE),"CHECK")</f>
        <v>57.07</v>
      </c>
      <c r="E559" s="9">
        <f>IFERROR(VLOOKUP($B559,Menu[],MATCH(E$1,Menu[#Headers],0),FALSE),"CHECK")</f>
        <v>29.14</v>
      </c>
      <c r="F559" t="str">
        <f>IFERROR(VLOOKUP($B559,Menu[],MATCH(F$1,Menu[#Headers],0),FALSE),"CHECK")</f>
        <v>Dessert</v>
      </c>
      <c r="G559" s="7">
        <f>IFERROR(INT(VLOOKUP($A559,Orders[],MATCH("OrderDateTime",Orders[#Headers],0),FALSE)),"CHECK")</f>
        <v>45879</v>
      </c>
      <c r="H559" s="7" t="str">
        <f>IFERROR(VLOOKUP($A559,Orders[],MATCH(H$1,Orders[#Headers],0),FALSE),"CHECK")</f>
        <v>Head Office Café</v>
      </c>
      <c r="I559">
        <f>IFERROR(VLOOKUP(OrderLines[[#This Row],[OrderID]],Orders[],MATCH(OrderLines[[#Headers],[DiscountPct]],Orders[#Headers],0),FALSE),"CHECK")</f>
        <v>0.02</v>
      </c>
      <c r="J559" t="str">
        <f>IFERROR(VLOOKUP(OrderLines[[#This Row],[OrderID]],Orders[],MATCH(OrderLines[[#Headers],[Shift]],Orders[#Headers],0),FALSE),"CHECK")</f>
        <v>Lunch</v>
      </c>
      <c r="K559" s="11">
        <f>OrderLines[[#This Row],[Qty]] * OrderLines[[#This Row],[UnitPrice]] * (1-OrderLines[[#This Row],[DiscountPct]])</f>
        <v>111.85719999999999</v>
      </c>
      <c r="L559">
        <f>OrderLines[[#This Row],[Qty]]*OrderLines[[#This Row],[UnitCost]]</f>
        <v>58.28</v>
      </c>
    </row>
    <row r="560" spans="1:12" x14ac:dyDescent="0.25">
      <c r="A560" t="s">
        <v>256</v>
      </c>
      <c r="B560" t="s">
        <v>416</v>
      </c>
      <c r="C560">
        <v>1</v>
      </c>
      <c r="D560" s="9">
        <f>IFERROR(VLOOKUP($B560,Menu[],MATCH(D$1,Menu[#Headers],0),FALSE),"CHECK")</f>
        <v>227.61</v>
      </c>
      <c r="E560" s="9">
        <f>IFERROR(VLOOKUP($B560,Menu[],MATCH(E$1,Menu[#Headers],0),FALSE),"CHECK")</f>
        <v>96.22</v>
      </c>
      <c r="F560" t="str">
        <f>IFERROR(VLOOKUP($B560,Menu[],MATCH(F$1,Menu[#Headers],0),FALSE),"CHECK")</f>
        <v>Hot Meal</v>
      </c>
      <c r="G560" s="7">
        <f>IFERROR(INT(VLOOKUP($A560,Orders[],MATCH("OrderDateTime",Orders[#Headers],0),FALSE)),"CHECK")</f>
        <v>45879</v>
      </c>
      <c r="H560" s="7" t="str">
        <f>IFERROR(VLOOKUP($A560,Orders[],MATCH(H$1,Orders[#Headers],0),FALSE),"CHECK")</f>
        <v>Head Office Café</v>
      </c>
      <c r="I560">
        <f>IFERROR(VLOOKUP(OrderLines[[#This Row],[OrderID]],Orders[],MATCH(OrderLines[[#Headers],[DiscountPct]],Orders[#Headers],0),FALSE),"CHECK")</f>
        <v>0.02</v>
      </c>
      <c r="J560" t="str">
        <f>IFERROR(VLOOKUP(OrderLines[[#This Row],[OrderID]],Orders[],MATCH(OrderLines[[#Headers],[Shift]],Orders[#Headers],0),FALSE),"CHECK")</f>
        <v>Lunch</v>
      </c>
      <c r="K560" s="11">
        <f>OrderLines[[#This Row],[Qty]] * OrderLines[[#This Row],[UnitPrice]] * (1-OrderLines[[#This Row],[DiscountPct]])</f>
        <v>223.05780000000001</v>
      </c>
      <c r="L560">
        <f>OrderLines[[#This Row],[Qty]]*OrderLines[[#This Row],[UnitCost]]</f>
        <v>96.22</v>
      </c>
    </row>
    <row r="561" spans="1:12" x14ac:dyDescent="0.25">
      <c r="A561" t="s">
        <v>256</v>
      </c>
      <c r="B561" t="s">
        <v>405</v>
      </c>
      <c r="C561">
        <v>2</v>
      </c>
      <c r="D561" s="9">
        <f>IFERROR(VLOOKUP($B561,Menu[],MATCH(D$1,Menu[#Headers],0),FALSE),"CHECK")</f>
        <v>170.83</v>
      </c>
      <c r="E561" s="9">
        <f>IFERROR(VLOOKUP($B561,Menu[],MATCH(E$1,Menu[#Headers],0),FALSE),"CHECK")</f>
        <v>74.069999999999993</v>
      </c>
      <c r="F561" t="str">
        <f>IFERROR(VLOOKUP($B561,Menu[],MATCH(F$1,Menu[#Headers],0),FALSE),"CHECK")</f>
        <v>Hot Meal</v>
      </c>
      <c r="G561" s="7">
        <f>IFERROR(INT(VLOOKUP($A561,Orders[],MATCH("OrderDateTime",Orders[#Headers],0),FALSE)),"CHECK")</f>
        <v>45879</v>
      </c>
      <c r="H561" s="7" t="str">
        <f>IFERROR(VLOOKUP($A561,Orders[],MATCH(H$1,Orders[#Headers],0),FALSE),"CHECK")</f>
        <v>Head Office Café</v>
      </c>
      <c r="I561">
        <f>IFERROR(VLOOKUP(OrderLines[[#This Row],[OrderID]],Orders[],MATCH(OrderLines[[#Headers],[DiscountPct]],Orders[#Headers],0),FALSE),"CHECK")</f>
        <v>0.02</v>
      </c>
      <c r="J561" t="str">
        <f>IFERROR(VLOOKUP(OrderLines[[#This Row],[OrderID]],Orders[],MATCH(OrderLines[[#Headers],[Shift]],Orders[#Headers],0),FALSE),"CHECK")</f>
        <v>Lunch</v>
      </c>
      <c r="K561" s="11">
        <f>OrderLines[[#This Row],[Qty]] * OrderLines[[#This Row],[UnitPrice]] * (1-OrderLines[[#This Row],[DiscountPct]])</f>
        <v>334.82679999999999</v>
      </c>
      <c r="L561">
        <f>OrderLines[[#This Row],[Qty]]*OrderLines[[#This Row],[UnitCost]]</f>
        <v>148.13999999999999</v>
      </c>
    </row>
    <row r="562" spans="1:12" x14ac:dyDescent="0.25">
      <c r="A562" t="s">
        <v>257</v>
      </c>
      <c r="B562" t="s">
        <v>403</v>
      </c>
      <c r="C562">
        <v>3</v>
      </c>
      <c r="D562" s="9">
        <f>IFERROR(VLOOKUP($B562,Menu[],MATCH(D$1,Menu[#Headers],0),FALSE),"CHECK")</f>
        <v>76.55</v>
      </c>
      <c r="E562" s="9">
        <f>IFERROR(VLOOKUP($B562,Menu[],MATCH(E$1,Menu[#Headers],0),FALSE),"CHECK")</f>
        <v>38.229999999999997</v>
      </c>
      <c r="F562" t="str">
        <f>IFERROR(VLOOKUP($B562,Menu[],MATCH(F$1,Menu[#Headers],0),FALSE),"CHECK")</f>
        <v>Dessert</v>
      </c>
      <c r="G562" s="7">
        <f>IFERROR(INT(VLOOKUP($A562,Orders[],MATCH("OrderDateTime",Orders[#Headers],0),FALSE)),"CHECK")</f>
        <v>45866</v>
      </c>
      <c r="H562" s="7" t="str">
        <f>IFERROR(VLOOKUP($A562,Orders[],MATCH(H$1,Orders[#Headers],0),FALSE),"CHECK")</f>
        <v>Plant 1 Canteen</v>
      </c>
      <c r="I562">
        <f>IFERROR(VLOOKUP(OrderLines[[#This Row],[OrderID]],Orders[],MATCH(OrderLines[[#Headers],[DiscountPct]],Orders[#Headers],0),FALSE),"CHECK")</f>
        <v>0.06</v>
      </c>
      <c r="J562" t="str">
        <f>IFERROR(VLOOKUP(OrderLines[[#This Row],[OrderID]],Orders[],MATCH(OrderLines[[#Headers],[Shift]],Orders[#Headers],0),FALSE),"CHECK")</f>
        <v>Breakfast</v>
      </c>
      <c r="K562" s="11">
        <f>OrderLines[[#This Row],[Qty]] * OrderLines[[#This Row],[UnitPrice]] * (1-OrderLines[[#This Row],[DiscountPct]])</f>
        <v>215.87099999999995</v>
      </c>
      <c r="L562">
        <f>OrderLines[[#This Row],[Qty]]*OrderLines[[#This Row],[UnitCost]]</f>
        <v>114.69</v>
      </c>
    </row>
    <row r="563" spans="1:12" x14ac:dyDescent="0.25">
      <c r="A563" t="s">
        <v>257</v>
      </c>
      <c r="B563" t="s">
        <v>416</v>
      </c>
      <c r="C563">
        <v>1</v>
      </c>
      <c r="D563" s="9">
        <f>IFERROR(VLOOKUP($B563,Menu[],MATCH(D$1,Menu[#Headers],0),FALSE),"CHECK")</f>
        <v>227.61</v>
      </c>
      <c r="E563" s="9">
        <f>IFERROR(VLOOKUP($B563,Menu[],MATCH(E$1,Menu[#Headers],0),FALSE),"CHECK")</f>
        <v>96.22</v>
      </c>
      <c r="F563" t="str">
        <f>IFERROR(VLOOKUP($B563,Menu[],MATCH(F$1,Menu[#Headers],0),FALSE),"CHECK")</f>
        <v>Hot Meal</v>
      </c>
      <c r="G563" s="7">
        <f>IFERROR(INT(VLOOKUP($A563,Orders[],MATCH("OrderDateTime",Orders[#Headers],0),FALSE)),"CHECK")</f>
        <v>45866</v>
      </c>
      <c r="H563" s="7" t="str">
        <f>IFERROR(VLOOKUP($A563,Orders[],MATCH(H$1,Orders[#Headers],0),FALSE),"CHECK")</f>
        <v>Plant 1 Canteen</v>
      </c>
      <c r="I563">
        <f>IFERROR(VLOOKUP(OrderLines[[#This Row],[OrderID]],Orders[],MATCH(OrderLines[[#Headers],[DiscountPct]],Orders[#Headers],0),FALSE),"CHECK")</f>
        <v>0.06</v>
      </c>
      <c r="J563" t="str">
        <f>IFERROR(VLOOKUP(OrderLines[[#This Row],[OrderID]],Orders[],MATCH(OrderLines[[#Headers],[Shift]],Orders[#Headers],0),FALSE),"CHECK")</f>
        <v>Breakfast</v>
      </c>
      <c r="K563" s="11">
        <f>OrderLines[[#This Row],[Qty]] * OrderLines[[#This Row],[UnitPrice]] * (1-OrderLines[[#This Row],[DiscountPct]])</f>
        <v>213.95339999999999</v>
      </c>
      <c r="L563">
        <f>OrderLines[[#This Row],[Qty]]*OrderLines[[#This Row],[UnitCost]]</f>
        <v>96.22</v>
      </c>
    </row>
    <row r="564" spans="1:12" x14ac:dyDescent="0.25">
      <c r="A564" t="s">
        <v>257</v>
      </c>
      <c r="B564" t="s">
        <v>413</v>
      </c>
      <c r="C564">
        <v>3</v>
      </c>
      <c r="D564" s="9">
        <f>IFERROR(VLOOKUP($B564,Menu[],MATCH(D$1,Menu[#Headers],0),FALSE),"CHECK")</f>
        <v>54.2</v>
      </c>
      <c r="E564" s="9">
        <f>IFERROR(VLOOKUP($B564,Menu[],MATCH(E$1,Menu[#Headers],0),FALSE),"CHECK")</f>
        <v>21.95</v>
      </c>
      <c r="F564" t="str">
        <f>IFERROR(VLOOKUP($B564,Menu[],MATCH(F$1,Menu[#Headers],0),FALSE),"CHECK")</f>
        <v>Dessert</v>
      </c>
      <c r="G564" s="7">
        <f>IFERROR(INT(VLOOKUP($A564,Orders[],MATCH("OrderDateTime",Orders[#Headers],0),FALSE)),"CHECK")</f>
        <v>45866</v>
      </c>
      <c r="H564" s="7" t="str">
        <f>IFERROR(VLOOKUP($A564,Orders[],MATCH(H$1,Orders[#Headers],0),FALSE),"CHECK")</f>
        <v>Plant 1 Canteen</v>
      </c>
      <c r="I564">
        <f>IFERROR(VLOOKUP(OrderLines[[#This Row],[OrderID]],Orders[],MATCH(OrderLines[[#Headers],[DiscountPct]],Orders[#Headers],0),FALSE),"CHECK")</f>
        <v>0.06</v>
      </c>
      <c r="J564" t="str">
        <f>IFERROR(VLOOKUP(OrderLines[[#This Row],[OrderID]],Orders[],MATCH(OrderLines[[#Headers],[Shift]],Orders[#Headers],0),FALSE),"CHECK")</f>
        <v>Breakfast</v>
      </c>
      <c r="K564" s="11">
        <f>OrderLines[[#This Row],[Qty]] * OrderLines[[#This Row],[UnitPrice]] * (1-OrderLines[[#This Row],[DiscountPct]])</f>
        <v>152.84400000000002</v>
      </c>
      <c r="L564">
        <f>OrderLines[[#This Row],[Qty]]*OrderLines[[#This Row],[UnitCost]]</f>
        <v>65.849999999999994</v>
      </c>
    </row>
    <row r="565" spans="1:12" x14ac:dyDescent="0.25">
      <c r="A565" t="s">
        <v>258</v>
      </c>
      <c r="B565" t="s">
        <v>412</v>
      </c>
      <c r="C565">
        <v>1</v>
      </c>
      <c r="D565" s="9">
        <f>IFERROR(VLOOKUP($B565,Menu[],MATCH(D$1,Menu[#Headers],0),FALSE),"CHECK")</f>
        <v>57.07</v>
      </c>
      <c r="E565" s="9">
        <f>IFERROR(VLOOKUP($B565,Menu[],MATCH(E$1,Menu[#Headers],0),FALSE),"CHECK")</f>
        <v>29.14</v>
      </c>
      <c r="F565" t="str">
        <f>IFERROR(VLOOKUP($B565,Menu[],MATCH(F$1,Menu[#Headers],0),FALSE),"CHECK")</f>
        <v>Dessert</v>
      </c>
      <c r="G565" s="7">
        <f>IFERROR(INT(VLOOKUP($A565,Orders[],MATCH("OrderDateTime",Orders[#Headers],0),FALSE)),"CHECK")</f>
        <v>45882</v>
      </c>
      <c r="H565" s="7" t="str">
        <f>IFERROR(VLOOKUP($A565,Orders[],MATCH(H$1,Orders[#Headers],0),FALSE),"CHECK")</f>
        <v>Plant 2 Canteen</v>
      </c>
      <c r="I565">
        <f>IFERROR(VLOOKUP(OrderLines[[#This Row],[OrderID]],Orders[],MATCH(OrderLines[[#Headers],[DiscountPct]],Orders[#Headers],0),FALSE),"CHECK")</f>
        <v>0</v>
      </c>
      <c r="J565" t="str">
        <f>IFERROR(VLOOKUP(OrderLines[[#This Row],[OrderID]],Orders[],MATCH(OrderLines[[#Headers],[Shift]],Orders[#Headers],0),FALSE),"CHECK")</f>
        <v>Breakfast</v>
      </c>
      <c r="K565" s="11">
        <f>OrderLines[[#This Row],[Qty]] * OrderLines[[#This Row],[UnitPrice]] * (1-OrderLines[[#This Row],[DiscountPct]])</f>
        <v>57.07</v>
      </c>
      <c r="L565">
        <f>OrderLines[[#This Row],[Qty]]*OrderLines[[#This Row],[UnitCost]]</f>
        <v>29.14</v>
      </c>
    </row>
    <row r="566" spans="1:12" x14ac:dyDescent="0.25">
      <c r="A566" t="s">
        <v>259</v>
      </c>
      <c r="B566" t="s">
        <v>418</v>
      </c>
      <c r="C566">
        <v>1</v>
      </c>
      <c r="D566" s="9">
        <f>IFERROR(VLOOKUP($B566,Menu[],MATCH(D$1,Menu[#Headers],0),FALSE),"CHECK")</f>
        <v>39.950000000000003</v>
      </c>
      <c r="E566" s="9">
        <f>IFERROR(VLOOKUP($B566,Menu[],MATCH(E$1,Menu[#Headers],0),FALSE),"CHECK")</f>
        <v>15.51</v>
      </c>
      <c r="F566" t="str">
        <f>IFERROR(VLOOKUP($B566,Menu[],MATCH(F$1,Menu[#Headers],0),FALSE),"CHECK")</f>
        <v>Snack</v>
      </c>
      <c r="G566" s="7">
        <f>IFERROR(INT(VLOOKUP($A566,Orders[],MATCH("OrderDateTime",Orders[#Headers],0),FALSE)),"CHECK")</f>
        <v>45874</v>
      </c>
      <c r="H566" s="7" t="str">
        <f>IFERROR(VLOOKUP($A566,Orders[],MATCH(H$1,Orders[#Headers],0),FALSE),"CHECK")</f>
        <v>Head Office Café</v>
      </c>
      <c r="I566">
        <f>IFERROR(VLOOKUP(OrderLines[[#This Row],[OrderID]],Orders[],MATCH(OrderLines[[#Headers],[DiscountPct]],Orders[#Headers],0),FALSE),"CHECK")</f>
        <v>0.02</v>
      </c>
      <c r="J566" t="str">
        <f>IFERROR(VLOOKUP(OrderLines[[#This Row],[OrderID]],Orders[],MATCH(OrderLines[[#Headers],[Shift]],Orders[#Headers],0),FALSE),"CHECK")</f>
        <v>Dinner</v>
      </c>
      <c r="K566" s="11">
        <f>OrderLines[[#This Row],[Qty]] * OrderLines[[#This Row],[UnitPrice]] * (1-OrderLines[[#This Row],[DiscountPct]])</f>
        <v>39.151000000000003</v>
      </c>
      <c r="L566">
        <f>OrderLines[[#This Row],[Qty]]*OrderLines[[#This Row],[UnitCost]]</f>
        <v>15.51</v>
      </c>
    </row>
    <row r="567" spans="1:12" x14ac:dyDescent="0.25">
      <c r="A567" t="s">
        <v>259</v>
      </c>
      <c r="B567" t="s">
        <v>410</v>
      </c>
      <c r="C567">
        <v>2</v>
      </c>
      <c r="D567" s="9">
        <f>IFERROR(VLOOKUP($B567,Menu[],MATCH(D$1,Menu[#Headers],0),FALSE),"CHECK")</f>
        <v>20.11</v>
      </c>
      <c r="E567" s="9">
        <f>IFERROR(VLOOKUP($B567,Menu[],MATCH(E$1,Menu[#Headers],0),FALSE),"CHECK")</f>
        <v>8</v>
      </c>
      <c r="F567" t="str">
        <f>IFERROR(VLOOKUP($B567,Menu[],MATCH(F$1,Menu[#Headers],0),FALSE),"CHECK")</f>
        <v>Beverage</v>
      </c>
      <c r="G567" s="7">
        <f>IFERROR(INT(VLOOKUP($A567,Orders[],MATCH("OrderDateTime",Orders[#Headers],0),FALSE)),"CHECK")</f>
        <v>45874</v>
      </c>
      <c r="H567" s="7" t="str">
        <f>IFERROR(VLOOKUP($A567,Orders[],MATCH(H$1,Orders[#Headers],0),FALSE),"CHECK")</f>
        <v>Head Office Café</v>
      </c>
      <c r="I567">
        <f>IFERROR(VLOOKUP(OrderLines[[#This Row],[OrderID]],Orders[],MATCH(OrderLines[[#Headers],[DiscountPct]],Orders[#Headers],0),FALSE),"CHECK")</f>
        <v>0.02</v>
      </c>
      <c r="J567" t="str">
        <f>IFERROR(VLOOKUP(OrderLines[[#This Row],[OrderID]],Orders[],MATCH(OrderLines[[#Headers],[Shift]],Orders[#Headers],0),FALSE),"CHECK")</f>
        <v>Dinner</v>
      </c>
      <c r="K567" s="11">
        <f>OrderLines[[#This Row],[Qty]] * OrderLines[[#This Row],[UnitPrice]] * (1-OrderLines[[#This Row],[DiscountPct]])</f>
        <v>39.415599999999998</v>
      </c>
      <c r="L567">
        <f>OrderLines[[#This Row],[Qty]]*OrderLines[[#This Row],[UnitCost]]</f>
        <v>16</v>
      </c>
    </row>
    <row r="568" spans="1:12" x14ac:dyDescent="0.25">
      <c r="A568" t="s">
        <v>259</v>
      </c>
      <c r="B568" t="s">
        <v>402</v>
      </c>
      <c r="C568">
        <v>2</v>
      </c>
      <c r="D568" s="9">
        <f>IFERROR(VLOOKUP($B568,Menu[],MATCH(D$1,Menu[#Headers],0),FALSE),"CHECK")</f>
        <v>30.34</v>
      </c>
      <c r="E568" s="9">
        <f>IFERROR(VLOOKUP($B568,Menu[],MATCH(E$1,Menu[#Headers],0),FALSE),"CHECK")</f>
        <v>14.18</v>
      </c>
      <c r="F568" t="str">
        <f>IFERROR(VLOOKUP($B568,Menu[],MATCH(F$1,Menu[#Headers],0),FALSE),"CHECK")</f>
        <v>Beverage</v>
      </c>
      <c r="G568" s="7">
        <f>IFERROR(INT(VLOOKUP($A568,Orders[],MATCH("OrderDateTime",Orders[#Headers],0),FALSE)),"CHECK")</f>
        <v>45874</v>
      </c>
      <c r="H568" s="7" t="str">
        <f>IFERROR(VLOOKUP($A568,Orders[],MATCH(H$1,Orders[#Headers],0),FALSE),"CHECK")</f>
        <v>Head Office Café</v>
      </c>
      <c r="I568">
        <f>IFERROR(VLOOKUP(OrderLines[[#This Row],[OrderID]],Orders[],MATCH(OrderLines[[#Headers],[DiscountPct]],Orders[#Headers],0),FALSE),"CHECK")</f>
        <v>0.02</v>
      </c>
      <c r="J568" t="str">
        <f>IFERROR(VLOOKUP(OrderLines[[#This Row],[OrderID]],Orders[],MATCH(OrderLines[[#Headers],[Shift]],Orders[#Headers],0),FALSE),"CHECK")</f>
        <v>Dinner</v>
      </c>
      <c r="K568" s="11">
        <f>OrderLines[[#This Row],[Qty]] * OrderLines[[#This Row],[UnitPrice]] * (1-OrderLines[[#This Row],[DiscountPct]])</f>
        <v>59.4664</v>
      </c>
      <c r="L568">
        <f>OrderLines[[#This Row],[Qty]]*OrderLines[[#This Row],[UnitCost]]</f>
        <v>28.36</v>
      </c>
    </row>
    <row r="569" spans="1:12" x14ac:dyDescent="0.25">
      <c r="A569" t="s">
        <v>259</v>
      </c>
      <c r="B569" t="s">
        <v>413</v>
      </c>
      <c r="C569">
        <v>3</v>
      </c>
      <c r="D569" s="9">
        <f>IFERROR(VLOOKUP($B569,Menu[],MATCH(D$1,Menu[#Headers],0),FALSE),"CHECK")</f>
        <v>54.2</v>
      </c>
      <c r="E569" s="9">
        <f>IFERROR(VLOOKUP($B569,Menu[],MATCH(E$1,Menu[#Headers],0),FALSE),"CHECK")</f>
        <v>21.95</v>
      </c>
      <c r="F569" t="str">
        <f>IFERROR(VLOOKUP($B569,Menu[],MATCH(F$1,Menu[#Headers],0),FALSE),"CHECK")</f>
        <v>Dessert</v>
      </c>
      <c r="G569" s="7">
        <f>IFERROR(INT(VLOOKUP($A569,Orders[],MATCH("OrderDateTime",Orders[#Headers],0),FALSE)),"CHECK")</f>
        <v>45874</v>
      </c>
      <c r="H569" s="7" t="str">
        <f>IFERROR(VLOOKUP($A569,Orders[],MATCH(H$1,Orders[#Headers],0),FALSE),"CHECK")</f>
        <v>Head Office Café</v>
      </c>
      <c r="I569">
        <f>IFERROR(VLOOKUP(OrderLines[[#This Row],[OrderID]],Orders[],MATCH(OrderLines[[#Headers],[DiscountPct]],Orders[#Headers],0),FALSE),"CHECK")</f>
        <v>0.02</v>
      </c>
      <c r="J569" t="str">
        <f>IFERROR(VLOOKUP(OrderLines[[#This Row],[OrderID]],Orders[],MATCH(OrderLines[[#Headers],[Shift]],Orders[#Headers],0),FALSE),"CHECK")</f>
        <v>Dinner</v>
      </c>
      <c r="K569" s="11">
        <f>OrderLines[[#This Row],[Qty]] * OrderLines[[#This Row],[UnitPrice]] * (1-OrderLines[[#This Row],[DiscountPct]])</f>
        <v>159.34800000000001</v>
      </c>
      <c r="L569">
        <f>OrderLines[[#This Row],[Qty]]*OrderLines[[#This Row],[UnitCost]]</f>
        <v>65.849999999999994</v>
      </c>
    </row>
    <row r="570" spans="1:12" x14ac:dyDescent="0.25">
      <c r="A570" t="s">
        <v>260</v>
      </c>
      <c r="B570" t="s">
        <v>413</v>
      </c>
      <c r="C570">
        <v>2</v>
      </c>
      <c r="D570" s="9">
        <f>IFERROR(VLOOKUP($B570,Menu[],MATCH(D$1,Menu[#Headers],0),FALSE),"CHECK")</f>
        <v>54.2</v>
      </c>
      <c r="E570" s="9">
        <f>IFERROR(VLOOKUP($B570,Menu[],MATCH(E$1,Menu[#Headers],0),FALSE),"CHECK")</f>
        <v>21.95</v>
      </c>
      <c r="F570" t="str">
        <f>IFERROR(VLOOKUP($B570,Menu[],MATCH(F$1,Menu[#Headers],0),FALSE),"CHECK")</f>
        <v>Dessert</v>
      </c>
      <c r="G570" s="7">
        <f>IFERROR(INT(VLOOKUP($A570,Orders[],MATCH("OrderDateTime",Orders[#Headers],0),FALSE)),"CHECK")</f>
        <v>45877</v>
      </c>
      <c r="H570" s="7" t="str">
        <f>IFERROR(VLOOKUP($A570,Orders[],MATCH(H$1,Orders[#Headers],0),FALSE),"CHECK")</f>
        <v>Plant 2 Canteen</v>
      </c>
      <c r="I570">
        <f>IFERROR(VLOOKUP(OrderLines[[#This Row],[OrderID]],Orders[],MATCH(OrderLines[[#Headers],[DiscountPct]],Orders[#Headers],0),FALSE),"CHECK")</f>
        <v>0.05</v>
      </c>
      <c r="J570" t="str">
        <f>IFERROR(VLOOKUP(OrderLines[[#This Row],[OrderID]],Orders[],MATCH(OrderLines[[#Headers],[Shift]],Orders[#Headers],0),FALSE),"CHECK")</f>
        <v>Dinner</v>
      </c>
      <c r="K570" s="11">
        <f>OrderLines[[#This Row],[Qty]] * OrderLines[[#This Row],[UnitPrice]] * (1-OrderLines[[#This Row],[DiscountPct]])</f>
        <v>102.98</v>
      </c>
      <c r="L570">
        <f>OrderLines[[#This Row],[Qty]]*OrderLines[[#This Row],[UnitCost]]</f>
        <v>43.9</v>
      </c>
    </row>
    <row r="571" spans="1:12" x14ac:dyDescent="0.25">
      <c r="A571" t="s">
        <v>260</v>
      </c>
      <c r="B571" t="s">
        <v>411</v>
      </c>
      <c r="C571">
        <v>1</v>
      </c>
      <c r="D571" s="9">
        <f>IFERROR(VLOOKUP($B571,Menu[],MATCH(D$1,Menu[#Headers],0),FALSE),"CHECK")</f>
        <v>22.2</v>
      </c>
      <c r="E571" s="9">
        <f>IFERROR(VLOOKUP($B571,Menu[],MATCH(E$1,Menu[#Headers],0),FALSE),"CHECK")</f>
        <v>9.3800000000000008</v>
      </c>
      <c r="F571" t="str">
        <f>IFERROR(VLOOKUP($B571,Menu[],MATCH(F$1,Menu[#Headers],0),FALSE),"CHECK")</f>
        <v>Beverage</v>
      </c>
      <c r="G571" s="7">
        <f>IFERROR(INT(VLOOKUP($A571,Orders[],MATCH("OrderDateTime",Orders[#Headers],0),FALSE)),"CHECK")</f>
        <v>45877</v>
      </c>
      <c r="H571" s="7" t="str">
        <f>IFERROR(VLOOKUP($A571,Orders[],MATCH(H$1,Orders[#Headers],0),FALSE),"CHECK")</f>
        <v>Plant 2 Canteen</v>
      </c>
      <c r="I571">
        <f>IFERROR(VLOOKUP(OrderLines[[#This Row],[OrderID]],Orders[],MATCH(OrderLines[[#Headers],[DiscountPct]],Orders[#Headers],0),FALSE),"CHECK")</f>
        <v>0.05</v>
      </c>
      <c r="J571" t="str">
        <f>IFERROR(VLOOKUP(OrderLines[[#This Row],[OrderID]],Orders[],MATCH(OrderLines[[#Headers],[Shift]],Orders[#Headers],0),FALSE),"CHECK")</f>
        <v>Dinner</v>
      </c>
      <c r="K571" s="11">
        <f>OrderLines[[#This Row],[Qty]] * OrderLines[[#This Row],[UnitPrice]] * (1-OrderLines[[#This Row],[DiscountPct]])</f>
        <v>21.09</v>
      </c>
      <c r="L571">
        <f>OrderLines[[#This Row],[Qty]]*OrderLines[[#This Row],[UnitCost]]</f>
        <v>9.3800000000000008</v>
      </c>
    </row>
    <row r="572" spans="1:12" x14ac:dyDescent="0.25">
      <c r="A572" t="s">
        <v>260</v>
      </c>
      <c r="B572" t="s">
        <v>409</v>
      </c>
      <c r="C572">
        <v>2</v>
      </c>
      <c r="D572" s="9">
        <f>IFERROR(VLOOKUP($B572,Menu[],MATCH(D$1,Menu[#Headers],0),FALSE),"CHECK")</f>
        <v>28.43</v>
      </c>
      <c r="E572" s="9">
        <f>IFERROR(VLOOKUP($B572,Menu[],MATCH(E$1,Menu[#Headers],0),FALSE),"CHECK")</f>
        <v>13.89</v>
      </c>
      <c r="F572" t="str">
        <f>IFERROR(VLOOKUP($B572,Menu[],MATCH(F$1,Menu[#Headers],0),FALSE),"CHECK")</f>
        <v>Beverage</v>
      </c>
      <c r="G572" s="7">
        <f>IFERROR(INT(VLOOKUP($A572,Orders[],MATCH("OrderDateTime",Orders[#Headers],0),FALSE)),"CHECK")</f>
        <v>45877</v>
      </c>
      <c r="H572" s="7" t="str">
        <f>IFERROR(VLOOKUP($A572,Orders[],MATCH(H$1,Orders[#Headers],0),FALSE),"CHECK")</f>
        <v>Plant 2 Canteen</v>
      </c>
      <c r="I572">
        <f>IFERROR(VLOOKUP(OrderLines[[#This Row],[OrderID]],Orders[],MATCH(OrderLines[[#Headers],[DiscountPct]],Orders[#Headers],0),FALSE),"CHECK")</f>
        <v>0.05</v>
      </c>
      <c r="J572" t="str">
        <f>IFERROR(VLOOKUP(OrderLines[[#This Row],[OrderID]],Orders[],MATCH(OrderLines[[#Headers],[Shift]],Orders[#Headers],0),FALSE),"CHECK")</f>
        <v>Dinner</v>
      </c>
      <c r="K572" s="11">
        <f>OrderLines[[#This Row],[Qty]] * OrderLines[[#This Row],[UnitPrice]] * (1-OrderLines[[#This Row],[DiscountPct]])</f>
        <v>54.016999999999996</v>
      </c>
      <c r="L572">
        <f>OrderLines[[#This Row],[Qty]]*OrderLines[[#This Row],[UnitCost]]</f>
        <v>27.78</v>
      </c>
    </row>
    <row r="573" spans="1:12" x14ac:dyDescent="0.25">
      <c r="A573" t="s">
        <v>261</v>
      </c>
      <c r="B573" t="s">
        <v>401</v>
      </c>
      <c r="C573">
        <v>3</v>
      </c>
      <c r="D573" s="9">
        <f>IFERROR(VLOOKUP($B573,Menu[],MATCH(D$1,Menu[#Headers],0),FALSE),"CHECK")</f>
        <v>52.45</v>
      </c>
      <c r="E573" s="9">
        <f>IFERROR(VLOOKUP($B573,Menu[],MATCH(E$1,Menu[#Headers],0),FALSE),"CHECK")</f>
        <v>25.8</v>
      </c>
      <c r="F573" t="str">
        <f>IFERROR(VLOOKUP($B573,Menu[],MATCH(F$1,Menu[#Headers],0),FALSE),"CHECK")</f>
        <v>Snack</v>
      </c>
      <c r="G573" s="7">
        <f>IFERROR(INT(VLOOKUP($A573,Orders[],MATCH("OrderDateTime",Orders[#Headers],0),FALSE)),"CHECK")</f>
        <v>45848</v>
      </c>
      <c r="H573" s="7" t="str">
        <f>IFERROR(VLOOKUP($A573,Orders[],MATCH(H$1,Orders[#Headers],0),FALSE),"CHECK")</f>
        <v>Head Office Café</v>
      </c>
      <c r="I573">
        <f>IFERROR(VLOOKUP(OrderLines[[#This Row],[OrderID]],Orders[],MATCH(OrderLines[[#Headers],[DiscountPct]],Orders[#Headers],0),FALSE),"CHECK")</f>
        <v>0.01</v>
      </c>
      <c r="J573" t="str">
        <f>IFERROR(VLOOKUP(OrderLines[[#This Row],[OrderID]],Orders[],MATCH(OrderLines[[#Headers],[Shift]],Orders[#Headers],0),FALSE),"CHECK")</f>
        <v>Breakfast</v>
      </c>
      <c r="K573" s="11">
        <f>OrderLines[[#This Row],[Qty]] * OrderLines[[#This Row],[UnitPrice]] * (1-OrderLines[[#This Row],[DiscountPct]])</f>
        <v>155.77650000000003</v>
      </c>
      <c r="L573">
        <f>OrderLines[[#This Row],[Qty]]*OrderLines[[#This Row],[UnitCost]]</f>
        <v>77.400000000000006</v>
      </c>
    </row>
    <row r="574" spans="1:12" x14ac:dyDescent="0.25">
      <c r="A574" t="s">
        <v>262</v>
      </c>
      <c r="B574" t="s">
        <v>408</v>
      </c>
      <c r="C574">
        <v>1</v>
      </c>
      <c r="D574" s="9">
        <f>IFERROR(VLOOKUP($B574,Menu[],MATCH(D$1,Menu[#Headers],0),FALSE),"CHECK")</f>
        <v>70.540000000000006</v>
      </c>
      <c r="E574" s="9">
        <f>IFERROR(VLOOKUP($B574,Menu[],MATCH(E$1,Menu[#Headers],0),FALSE),"CHECK")</f>
        <v>35.81</v>
      </c>
      <c r="F574" t="str">
        <f>IFERROR(VLOOKUP($B574,Menu[],MATCH(F$1,Menu[#Headers],0),FALSE),"CHECK")</f>
        <v>Snack</v>
      </c>
      <c r="G574" s="7">
        <f>IFERROR(INT(VLOOKUP($A574,Orders[],MATCH("OrderDateTime",Orders[#Headers],0),FALSE)),"CHECK")</f>
        <v>45844</v>
      </c>
      <c r="H574" s="7" t="str">
        <f>IFERROR(VLOOKUP($A574,Orders[],MATCH(H$1,Orders[#Headers],0),FALSE),"CHECK")</f>
        <v>Plant 2 Canteen</v>
      </c>
      <c r="I574">
        <f>IFERROR(VLOOKUP(OrderLines[[#This Row],[OrderID]],Orders[],MATCH(OrderLines[[#Headers],[DiscountPct]],Orders[#Headers],0),FALSE),"CHECK")</f>
        <v>0.13</v>
      </c>
      <c r="J574" t="str">
        <f>IFERROR(VLOOKUP(OrderLines[[#This Row],[OrderID]],Orders[],MATCH(OrderLines[[#Headers],[Shift]],Orders[#Headers],0),FALSE),"CHECK")</f>
        <v>Breakfast</v>
      </c>
      <c r="K574" s="11">
        <f>OrderLines[[#This Row],[Qty]] * OrderLines[[#This Row],[UnitPrice]] * (1-OrderLines[[#This Row],[DiscountPct]])</f>
        <v>61.369800000000005</v>
      </c>
      <c r="L574">
        <f>OrderLines[[#This Row],[Qty]]*OrderLines[[#This Row],[UnitCost]]</f>
        <v>35.81</v>
      </c>
    </row>
    <row r="575" spans="1:12" x14ac:dyDescent="0.25">
      <c r="A575" t="s">
        <v>262</v>
      </c>
      <c r="B575" t="s">
        <v>409</v>
      </c>
      <c r="C575">
        <v>2</v>
      </c>
      <c r="D575" s="9">
        <f>IFERROR(VLOOKUP($B575,Menu[],MATCH(D$1,Menu[#Headers],0),FALSE),"CHECK")</f>
        <v>28.43</v>
      </c>
      <c r="E575" s="9">
        <f>IFERROR(VLOOKUP($B575,Menu[],MATCH(E$1,Menu[#Headers],0),FALSE),"CHECK")</f>
        <v>13.89</v>
      </c>
      <c r="F575" t="str">
        <f>IFERROR(VLOOKUP($B575,Menu[],MATCH(F$1,Menu[#Headers],0),FALSE),"CHECK")</f>
        <v>Beverage</v>
      </c>
      <c r="G575" s="7">
        <f>IFERROR(INT(VLOOKUP($A575,Orders[],MATCH("OrderDateTime",Orders[#Headers],0),FALSE)),"CHECK")</f>
        <v>45844</v>
      </c>
      <c r="H575" s="7" t="str">
        <f>IFERROR(VLOOKUP($A575,Orders[],MATCH(H$1,Orders[#Headers],0),FALSE),"CHECK")</f>
        <v>Plant 2 Canteen</v>
      </c>
      <c r="I575">
        <f>IFERROR(VLOOKUP(OrderLines[[#This Row],[OrderID]],Orders[],MATCH(OrderLines[[#Headers],[DiscountPct]],Orders[#Headers],0),FALSE),"CHECK")</f>
        <v>0.13</v>
      </c>
      <c r="J575" t="str">
        <f>IFERROR(VLOOKUP(OrderLines[[#This Row],[OrderID]],Orders[],MATCH(OrderLines[[#Headers],[Shift]],Orders[#Headers],0),FALSE),"CHECK")</f>
        <v>Breakfast</v>
      </c>
      <c r="K575" s="11">
        <f>OrderLines[[#This Row],[Qty]] * OrderLines[[#This Row],[UnitPrice]] * (1-OrderLines[[#This Row],[DiscountPct]])</f>
        <v>49.468199999999996</v>
      </c>
      <c r="L575">
        <f>OrderLines[[#This Row],[Qty]]*OrderLines[[#This Row],[UnitCost]]</f>
        <v>27.78</v>
      </c>
    </row>
    <row r="576" spans="1:12" x14ac:dyDescent="0.25">
      <c r="A576" t="s">
        <v>262</v>
      </c>
      <c r="B576" t="s">
        <v>415</v>
      </c>
      <c r="C576">
        <v>3</v>
      </c>
      <c r="D576" s="9">
        <f>IFERROR(VLOOKUP($B576,Menu[],MATCH(D$1,Menu[#Headers],0),FALSE),"CHECK")</f>
        <v>256.91000000000003</v>
      </c>
      <c r="E576" s="9">
        <f>IFERROR(VLOOKUP($B576,Menu[],MATCH(E$1,Menu[#Headers],0),FALSE),"CHECK")</f>
        <v>121.24</v>
      </c>
      <c r="F576" t="str">
        <f>IFERROR(VLOOKUP($B576,Menu[],MATCH(F$1,Menu[#Headers],0),FALSE),"CHECK")</f>
        <v>Hot Meal</v>
      </c>
      <c r="G576" s="7">
        <f>IFERROR(INT(VLOOKUP($A576,Orders[],MATCH("OrderDateTime",Orders[#Headers],0),FALSE)),"CHECK")</f>
        <v>45844</v>
      </c>
      <c r="H576" s="7" t="str">
        <f>IFERROR(VLOOKUP($A576,Orders[],MATCH(H$1,Orders[#Headers],0),FALSE),"CHECK")</f>
        <v>Plant 2 Canteen</v>
      </c>
      <c r="I576">
        <f>IFERROR(VLOOKUP(OrderLines[[#This Row],[OrderID]],Orders[],MATCH(OrderLines[[#Headers],[DiscountPct]],Orders[#Headers],0),FALSE),"CHECK")</f>
        <v>0.13</v>
      </c>
      <c r="J576" t="str">
        <f>IFERROR(VLOOKUP(OrderLines[[#This Row],[OrderID]],Orders[],MATCH(OrderLines[[#Headers],[Shift]],Orders[#Headers],0),FALSE),"CHECK")</f>
        <v>Breakfast</v>
      </c>
      <c r="K576" s="11">
        <f>OrderLines[[#This Row],[Qty]] * OrderLines[[#This Row],[UnitPrice]] * (1-OrderLines[[#This Row],[DiscountPct]])</f>
        <v>670.53510000000006</v>
      </c>
      <c r="L576">
        <f>OrderLines[[#This Row],[Qty]]*OrderLines[[#This Row],[UnitCost]]</f>
        <v>363.71999999999997</v>
      </c>
    </row>
    <row r="577" spans="1:12" x14ac:dyDescent="0.25">
      <c r="A577" t="s">
        <v>262</v>
      </c>
      <c r="B577" t="s">
        <v>402</v>
      </c>
      <c r="C577">
        <v>2</v>
      </c>
      <c r="D577" s="9">
        <f>IFERROR(VLOOKUP($B577,Menu[],MATCH(D$1,Menu[#Headers],0),FALSE),"CHECK")</f>
        <v>30.34</v>
      </c>
      <c r="E577" s="9">
        <f>IFERROR(VLOOKUP($B577,Menu[],MATCH(E$1,Menu[#Headers],0),FALSE),"CHECK")</f>
        <v>14.18</v>
      </c>
      <c r="F577" t="str">
        <f>IFERROR(VLOOKUP($B577,Menu[],MATCH(F$1,Menu[#Headers],0),FALSE),"CHECK")</f>
        <v>Beverage</v>
      </c>
      <c r="G577" s="7">
        <f>IFERROR(INT(VLOOKUP($A577,Orders[],MATCH("OrderDateTime",Orders[#Headers],0),FALSE)),"CHECK")</f>
        <v>45844</v>
      </c>
      <c r="H577" s="7" t="str">
        <f>IFERROR(VLOOKUP($A577,Orders[],MATCH(H$1,Orders[#Headers],0),FALSE),"CHECK")</f>
        <v>Plant 2 Canteen</v>
      </c>
      <c r="I577">
        <f>IFERROR(VLOOKUP(OrderLines[[#This Row],[OrderID]],Orders[],MATCH(OrderLines[[#Headers],[DiscountPct]],Orders[#Headers],0),FALSE),"CHECK")</f>
        <v>0.13</v>
      </c>
      <c r="J577" t="str">
        <f>IFERROR(VLOOKUP(OrderLines[[#This Row],[OrderID]],Orders[],MATCH(OrderLines[[#Headers],[Shift]],Orders[#Headers],0),FALSE),"CHECK")</f>
        <v>Breakfast</v>
      </c>
      <c r="K577" s="11">
        <f>OrderLines[[#This Row],[Qty]] * OrderLines[[#This Row],[UnitPrice]] * (1-OrderLines[[#This Row],[DiscountPct]])</f>
        <v>52.791600000000003</v>
      </c>
      <c r="L577">
        <f>OrderLines[[#This Row],[Qty]]*OrderLines[[#This Row],[UnitCost]]</f>
        <v>28.36</v>
      </c>
    </row>
    <row r="578" spans="1:12" x14ac:dyDescent="0.25">
      <c r="A578" t="s">
        <v>263</v>
      </c>
      <c r="B578" t="s">
        <v>402</v>
      </c>
      <c r="C578">
        <v>1</v>
      </c>
      <c r="D578" s="9">
        <f>IFERROR(VLOOKUP($B578,Menu[],MATCH(D$1,Menu[#Headers],0),FALSE),"CHECK")</f>
        <v>30.34</v>
      </c>
      <c r="E578" s="9">
        <f>IFERROR(VLOOKUP($B578,Menu[],MATCH(E$1,Menu[#Headers],0),FALSE),"CHECK")</f>
        <v>14.18</v>
      </c>
      <c r="F578" t="str">
        <f>IFERROR(VLOOKUP($B578,Menu[],MATCH(F$1,Menu[#Headers],0),FALSE),"CHECK")</f>
        <v>Beverage</v>
      </c>
      <c r="G578" s="7">
        <f>IFERROR(INT(VLOOKUP($A578,Orders[],MATCH("OrderDateTime",Orders[#Headers],0),FALSE)),"CHECK")</f>
        <v>45845</v>
      </c>
      <c r="H578" s="7" t="str">
        <f>IFERROR(VLOOKUP($A578,Orders[],MATCH(H$1,Orders[#Headers],0),FALSE),"CHECK")</f>
        <v>Head Office Café</v>
      </c>
      <c r="I578">
        <f>IFERROR(VLOOKUP(OrderLines[[#This Row],[OrderID]],Orders[],MATCH(OrderLines[[#Headers],[DiscountPct]],Orders[#Headers],0),FALSE),"CHECK")</f>
        <v>0</v>
      </c>
      <c r="J578" t="str">
        <f>IFERROR(VLOOKUP(OrderLines[[#This Row],[OrderID]],Orders[],MATCH(OrderLines[[#Headers],[Shift]],Orders[#Headers],0),FALSE),"CHECK")</f>
        <v>Dinner</v>
      </c>
      <c r="K578" s="11">
        <f>OrderLines[[#This Row],[Qty]] * OrderLines[[#This Row],[UnitPrice]] * (1-OrderLines[[#This Row],[DiscountPct]])</f>
        <v>30.34</v>
      </c>
      <c r="L578">
        <f>OrderLines[[#This Row],[Qty]]*OrderLines[[#This Row],[UnitCost]]</f>
        <v>14.18</v>
      </c>
    </row>
    <row r="579" spans="1:12" x14ac:dyDescent="0.25">
      <c r="A579" t="s">
        <v>263</v>
      </c>
      <c r="B579" t="s">
        <v>417</v>
      </c>
      <c r="C579">
        <v>1</v>
      </c>
      <c r="D579" s="9">
        <f>IFERROR(VLOOKUP($B579,Menu[],MATCH(D$1,Menu[#Headers],0),FALSE),"CHECK")</f>
        <v>146.4</v>
      </c>
      <c r="E579" s="9">
        <f>IFERROR(VLOOKUP($B579,Menu[],MATCH(E$1,Menu[#Headers],0),FALSE),"CHECK")</f>
        <v>80.92</v>
      </c>
      <c r="F579" t="str">
        <f>IFERROR(VLOOKUP($B579,Menu[],MATCH(F$1,Menu[#Headers],0),FALSE),"CHECK")</f>
        <v>Hot Meal</v>
      </c>
      <c r="G579" s="7">
        <f>IFERROR(INT(VLOOKUP($A579,Orders[],MATCH("OrderDateTime",Orders[#Headers],0),FALSE)),"CHECK")</f>
        <v>45845</v>
      </c>
      <c r="H579" s="7" t="str">
        <f>IFERROR(VLOOKUP($A579,Orders[],MATCH(H$1,Orders[#Headers],0),FALSE),"CHECK")</f>
        <v>Head Office Café</v>
      </c>
      <c r="I579">
        <f>IFERROR(VLOOKUP(OrderLines[[#This Row],[OrderID]],Orders[],MATCH(OrderLines[[#Headers],[DiscountPct]],Orders[#Headers],0),FALSE),"CHECK")</f>
        <v>0</v>
      </c>
      <c r="J579" t="str">
        <f>IFERROR(VLOOKUP(OrderLines[[#This Row],[OrderID]],Orders[],MATCH(OrderLines[[#Headers],[Shift]],Orders[#Headers],0),FALSE),"CHECK")</f>
        <v>Dinner</v>
      </c>
      <c r="K579" s="11">
        <f>OrderLines[[#This Row],[Qty]] * OrderLines[[#This Row],[UnitPrice]] * (1-OrderLines[[#This Row],[DiscountPct]])</f>
        <v>146.4</v>
      </c>
      <c r="L579">
        <f>OrderLines[[#This Row],[Qty]]*OrderLines[[#This Row],[UnitCost]]</f>
        <v>80.92</v>
      </c>
    </row>
    <row r="580" spans="1:12" x14ac:dyDescent="0.25">
      <c r="A580" t="s">
        <v>263</v>
      </c>
      <c r="B580" t="s">
        <v>403</v>
      </c>
      <c r="C580">
        <v>2</v>
      </c>
      <c r="D580" s="9">
        <f>IFERROR(VLOOKUP($B580,Menu[],MATCH(D$1,Menu[#Headers],0),FALSE),"CHECK")</f>
        <v>76.55</v>
      </c>
      <c r="E580" s="9">
        <f>IFERROR(VLOOKUP($B580,Menu[],MATCH(E$1,Menu[#Headers],0),FALSE),"CHECK")</f>
        <v>38.229999999999997</v>
      </c>
      <c r="F580" t="str">
        <f>IFERROR(VLOOKUP($B580,Menu[],MATCH(F$1,Menu[#Headers],0),FALSE),"CHECK")</f>
        <v>Dessert</v>
      </c>
      <c r="G580" s="7">
        <f>IFERROR(INT(VLOOKUP($A580,Orders[],MATCH("OrderDateTime",Orders[#Headers],0),FALSE)),"CHECK")</f>
        <v>45845</v>
      </c>
      <c r="H580" s="7" t="str">
        <f>IFERROR(VLOOKUP($A580,Orders[],MATCH(H$1,Orders[#Headers],0),FALSE),"CHECK")</f>
        <v>Head Office Café</v>
      </c>
      <c r="I580">
        <f>IFERROR(VLOOKUP(OrderLines[[#This Row],[OrderID]],Orders[],MATCH(OrderLines[[#Headers],[DiscountPct]],Orders[#Headers],0),FALSE),"CHECK")</f>
        <v>0</v>
      </c>
      <c r="J580" t="str">
        <f>IFERROR(VLOOKUP(OrderLines[[#This Row],[OrderID]],Orders[],MATCH(OrderLines[[#Headers],[Shift]],Orders[#Headers],0),FALSE),"CHECK")</f>
        <v>Dinner</v>
      </c>
      <c r="K580" s="11">
        <f>OrderLines[[#This Row],[Qty]] * OrderLines[[#This Row],[UnitPrice]] * (1-OrderLines[[#This Row],[DiscountPct]])</f>
        <v>153.1</v>
      </c>
      <c r="L580">
        <f>OrderLines[[#This Row],[Qty]]*OrderLines[[#This Row],[UnitCost]]</f>
        <v>76.459999999999994</v>
      </c>
    </row>
    <row r="581" spans="1:12" x14ac:dyDescent="0.25">
      <c r="A581" t="s">
        <v>264</v>
      </c>
      <c r="B581" t="s">
        <v>405</v>
      </c>
      <c r="C581">
        <v>2</v>
      </c>
      <c r="D581" s="9">
        <f>IFERROR(VLOOKUP($B581,Menu[],MATCH(D$1,Menu[#Headers],0),FALSE),"CHECK")</f>
        <v>170.83</v>
      </c>
      <c r="E581" s="9">
        <f>IFERROR(VLOOKUP($B581,Menu[],MATCH(E$1,Menu[#Headers],0),FALSE),"CHECK")</f>
        <v>74.069999999999993</v>
      </c>
      <c r="F581" t="str">
        <f>IFERROR(VLOOKUP($B581,Menu[],MATCH(F$1,Menu[#Headers],0),FALSE),"CHECK")</f>
        <v>Hot Meal</v>
      </c>
      <c r="G581" s="7">
        <f>IFERROR(INT(VLOOKUP($A581,Orders[],MATCH("OrderDateTime",Orders[#Headers],0),FALSE)),"CHECK")</f>
        <v>45861</v>
      </c>
      <c r="H581" s="7" t="str">
        <f>IFERROR(VLOOKUP($A581,Orders[],MATCH(H$1,Orders[#Headers],0),FALSE),"CHECK")</f>
        <v>Plant 2 Canteen</v>
      </c>
      <c r="I581">
        <f>IFERROR(VLOOKUP(OrderLines[[#This Row],[OrderID]],Orders[],MATCH(OrderLines[[#Headers],[DiscountPct]],Orders[#Headers],0),FALSE),"CHECK")</f>
        <v>0.04</v>
      </c>
      <c r="J581" t="str">
        <f>IFERROR(VLOOKUP(OrderLines[[#This Row],[OrderID]],Orders[],MATCH(OrderLines[[#Headers],[Shift]],Orders[#Headers],0),FALSE),"CHECK")</f>
        <v>Dinner</v>
      </c>
      <c r="K581" s="11">
        <f>OrderLines[[#This Row],[Qty]] * OrderLines[[#This Row],[UnitPrice]] * (1-OrderLines[[#This Row],[DiscountPct]])</f>
        <v>327.99360000000001</v>
      </c>
      <c r="L581">
        <f>OrderLines[[#This Row],[Qty]]*OrderLines[[#This Row],[UnitCost]]</f>
        <v>148.13999999999999</v>
      </c>
    </row>
    <row r="582" spans="1:12" x14ac:dyDescent="0.25">
      <c r="A582" t="s">
        <v>264</v>
      </c>
      <c r="B582" t="s">
        <v>413</v>
      </c>
      <c r="C582">
        <v>1</v>
      </c>
      <c r="D582" s="9">
        <f>IFERROR(VLOOKUP($B582,Menu[],MATCH(D$1,Menu[#Headers],0),FALSE),"CHECK")</f>
        <v>54.2</v>
      </c>
      <c r="E582" s="9">
        <f>IFERROR(VLOOKUP($B582,Menu[],MATCH(E$1,Menu[#Headers],0),FALSE),"CHECK")</f>
        <v>21.95</v>
      </c>
      <c r="F582" t="str">
        <f>IFERROR(VLOOKUP($B582,Menu[],MATCH(F$1,Menu[#Headers],0),FALSE),"CHECK")</f>
        <v>Dessert</v>
      </c>
      <c r="G582" s="7">
        <f>IFERROR(INT(VLOOKUP($A582,Orders[],MATCH("OrderDateTime",Orders[#Headers],0),FALSE)),"CHECK")</f>
        <v>45861</v>
      </c>
      <c r="H582" s="7" t="str">
        <f>IFERROR(VLOOKUP($A582,Orders[],MATCH(H$1,Orders[#Headers],0),FALSE),"CHECK")</f>
        <v>Plant 2 Canteen</v>
      </c>
      <c r="I582">
        <f>IFERROR(VLOOKUP(OrderLines[[#This Row],[OrderID]],Orders[],MATCH(OrderLines[[#Headers],[DiscountPct]],Orders[#Headers],0),FALSE),"CHECK")</f>
        <v>0.04</v>
      </c>
      <c r="J582" t="str">
        <f>IFERROR(VLOOKUP(OrderLines[[#This Row],[OrderID]],Orders[],MATCH(OrderLines[[#Headers],[Shift]],Orders[#Headers],0),FALSE),"CHECK")</f>
        <v>Dinner</v>
      </c>
      <c r="K582" s="11">
        <f>OrderLines[[#This Row],[Qty]] * OrderLines[[#This Row],[UnitPrice]] * (1-OrderLines[[#This Row],[DiscountPct]])</f>
        <v>52.032000000000004</v>
      </c>
      <c r="L582">
        <f>OrderLines[[#This Row],[Qty]]*OrderLines[[#This Row],[UnitCost]]</f>
        <v>21.95</v>
      </c>
    </row>
    <row r="583" spans="1:12" x14ac:dyDescent="0.25">
      <c r="A583" t="s">
        <v>265</v>
      </c>
      <c r="B583" t="s">
        <v>413</v>
      </c>
      <c r="C583">
        <v>2</v>
      </c>
      <c r="D583" s="9">
        <f>IFERROR(VLOOKUP($B583,Menu[],MATCH(D$1,Menu[#Headers],0),FALSE),"CHECK")</f>
        <v>54.2</v>
      </c>
      <c r="E583" s="9">
        <f>IFERROR(VLOOKUP($B583,Menu[],MATCH(E$1,Menu[#Headers],0),FALSE),"CHECK")</f>
        <v>21.95</v>
      </c>
      <c r="F583" t="str">
        <f>IFERROR(VLOOKUP($B583,Menu[],MATCH(F$1,Menu[#Headers],0),FALSE),"CHECK")</f>
        <v>Dessert</v>
      </c>
      <c r="G583" s="7">
        <f>IFERROR(INT(VLOOKUP($A583,Orders[],MATCH("OrderDateTime",Orders[#Headers],0),FALSE)),"CHECK")</f>
        <v>45866</v>
      </c>
      <c r="H583" s="7" t="str">
        <f>IFERROR(VLOOKUP($A583,Orders[],MATCH(H$1,Orders[#Headers],0),FALSE),"CHECK")</f>
        <v>Plant 1 Canteen</v>
      </c>
      <c r="I583">
        <f>IFERROR(VLOOKUP(OrderLines[[#This Row],[OrderID]],Orders[],MATCH(OrderLines[[#Headers],[DiscountPct]],Orders[#Headers],0),FALSE),"CHECK")</f>
        <v>7.0000000000000007E-2</v>
      </c>
      <c r="J583" t="str">
        <f>IFERROR(VLOOKUP(OrderLines[[#This Row],[OrderID]],Orders[],MATCH(OrderLines[[#Headers],[Shift]],Orders[#Headers],0),FALSE),"CHECK")</f>
        <v>Breakfast</v>
      </c>
      <c r="K583" s="11">
        <f>OrderLines[[#This Row],[Qty]] * OrderLines[[#This Row],[UnitPrice]] * (1-OrderLines[[#This Row],[DiscountPct]])</f>
        <v>100.812</v>
      </c>
      <c r="L583">
        <f>OrderLines[[#This Row],[Qty]]*OrderLines[[#This Row],[UnitCost]]</f>
        <v>43.9</v>
      </c>
    </row>
    <row r="584" spans="1:12" x14ac:dyDescent="0.25">
      <c r="A584" t="s">
        <v>266</v>
      </c>
      <c r="B584" t="s">
        <v>407</v>
      </c>
      <c r="C584">
        <v>1</v>
      </c>
      <c r="D584" s="9">
        <f>IFERROR(VLOOKUP($B584,Menu[],MATCH(D$1,Menu[#Headers],0),FALSE),"CHECK")</f>
        <v>246.09</v>
      </c>
      <c r="E584" s="9">
        <f>IFERROR(VLOOKUP($B584,Menu[],MATCH(E$1,Menu[#Headers],0),FALSE),"CHECK")</f>
        <v>112.08</v>
      </c>
      <c r="F584" t="str">
        <f>IFERROR(VLOOKUP($B584,Menu[],MATCH(F$1,Menu[#Headers],0),FALSE),"CHECK")</f>
        <v>Hot Meal</v>
      </c>
      <c r="G584" s="7">
        <f>IFERROR(INT(VLOOKUP($A584,Orders[],MATCH("OrderDateTime",Orders[#Headers],0),FALSE)),"CHECK")</f>
        <v>45856</v>
      </c>
      <c r="H584" s="7" t="str">
        <f>IFERROR(VLOOKUP($A584,Orders[],MATCH(H$1,Orders[#Headers],0),FALSE),"CHECK")</f>
        <v>Plant 1 Canteen</v>
      </c>
      <c r="I584">
        <f>IFERROR(VLOOKUP(OrderLines[[#This Row],[OrderID]],Orders[],MATCH(OrderLines[[#Headers],[DiscountPct]],Orders[#Headers],0),FALSE),"CHECK")</f>
        <v>0.12</v>
      </c>
      <c r="J584" t="str">
        <f>IFERROR(VLOOKUP(OrderLines[[#This Row],[OrderID]],Orders[],MATCH(OrderLines[[#Headers],[Shift]],Orders[#Headers],0),FALSE),"CHECK")</f>
        <v>Breakfast</v>
      </c>
      <c r="K584" s="11">
        <f>OrderLines[[#This Row],[Qty]] * OrderLines[[#This Row],[UnitPrice]] * (1-OrderLines[[#This Row],[DiscountPct]])</f>
        <v>216.5592</v>
      </c>
      <c r="L584">
        <f>OrderLines[[#This Row],[Qty]]*OrderLines[[#This Row],[UnitCost]]</f>
        <v>112.08</v>
      </c>
    </row>
    <row r="585" spans="1:12" x14ac:dyDescent="0.25">
      <c r="A585" t="s">
        <v>266</v>
      </c>
      <c r="B585" t="s">
        <v>413</v>
      </c>
      <c r="C585">
        <v>3</v>
      </c>
      <c r="D585" s="9">
        <f>IFERROR(VLOOKUP($B585,Menu[],MATCH(D$1,Menu[#Headers],0),FALSE),"CHECK")</f>
        <v>54.2</v>
      </c>
      <c r="E585" s="9">
        <f>IFERROR(VLOOKUP($B585,Menu[],MATCH(E$1,Menu[#Headers],0),FALSE),"CHECK")</f>
        <v>21.95</v>
      </c>
      <c r="F585" t="str">
        <f>IFERROR(VLOOKUP($B585,Menu[],MATCH(F$1,Menu[#Headers],0),FALSE),"CHECK")</f>
        <v>Dessert</v>
      </c>
      <c r="G585" s="7">
        <f>IFERROR(INT(VLOOKUP($A585,Orders[],MATCH("OrderDateTime",Orders[#Headers],0),FALSE)),"CHECK")</f>
        <v>45856</v>
      </c>
      <c r="H585" s="7" t="str">
        <f>IFERROR(VLOOKUP($A585,Orders[],MATCH(H$1,Orders[#Headers],0),FALSE),"CHECK")</f>
        <v>Plant 1 Canteen</v>
      </c>
      <c r="I585">
        <f>IFERROR(VLOOKUP(OrderLines[[#This Row],[OrderID]],Orders[],MATCH(OrderLines[[#Headers],[DiscountPct]],Orders[#Headers],0),FALSE),"CHECK")</f>
        <v>0.12</v>
      </c>
      <c r="J585" t="str">
        <f>IFERROR(VLOOKUP(OrderLines[[#This Row],[OrderID]],Orders[],MATCH(OrderLines[[#Headers],[Shift]],Orders[#Headers],0),FALSE),"CHECK")</f>
        <v>Breakfast</v>
      </c>
      <c r="K585" s="11">
        <f>OrderLines[[#This Row],[Qty]] * OrderLines[[#This Row],[UnitPrice]] * (1-OrderLines[[#This Row],[DiscountPct]])</f>
        <v>143.08800000000002</v>
      </c>
      <c r="L585">
        <f>OrderLines[[#This Row],[Qty]]*OrderLines[[#This Row],[UnitCost]]</f>
        <v>65.849999999999994</v>
      </c>
    </row>
    <row r="586" spans="1:12" x14ac:dyDescent="0.25">
      <c r="A586" t="s">
        <v>266</v>
      </c>
      <c r="B586" t="s">
        <v>408</v>
      </c>
      <c r="C586">
        <v>1</v>
      </c>
      <c r="D586" s="9">
        <f>IFERROR(VLOOKUP($B586,Menu[],MATCH(D$1,Menu[#Headers],0),FALSE),"CHECK")</f>
        <v>70.540000000000006</v>
      </c>
      <c r="E586" s="9">
        <f>IFERROR(VLOOKUP($B586,Menu[],MATCH(E$1,Menu[#Headers],0),FALSE),"CHECK")</f>
        <v>35.81</v>
      </c>
      <c r="F586" t="str">
        <f>IFERROR(VLOOKUP($B586,Menu[],MATCH(F$1,Menu[#Headers],0),FALSE),"CHECK")</f>
        <v>Snack</v>
      </c>
      <c r="G586" s="7">
        <f>IFERROR(INT(VLOOKUP($A586,Orders[],MATCH("OrderDateTime",Orders[#Headers],0),FALSE)),"CHECK")</f>
        <v>45856</v>
      </c>
      <c r="H586" s="7" t="str">
        <f>IFERROR(VLOOKUP($A586,Orders[],MATCH(H$1,Orders[#Headers],0),FALSE),"CHECK")</f>
        <v>Plant 1 Canteen</v>
      </c>
      <c r="I586">
        <f>IFERROR(VLOOKUP(OrderLines[[#This Row],[OrderID]],Orders[],MATCH(OrderLines[[#Headers],[DiscountPct]],Orders[#Headers],0),FALSE),"CHECK")</f>
        <v>0.12</v>
      </c>
      <c r="J586" t="str">
        <f>IFERROR(VLOOKUP(OrderLines[[#This Row],[OrderID]],Orders[],MATCH(OrderLines[[#Headers],[Shift]],Orders[#Headers],0),FALSE),"CHECK")</f>
        <v>Breakfast</v>
      </c>
      <c r="K586" s="11">
        <f>OrderLines[[#This Row],[Qty]] * OrderLines[[#This Row],[UnitPrice]] * (1-OrderLines[[#This Row],[DiscountPct]])</f>
        <v>62.075200000000002</v>
      </c>
      <c r="L586">
        <f>OrderLines[[#This Row],[Qty]]*OrderLines[[#This Row],[UnitCost]]</f>
        <v>35.81</v>
      </c>
    </row>
    <row r="587" spans="1:12" x14ac:dyDescent="0.25">
      <c r="A587" t="s">
        <v>266</v>
      </c>
      <c r="B587" t="s">
        <v>406</v>
      </c>
      <c r="C587">
        <v>1</v>
      </c>
      <c r="D587" s="9">
        <f>IFERROR(VLOOKUP($B587,Menu[],MATCH(D$1,Menu[#Headers],0),FALSE),"CHECK")</f>
        <v>38.06</v>
      </c>
      <c r="E587" s="9">
        <f>IFERROR(VLOOKUP($B587,Menu[],MATCH(E$1,Menu[#Headers],0),FALSE),"CHECK")</f>
        <v>19.55</v>
      </c>
      <c r="F587" t="str">
        <f>IFERROR(VLOOKUP($B587,Menu[],MATCH(F$1,Menu[#Headers],0),FALSE),"CHECK")</f>
        <v>Snack</v>
      </c>
      <c r="G587" s="7">
        <f>IFERROR(INT(VLOOKUP($A587,Orders[],MATCH("OrderDateTime",Orders[#Headers],0),FALSE)),"CHECK")</f>
        <v>45856</v>
      </c>
      <c r="H587" s="7" t="str">
        <f>IFERROR(VLOOKUP($A587,Orders[],MATCH(H$1,Orders[#Headers],0),FALSE),"CHECK")</f>
        <v>Plant 1 Canteen</v>
      </c>
      <c r="I587">
        <f>IFERROR(VLOOKUP(OrderLines[[#This Row],[OrderID]],Orders[],MATCH(OrderLines[[#Headers],[DiscountPct]],Orders[#Headers],0),FALSE),"CHECK")</f>
        <v>0.12</v>
      </c>
      <c r="J587" t="str">
        <f>IFERROR(VLOOKUP(OrderLines[[#This Row],[OrderID]],Orders[],MATCH(OrderLines[[#Headers],[Shift]],Orders[#Headers],0),FALSE),"CHECK")</f>
        <v>Breakfast</v>
      </c>
      <c r="K587" s="11">
        <f>OrderLines[[#This Row],[Qty]] * OrderLines[[#This Row],[UnitPrice]] * (1-OrderLines[[#This Row],[DiscountPct]])</f>
        <v>33.492800000000003</v>
      </c>
      <c r="L587">
        <f>OrderLines[[#This Row],[Qty]]*OrderLines[[#This Row],[UnitCost]]</f>
        <v>19.55</v>
      </c>
    </row>
    <row r="588" spans="1:12" x14ac:dyDescent="0.25">
      <c r="A588" t="s">
        <v>267</v>
      </c>
      <c r="B588" t="s">
        <v>405</v>
      </c>
      <c r="C588">
        <v>1</v>
      </c>
      <c r="D588" s="9">
        <f>IFERROR(VLOOKUP($B588,Menu[],MATCH(D$1,Menu[#Headers],0),FALSE),"CHECK")</f>
        <v>170.83</v>
      </c>
      <c r="E588" s="9">
        <f>IFERROR(VLOOKUP($B588,Menu[],MATCH(E$1,Menu[#Headers],0),FALSE),"CHECK")</f>
        <v>74.069999999999993</v>
      </c>
      <c r="F588" t="str">
        <f>IFERROR(VLOOKUP($B588,Menu[],MATCH(F$1,Menu[#Headers],0),FALSE),"CHECK")</f>
        <v>Hot Meal</v>
      </c>
      <c r="G588" s="7">
        <f>IFERROR(INT(VLOOKUP($A588,Orders[],MATCH("OrderDateTime",Orders[#Headers],0),FALSE)),"CHECK")</f>
        <v>45840</v>
      </c>
      <c r="H588" s="7" t="str">
        <f>IFERROR(VLOOKUP($A588,Orders[],MATCH(H$1,Orders[#Headers],0),FALSE),"CHECK")</f>
        <v>Plant 2 Canteen</v>
      </c>
      <c r="I588">
        <f>IFERROR(VLOOKUP(OrderLines[[#This Row],[OrderID]],Orders[],MATCH(OrderLines[[#Headers],[DiscountPct]],Orders[#Headers],0),FALSE),"CHECK")</f>
        <v>0</v>
      </c>
      <c r="J588" t="str">
        <f>IFERROR(VLOOKUP(OrderLines[[#This Row],[OrderID]],Orders[],MATCH(OrderLines[[#Headers],[Shift]],Orders[#Headers],0),FALSE),"CHECK")</f>
        <v>Dinner</v>
      </c>
      <c r="K588" s="11">
        <f>OrderLines[[#This Row],[Qty]] * OrderLines[[#This Row],[UnitPrice]] * (1-OrderLines[[#This Row],[DiscountPct]])</f>
        <v>170.83</v>
      </c>
      <c r="L588">
        <f>OrderLines[[#This Row],[Qty]]*OrderLines[[#This Row],[UnitCost]]</f>
        <v>74.069999999999993</v>
      </c>
    </row>
    <row r="589" spans="1:12" x14ac:dyDescent="0.25">
      <c r="A589" t="s">
        <v>267</v>
      </c>
      <c r="B589" t="s">
        <v>409</v>
      </c>
      <c r="C589">
        <v>1</v>
      </c>
      <c r="D589" s="9">
        <f>IFERROR(VLOOKUP($B589,Menu[],MATCH(D$1,Menu[#Headers],0),FALSE),"CHECK")</f>
        <v>28.43</v>
      </c>
      <c r="E589" s="9">
        <f>IFERROR(VLOOKUP($B589,Menu[],MATCH(E$1,Menu[#Headers],0),FALSE),"CHECK")</f>
        <v>13.89</v>
      </c>
      <c r="F589" t="str">
        <f>IFERROR(VLOOKUP($B589,Menu[],MATCH(F$1,Menu[#Headers],0),FALSE),"CHECK")</f>
        <v>Beverage</v>
      </c>
      <c r="G589" s="7">
        <f>IFERROR(INT(VLOOKUP($A589,Orders[],MATCH("OrderDateTime",Orders[#Headers],0),FALSE)),"CHECK")</f>
        <v>45840</v>
      </c>
      <c r="H589" s="7" t="str">
        <f>IFERROR(VLOOKUP($A589,Orders[],MATCH(H$1,Orders[#Headers],0),FALSE),"CHECK")</f>
        <v>Plant 2 Canteen</v>
      </c>
      <c r="I589">
        <f>IFERROR(VLOOKUP(OrderLines[[#This Row],[OrderID]],Orders[],MATCH(OrderLines[[#Headers],[DiscountPct]],Orders[#Headers],0),FALSE),"CHECK")</f>
        <v>0</v>
      </c>
      <c r="J589" t="str">
        <f>IFERROR(VLOOKUP(OrderLines[[#This Row],[OrderID]],Orders[],MATCH(OrderLines[[#Headers],[Shift]],Orders[#Headers],0),FALSE),"CHECK")</f>
        <v>Dinner</v>
      </c>
      <c r="K589" s="11">
        <f>OrderLines[[#This Row],[Qty]] * OrderLines[[#This Row],[UnitPrice]] * (1-OrderLines[[#This Row],[DiscountPct]])</f>
        <v>28.43</v>
      </c>
      <c r="L589">
        <f>OrderLines[[#This Row],[Qty]]*OrderLines[[#This Row],[UnitCost]]</f>
        <v>13.89</v>
      </c>
    </row>
    <row r="590" spans="1:12" x14ac:dyDescent="0.25">
      <c r="A590" t="s">
        <v>268</v>
      </c>
      <c r="B590" t="s">
        <v>414</v>
      </c>
      <c r="C590">
        <v>1</v>
      </c>
      <c r="D590" s="9">
        <f>IFERROR(VLOOKUP($B590,Menu[],MATCH(D$1,Menu[#Headers],0),FALSE),"CHECK")</f>
        <v>116.8</v>
      </c>
      <c r="E590" s="9">
        <f>IFERROR(VLOOKUP($B590,Menu[],MATCH(E$1,Menu[#Headers],0),FALSE),"CHECK")</f>
        <v>48.97</v>
      </c>
      <c r="F590" t="str">
        <f>IFERROR(VLOOKUP($B590,Menu[],MATCH(F$1,Menu[#Headers],0),FALSE),"CHECK")</f>
        <v>Dessert</v>
      </c>
      <c r="G590" s="7">
        <f>IFERROR(INT(VLOOKUP($A590,Orders[],MATCH("OrderDateTime",Orders[#Headers],0),FALSE)),"CHECK")</f>
        <v>45840</v>
      </c>
      <c r="H590" s="7" t="str">
        <f>IFERROR(VLOOKUP($A590,Orders[],MATCH(H$1,Orders[#Headers],0),FALSE),"CHECK")</f>
        <v>Plant 1 Canteen</v>
      </c>
      <c r="I590">
        <f>IFERROR(VLOOKUP(OrderLines[[#This Row],[OrderID]],Orders[],MATCH(OrderLines[[#Headers],[DiscountPct]],Orders[#Headers],0),FALSE),"CHECK")</f>
        <v>0.11</v>
      </c>
      <c r="J590" t="str">
        <f>IFERROR(VLOOKUP(OrderLines[[#This Row],[OrderID]],Orders[],MATCH(OrderLines[[#Headers],[Shift]],Orders[#Headers],0),FALSE),"CHECK")</f>
        <v>Dinner</v>
      </c>
      <c r="K590" s="11">
        <f>OrderLines[[#This Row],[Qty]] * OrderLines[[#This Row],[UnitPrice]] * (1-OrderLines[[#This Row],[DiscountPct]])</f>
        <v>103.952</v>
      </c>
      <c r="L590">
        <f>OrderLines[[#This Row],[Qty]]*OrderLines[[#This Row],[UnitCost]]</f>
        <v>48.97</v>
      </c>
    </row>
    <row r="591" spans="1:12" x14ac:dyDescent="0.25">
      <c r="A591" t="s">
        <v>268</v>
      </c>
      <c r="B591" t="s">
        <v>401</v>
      </c>
      <c r="C591">
        <v>2</v>
      </c>
      <c r="D591" s="9">
        <f>IFERROR(VLOOKUP($B591,Menu[],MATCH(D$1,Menu[#Headers],0),FALSE),"CHECK")</f>
        <v>52.45</v>
      </c>
      <c r="E591" s="9">
        <f>IFERROR(VLOOKUP($B591,Menu[],MATCH(E$1,Menu[#Headers],0),FALSE),"CHECK")</f>
        <v>25.8</v>
      </c>
      <c r="F591" t="str">
        <f>IFERROR(VLOOKUP($B591,Menu[],MATCH(F$1,Menu[#Headers],0),FALSE),"CHECK")</f>
        <v>Snack</v>
      </c>
      <c r="G591" s="7">
        <f>IFERROR(INT(VLOOKUP($A591,Orders[],MATCH("OrderDateTime",Orders[#Headers],0),FALSE)),"CHECK")</f>
        <v>45840</v>
      </c>
      <c r="H591" s="7" t="str">
        <f>IFERROR(VLOOKUP($A591,Orders[],MATCH(H$1,Orders[#Headers],0),FALSE),"CHECK")</f>
        <v>Plant 1 Canteen</v>
      </c>
      <c r="I591">
        <f>IFERROR(VLOOKUP(OrderLines[[#This Row],[OrderID]],Orders[],MATCH(OrderLines[[#Headers],[DiscountPct]],Orders[#Headers],0),FALSE),"CHECK")</f>
        <v>0.11</v>
      </c>
      <c r="J591" t="str">
        <f>IFERROR(VLOOKUP(OrderLines[[#This Row],[OrderID]],Orders[],MATCH(OrderLines[[#Headers],[Shift]],Orders[#Headers],0),FALSE),"CHECK")</f>
        <v>Dinner</v>
      </c>
      <c r="K591" s="11">
        <f>OrderLines[[#This Row],[Qty]] * OrderLines[[#This Row],[UnitPrice]] * (1-OrderLines[[#This Row],[DiscountPct]])</f>
        <v>93.361000000000004</v>
      </c>
      <c r="L591">
        <f>OrderLines[[#This Row],[Qty]]*OrderLines[[#This Row],[UnitCost]]</f>
        <v>51.6</v>
      </c>
    </row>
    <row r="592" spans="1:12" x14ac:dyDescent="0.25">
      <c r="A592" t="s">
        <v>268</v>
      </c>
      <c r="B592" t="s">
        <v>404</v>
      </c>
      <c r="C592">
        <v>2</v>
      </c>
      <c r="D592" s="9">
        <f>IFERROR(VLOOKUP($B592,Menu[],MATCH(D$1,Menu[#Headers],0),FALSE),"CHECK")</f>
        <v>32.979999999999997</v>
      </c>
      <c r="E592" s="9">
        <f>IFERROR(VLOOKUP($B592,Menu[],MATCH(E$1,Menu[#Headers],0),FALSE),"CHECK")</f>
        <v>11.84</v>
      </c>
      <c r="F592" t="str">
        <f>IFERROR(VLOOKUP($B592,Menu[],MATCH(F$1,Menu[#Headers],0),FALSE),"CHECK")</f>
        <v>Beverage</v>
      </c>
      <c r="G592" s="7">
        <f>IFERROR(INT(VLOOKUP($A592,Orders[],MATCH("OrderDateTime",Orders[#Headers],0),FALSE)),"CHECK")</f>
        <v>45840</v>
      </c>
      <c r="H592" s="7" t="str">
        <f>IFERROR(VLOOKUP($A592,Orders[],MATCH(H$1,Orders[#Headers],0),FALSE),"CHECK")</f>
        <v>Plant 1 Canteen</v>
      </c>
      <c r="I592">
        <f>IFERROR(VLOOKUP(OrderLines[[#This Row],[OrderID]],Orders[],MATCH(OrderLines[[#Headers],[DiscountPct]],Orders[#Headers],0),FALSE),"CHECK")</f>
        <v>0.11</v>
      </c>
      <c r="J592" t="str">
        <f>IFERROR(VLOOKUP(OrderLines[[#This Row],[OrderID]],Orders[],MATCH(OrderLines[[#Headers],[Shift]],Orders[#Headers],0),FALSE),"CHECK")</f>
        <v>Dinner</v>
      </c>
      <c r="K592" s="11">
        <f>OrderLines[[#This Row],[Qty]] * OrderLines[[#This Row],[UnitPrice]] * (1-OrderLines[[#This Row],[DiscountPct]])</f>
        <v>58.704399999999993</v>
      </c>
      <c r="L592">
        <f>OrderLines[[#This Row],[Qty]]*OrderLines[[#This Row],[UnitCost]]</f>
        <v>23.68</v>
      </c>
    </row>
    <row r="593" spans="1:12" x14ac:dyDescent="0.25">
      <c r="A593" t="s">
        <v>268</v>
      </c>
      <c r="B593" t="s">
        <v>403</v>
      </c>
      <c r="C593">
        <v>3</v>
      </c>
      <c r="D593" s="9">
        <f>IFERROR(VLOOKUP($B593,Menu[],MATCH(D$1,Menu[#Headers],0),FALSE),"CHECK")</f>
        <v>76.55</v>
      </c>
      <c r="E593" s="9">
        <f>IFERROR(VLOOKUP($B593,Menu[],MATCH(E$1,Menu[#Headers],0),FALSE),"CHECK")</f>
        <v>38.229999999999997</v>
      </c>
      <c r="F593" t="str">
        <f>IFERROR(VLOOKUP($B593,Menu[],MATCH(F$1,Menu[#Headers],0),FALSE),"CHECK")</f>
        <v>Dessert</v>
      </c>
      <c r="G593" s="7">
        <f>IFERROR(INT(VLOOKUP($A593,Orders[],MATCH("OrderDateTime",Orders[#Headers],0),FALSE)),"CHECK")</f>
        <v>45840</v>
      </c>
      <c r="H593" s="7" t="str">
        <f>IFERROR(VLOOKUP($A593,Orders[],MATCH(H$1,Orders[#Headers],0),FALSE),"CHECK")</f>
        <v>Plant 1 Canteen</v>
      </c>
      <c r="I593">
        <f>IFERROR(VLOOKUP(OrderLines[[#This Row],[OrderID]],Orders[],MATCH(OrderLines[[#Headers],[DiscountPct]],Orders[#Headers],0),FALSE),"CHECK")</f>
        <v>0.11</v>
      </c>
      <c r="J593" t="str">
        <f>IFERROR(VLOOKUP(OrderLines[[#This Row],[OrderID]],Orders[],MATCH(OrderLines[[#Headers],[Shift]],Orders[#Headers],0),FALSE),"CHECK")</f>
        <v>Dinner</v>
      </c>
      <c r="K593" s="11">
        <f>OrderLines[[#This Row],[Qty]] * OrderLines[[#This Row],[UnitPrice]] * (1-OrderLines[[#This Row],[DiscountPct]])</f>
        <v>204.38849999999999</v>
      </c>
      <c r="L593">
        <f>OrderLines[[#This Row],[Qty]]*OrderLines[[#This Row],[UnitCost]]</f>
        <v>114.69</v>
      </c>
    </row>
    <row r="594" spans="1:12" x14ac:dyDescent="0.25">
      <c r="A594" t="s">
        <v>269</v>
      </c>
      <c r="B594" t="s">
        <v>411</v>
      </c>
      <c r="C594">
        <v>1</v>
      </c>
      <c r="D594" s="9">
        <f>IFERROR(VLOOKUP($B594,Menu[],MATCH(D$1,Menu[#Headers],0),FALSE),"CHECK")</f>
        <v>22.2</v>
      </c>
      <c r="E594" s="9">
        <f>IFERROR(VLOOKUP($B594,Menu[],MATCH(E$1,Menu[#Headers],0),FALSE),"CHECK")</f>
        <v>9.3800000000000008</v>
      </c>
      <c r="F594" t="str">
        <f>IFERROR(VLOOKUP($B594,Menu[],MATCH(F$1,Menu[#Headers],0),FALSE),"CHECK")</f>
        <v>Beverage</v>
      </c>
      <c r="G594" s="7">
        <f>IFERROR(INT(VLOOKUP($A594,Orders[],MATCH("OrderDateTime",Orders[#Headers],0),FALSE)),"CHECK")</f>
        <v>45880</v>
      </c>
      <c r="H594" s="7" t="str">
        <f>IFERROR(VLOOKUP($A594,Orders[],MATCH(H$1,Orders[#Headers],0),FALSE),"CHECK")</f>
        <v>Head Office Café</v>
      </c>
      <c r="I594">
        <f>IFERROR(VLOOKUP(OrderLines[[#This Row],[OrderID]],Orders[],MATCH(OrderLines[[#Headers],[DiscountPct]],Orders[#Headers],0),FALSE),"CHECK")</f>
        <v>0.06</v>
      </c>
      <c r="J594" t="str">
        <f>IFERROR(VLOOKUP(OrderLines[[#This Row],[OrderID]],Orders[],MATCH(OrderLines[[#Headers],[Shift]],Orders[#Headers],0),FALSE),"CHECK")</f>
        <v>Breakfast</v>
      </c>
      <c r="K594" s="11">
        <f>OrderLines[[#This Row],[Qty]] * OrderLines[[#This Row],[UnitPrice]] * (1-OrderLines[[#This Row],[DiscountPct]])</f>
        <v>20.867999999999999</v>
      </c>
      <c r="L594">
        <f>OrderLines[[#This Row],[Qty]]*OrderLines[[#This Row],[UnitCost]]</f>
        <v>9.3800000000000008</v>
      </c>
    </row>
    <row r="595" spans="1:12" x14ac:dyDescent="0.25">
      <c r="A595" t="s">
        <v>269</v>
      </c>
      <c r="B595" t="s">
        <v>407</v>
      </c>
      <c r="C595">
        <v>2</v>
      </c>
      <c r="D595" s="9">
        <f>IFERROR(VLOOKUP($B595,Menu[],MATCH(D$1,Menu[#Headers],0),FALSE),"CHECK")</f>
        <v>246.09</v>
      </c>
      <c r="E595" s="9">
        <f>IFERROR(VLOOKUP($B595,Menu[],MATCH(E$1,Menu[#Headers],0),FALSE),"CHECK")</f>
        <v>112.08</v>
      </c>
      <c r="F595" t="str">
        <f>IFERROR(VLOOKUP($B595,Menu[],MATCH(F$1,Menu[#Headers],0),FALSE),"CHECK")</f>
        <v>Hot Meal</v>
      </c>
      <c r="G595" s="7">
        <f>IFERROR(INT(VLOOKUP($A595,Orders[],MATCH("OrderDateTime",Orders[#Headers],0),FALSE)),"CHECK")</f>
        <v>45880</v>
      </c>
      <c r="H595" s="7" t="str">
        <f>IFERROR(VLOOKUP($A595,Orders[],MATCH(H$1,Orders[#Headers],0),FALSE),"CHECK")</f>
        <v>Head Office Café</v>
      </c>
      <c r="I595">
        <f>IFERROR(VLOOKUP(OrderLines[[#This Row],[OrderID]],Orders[],MATCH(OrderLines[[#Headers],[DiscountPct]],Orders[#Headers],0),FALSE),"CHECK")</f>
        <v>0.06</v>
      </c>
      <c r="J595" t="str">
        <f>IFERROR(VLOOKUP(OrderLines[[#This Row],[OrderID]],Orders[],MATCH(OrderLines[[#Headers],[Shift]],Orders[#Headers],0),FALSE),"CHECK")</f>
        <v>Breakfast</v>
      </c>
      <c r="K595" s="11">
        <f>OrderLines[[#This Row],[Qty]] * OrderLines[[#This Row],[UnitPrice]] * (1-OrderLines[[#This Row],[DiscountPct]])</f>
        <v>462.64920000000001</v>
      </c>
      <c r="L595">
        <f>OrderLines[[#This Row],[Qty]]*OrderLines[[#This Row],[UnitCost]]</f>
        <v>224.16</v>
      </c>
    </row>
    <row r="596" spans="1:12" x14ac:dyDescent="0.25">
      <c r="A596" t="s">
        <v>270</v>
      </c>
      <c r="B596" t="s">
        <v>419</v>
      </c>
      <c r="C596">
        <v>2</v>
      </c>
      <c r="D596" s="9">
        <f>IFERROR(VLOOKUP($B596,Menu[],MATCH(D$1,Menu[#Headers],0),FALSE),"CHECK")</f>
        <v>50.19</v>
      </c>
      <c r="E596" s="9">
        <f>IFERROR(VLOOKUP($B596,Menu[],MATCH(E$1,Menu[#Headers],0),FALSE),"CHECK")</f>
        <v>22.61</v>
      </c>
      <c r="F596" t="str">
        <f>IFERROR(VLOOKUP($B596,Menu[],MATCH(F$1,Menu[#Headers],0),FALSE),"CHECK")</f>
        <v>Snack</v>
      </c>
      <c r="G596" s="7">
        <f>IFERROR(INT(VLOOKUP($A596,Orders[],MATCH("OrderDateTime",Orders[#Headers],0),FALSE)),"CHECK")</f>
        <v>45885</v>
      </c>
      <c r="H596" s="7" t="str">
        <f>IFERROR(VLOOKUP($A596,Orders[],MATCH(H$1,Orders[#Headers],0),FALSE),"CHECK")</f>
        <v>Plant 2 Canteen</v>
      </c>
      <c r="I596">
        <f>IFERROR(VLOOKUP(OrderLines[[#This Row],[OrderID]],Orders[],MATCH(OrderLines[[#Headers],[DiscountPct]],Orders[#Headers],0),FALSE),"CHECK")</f>
        <v>0.02</v>
      </c>
      <c r="J596" t="str">
        <f>IFERROR(VLOOKUP(OrderLines[[#This Row],[OrderID]],Orders[],MATCH(OrderLines[[#Headers],[Shift]],Orders[#Headers],0),FALSE),"CHECK")</f>
        <v>Lunch</v>
      </c>
      <c r="K596" s="11">
        <f>OrderLines[[#This Row],[Qty]] * OrderLines[[#This Row],[UnitPrice]] * (1-OrderLines[[#This Row],[DiscountPct]])</f>
        <v>98.372399999999999</v>
      </c>
      <c r="L596">
        <f>OrderLines[[#This Row],[Qty]]*OrderLines[[#This Row],[UnitCost]]</f>
        <v>45.22</v>
      </c>
    </row>
    <row r="597" spans="1:12" x14ac:dyDescent="0.25">
      <c r="A597" t="s">
        <v>270</v>
      </c>
      <c r="B597" t="s">
        <v>402</v>
      </c>
      <c r="C597">
        <v>1</v>
      </c>
      <c r="D597" s="9">
        <f>IFERROR(VLOOKUP($B597,Menu[],MATCH(D$1,Menu[#Headers],0),FALSE),"CHECK")</f>
        <v>30.34</v>
      </c>
      <c r="E597" s="9">
        <f>IFERROR(VLOOKUP($B597,Menu[],MATCH(E$1,Menu[#Headers],0),FALSE),"CHECK")</f>
        <v>14.18</v>
      </c>
      <c r="F597" t="str">
        <f>IFERROR(VLOOKUP($B597,Menu[],MATCH(F$1,Menu[#Headers],0),FALSE),"CHECK")</f>
        <v>Beverage</v>
      </c>
      <c r="G597" s="7">
        <f>IFERROR(INT(VLOOKUP($A597,Orders[],MATCH("OrderDateTime",Orders[#Headers],0),FALSE)),"CHECK")</f>
        <v>45885</v>
      </c>
      <c r="H597" s="7" t="str">
        <f>IFERROR(VLOOKUP($A597,Orders[],MATCH(H$1,Orders[#Headers],0),FALSE),"CHECK")</f>
        <v>Plant 2 Canteen</v>
      </c>
      <c r="I597">
        <f>IFERROR(VLOOKUP(OrderLines[[#This Row],[OrderID]],Orders[],MATCH(OrderLines[[#Headers],[DiscountPct]],Orders[#Headers],0),FALSE),"CHECK")</f>
        <v>0.02</v>
      </c>
      <c r="J597" t="str">
        <f>IFERROR(VLOOKUP(OrderLines[[#This Row],[OrderID]],Orders[],MATCH(OrderLines[[#Headers],[Shift]],Orders[#Headers],0),FALSE),"CHECK")</f>
        <v>Lunch</v>
      </c>
      <c r="K597" s="11">
        <f>OrderLines[[#This Row],[Qty]] * OrderLines[[#This Row],[UnitPrice]] * (1-OrderLines[[#This Row],[DiscountPct]])</f>
        <v>29.7332</v>
      </c>
      <c r="L597">
        <f>OrderLines[[#This Row],[Qty]]*OrderLines[[#This Row],[UnitCost]]</f>
        <v>14.18</v>
      </c>
    </row>
    <row r="598" spans="1:12" x14ac:dyDescent="0.25">
      <c r="A598" t="s">
        <v>271</v>
      </c>
      <c r="B598" t="s">
        <v>418</v>
      </c>
      <c r="C598">
        <v>1</v>
      </c>
      <c r="D598" s="9">
        <f>IFERROR(VLOOKUP($B598,Menu[],MATCH(D$1,Menu[#Headers],0),FALSE),"CHECK")</f>
        <v>39.950000000000003</v>
      </c>
      <c r="E598" s="9">
        <f>IFERROR(VLOOKUP($B598,Menu[],MATCH(E$1,Menu[#Headers],0),FALSE),"CHECK")</f>
        <v>15.51</v>
      </c>
      <c r="F598" t="str">
        <f>IFERROR(VLOOKUP($B598,Menu[],MATCH(F$1,Menu[#Headers],0),FALSE),"CHECK")</f>
        <v>Snack</v>
      </c>
      <c r="G598" s="7">
        <f>IFERROR(INT(VLOOKUP($A598,Orders[],MATCH("OrderDateTime",Orders[#Headers],0),FALSE)),"CHECK")</f>
        <v>45883</v>
      </c>
      <c r="H598" s="7" t="str">
        <f>IFERROR(VLOOKUP($A598,Orders[],MATCH(H$1,Orders[#Headers],0),FALSE),"CHECK")</f>
        <v>Head Office Café</v>
      </c>
      <c r="I598">
        <f>IFERROR(VLOOKUP(OrderLines[[#This Row],[OrderID]],Orders[],MATCH(OrderLines[[#Headers],[DiscountPct]],Orders[#Headers],0),FALSE),"CHECK")</f>
        <v>0.08</v>
      </c>
      <c r="J598" t="str">
        <f>IFERROR(VLOOKUP(OrderLines[[#This Row],[OrderID]],Orders[],MATCH(OrderLines[[#Headers],[Shift]],Orders[#Headers],0),FALSE),"CHECK")</f>
        <v>Breakfast</v>
      </c>
      <c r="K598" s="11">
        <f>OrderLines[[#This Row],[Qty]] * OrderLines[[#This Row],[UnitPrice]] * (1-OrderLines[[#This Row],[DiscountPct]])</f>
        <v>36.754000000000005</v>
      </c>
      <c r="L598">
        <f>OrderLines[[#This Row],[Qty]]*OrderLines[[#This Row],[UnitCost]]</f>
        <v>15.51</v>
      </c>
    </row>
    <row r="599" spans="1:12" x14ac:dyDescent="0.25">
      <c r="A599" t="s">
        <v>272</v>
      </c>
      <c r="B599" t="s">
        <v>417</v>
      </c>
      <c r="C599">
        <v>1</v>
      </c>
      <c r="D599" s="9">
        <f>IFERROR(VLOOKUP($B599,Menu[],MATCH(D$1,Menu[#Headers],0),FALSE),"CHECK")</f>
        <v>146.4</v>
      </c>
      <c r="E599" s="9">
        <f>IFERROR(VLOOKUP($B599,Menu[],MATCH(E$1,Menu[#Headers],0),FALSE),"CHECK")</f>
        <v>80.92</v>
      </c>
      <c r="F599" t="str">
        <f>IFERROR(VLOOKUP($B599,Menu[],MATCH(F$1,Menu[#Headers],0),FALSE),"CHECK")</f>
        <v>Hot Meal</v>
      </c>
      <c r="G599" s="7">
        <f>IFERROR(INT(VLOOKUP($A599,Orders[],MATCH("OrderDateTime",Orders[#Headers],0),FALSE)),"CHECK")</f>
        <v>45889</v>
      </c>
      <c r="H599" s="7" t="str">
        <f>IFERROR(VLOOKUP($A599,Orders[],MATCH(H$1,Orders[#Headers],0),FALSE),"CHECK")</f>
        <v>Plant 2 Canteen</v>
      </c>
      <c r="I599">
        <f>IFERROR(VLOOKUP(OrderLines[[#This Row],[OrderID]],Orders[],MATCH(OrderLines[[#Headers],[DiscountPct]],Orders[#Headers],0),FALSE),"CHECK")</f>
        <v>7.0000000000000007E-2</v>
      </c>
      <c r="J599" t="str">
        <f>IFERROR(VLOOKUP(OrderLines[[#This Row],[OrderID]],Orders[],MATCH(OrderLines[[#Headers],[Shift]],Orders[#Headers],0),FALSE),"CHECK")</f>
        <v>Dinner</v>
      </c>
      <c r="K599" s="11">
        <f>OrderLines[[#This Row],[Qty]] * OrderLines[[#This Row],[UnitPrice]] * (1-OrderLines[[#This Row],[DiscountPct]])</f>
        <v>136.15199999999999</v>
      </c>
      <c r="L599">
        <f>OrderLines[[#This Row],[Qty]]*OrderLines[[#This Row],[UnitCost]]</f>
        <v>80.92</v>
      </c>
    </row>
    <row r="600" spans="1:12" x14ac:dyDescent="0.25">
      <c r="A600" t="s">
        <v>273</v>
      </c>
      <c r="B600" t="s">
        <v>408</v>
      </c>
      <c r="C600">
        <v>2</v>
      </c>
      <c r="D600" s="9">
        <f>IFERROR(VLOOKUP($B600,Menu[],MATCH(D$1,Menu[#Headers],0),FALSE),"CHECK")</f>
        <v>70.540000000000006</v>
      </c>
      <c r="E600" s="9">
        <f>IFERROR(VLOOKUP($B600,Menu[],MATCH(E$1,Menu[#Headers],0),FALSE),"CHECK")</f>
        <v>35.81</v>
      </c>
      <c r="F600" t="str">
        <f>IFERROR(VLOOKUP($B600,Menu[],MATCH(F$1,Menu[#Headers],0),FALSE),"CHECK")</f>
        <v>Snack</v>
      </c>
      <c r="G600" s="7">
        <f>IFERROR(INT(VLOOKUP($A600,Orders[],MATCH("OrderDateTime",Orders[#Headers],0),FALSE)),"CHECK")</f>
        <v>45845</v>
      </c>
      <c r="H600" s="7" t="str">
        <f>IFERROR(VLOOKUP($A600,Orders[],MATCH(H$1,Orders[#Headers],0),FALSE),"CHECK")</f>
        <v>Plant 2 Canteen</v>
      </c>
      <c r="I600">
        <f>IFERROR(VLOOKUP(OrderLines[[#This Row],[OrderID]],Orders[],MATCH(OrderLines[[#Headers],[DiscountPct]],Orders[#Headers],0),FALSE),"CHECK")</f>
        <v>0.04</v>
      </c>
      <c r="J600" t="str">
        <f>IFERROR(VLOOKUP(OrderLines[[#This Row],[OrderID]],Orders[],MATCH(OrderLines[[#Headers],[Shift]],Orders[#Headers],0),FALSE),"CHECK")</f>
        <v>Breakfast</v>
      </c>
      <c r="K600" s="11">
        <f>OrderLines[[#This Row],[Qty]] * OrderLines[[#This Row],[UnitPrice]] * (1-OrderLines[[#This Row],[DiscountPct]])</f>
        <v>135.43680000000001</v>
      </c>
      <c r="L600">
        <f>OrderLines[[#This Row],[Qty]]*OrderLines[[#This Row],[UnitCost]]</f>
        <v>71.62</v>
      </c>
    </row>
    <row r="601" spans="1:12" x14ac:dyDescent="0.25">
      <c r="A601" t="s">
        <v>273</v>
      </c>
      <c r="B601" t="s">
        <v>412</v>
      </c>
      <c r="C601">
        <v>1</v>
      </c>
      <c r="D601" s="9">
        <f>IFERROR(VLOOKUP($B601,Menu[],MATCH(D$1,Menu[#Headers],0),FALSE),"CHECK")</f>
        <v>57.07</v>
      </c>
      <c r="E601" s="9">
        <f>IFERROR(VLOOKUP($B601,Menu[],MATCH(E$1,Menu[#Headers],0),FALSE),"CHECK")</f>
        <v>29.14</v>
      </c>
      <c r="F601" t="str">
        <f>IFERROR(VLOOKUP($B601,Menu[],MATCH(F$1,Menu[#Headers],0),FALSE),"CHECK")</f>
        <v>Dessert</v>
      </c>
      <c r="G601" s="7">
        <f>IFERROR(INT(VLOOKUP($A601,Orders[],MATCH("OrderDateTime",Orders[#Headers],0),FALSE)),"CHECK")</f>
        <v>45845</v>
      </c>
      <c r="H601" s="7" t="str">
        <f>IFERROR(VLOOKUP($A601,Orders[],MATCH(H$1,Orders[#Headers],0),FALSE),"CHECK")</f>
        <v>Plant 2 Canteen</v>
      </c>
      <c r="I601">
        <f>IFERROR(VLOOKUP(OrderLines[[#This Row],[OrderID]],Orders[],MATCH(OrderLines[[#Headers],[DiscountPct]],Orders[#Headers],0),FALSE),"CHECK")</f>
        <v>0.04</v>
      </c>
      <c r="J601" t="str">
        <f>IFERROR(VLOOKUP(OrderLines[[#This Row],[OrderID]],Orders[],MATCH(OrderLines[[#Headers],[Shift]],Orders[#Headers],0),FALSE),"CHECK")</f>
        <v>Breakfast</v>
      </c>
      <c r="K601" s="11">
        <f>OrderLines[[#This Row],[Qty]] * OrderLines[[#This Row],[UnitPrice]] * (1-OrderLines[[#This Row],[DiscountPct]])</f>
        <v>54.787199999999999</v>
      </c>
      <c r="L601">
        <f>OrderLines[[#This Row],[Qty]]*OrderLines[[#This Row],[UnitCost]]</f>
        <v>29.14</v>
      </c>
    </row>
    <row r="602" spans="1:12" x14ac:dyDescent="0.25">
      <c r="A602" t="s">
        <v>274</v>
      </c>
      <c r="B602" t="s">
        <v>418</v>
      </c>
      <c r="C602">
        <v>2</v>
      </c>
      <c r="D602" s="9">
        <f>IFERROR(VLOOKUP($B602,Menu[],MATCH(D$1,Menu[#Headers],0),FALSE),"CHECK")</f>
        <v>39.950000000000003</v>
      </c>
      <c r="E602" s="9">
        <f>IFERROR(VLOOKUP($B602,Menu[],MATCH(E$1,Menu[#Headers],0),FALSE),"CHECK")</f>
        <v>15.51</v>
      </c>
      <c r="F602" t="str">
        <f>IFERROR(VLOOKUP($B602,Menu[],MATCH(F$1,Menu[#Headers],0),FALSE),"CHECK")</f>
        <v>Snack</v>
      </c>
      <c r="G602" s="7">
        <f>IFERROR(INT(VLOOKUP($A602,Orders[],MATCH("OrderDateTime",Orders[#Headers],0),FALSE)),"CHECK")</f>
        <v>45886</v>
      </c>
      <c r="H602" s="7" t="str">
        <f>IFERROR(VLOOKUP($A602,Orders[],MATCH(H$1,Orders[#Headers],0),FALSE),"CHECK")</f>
        <v>Head Office Café</v>
      </c>
      <c r="I602">
        <f>IFERROR(VLOOKUP(OrderLines[[#This Row],[OrderID]],Orders[],MATCH(OrderLines[[#Headers],[DiscountPct]],Orders[#Headers],0),FALSE),"CHECK")</f>
        <v>0.06</v>
      </c>
      <c r="J602" t="str">
        <f>IFERROR(VLOOKUP(OrderLines[[#This Row],[OrderID]],Orders[],MATCH(OrderLines[[#Headers],[Shift]],Orders[#Headers],0),FALSE),"CHECK")</f>
        <v>Dinner</v>
      </c>
      <c r="K602" s="11">
        <f>OrderLines[[#This Row],[Qty]] * OrderLines[[#This Row],[UnitPrice]] * (1-OrderLines[[#This Row],[DiscountPct]])</f>
        <v>75.105999999999995</v>
      </c>
      <c r="L602">
        <f>OrderLines[[#This Row],[Qty]]*OrderLines[[#This Row],[UnitCost]]</f>
        <v>31.02</v>
      </c>
    </row>
    <row r="603" spans="1:12" x14ac:dyDescent="0.25">
      <c r="A603" t="s">
        <v>275</v>
      </c>
      <c r="B603" t="s">
        <v>403</v>
      </c>
      <c r="C603">
        <v>2</v>
      </c>
      <c r="D603" s="9">
        <f>IFERROR(VLOOKUP($B603,Menu[],MATCH(D$1,Menu[#Headers],0),FALSE),"CHECK")</f>
        <v>76.55</v>
      </c>
      <c r="E603" s="9">
        <f>IFERROR(VLOOKUP($B603,Menu[],MATCH(E$1,Menu[#Headers],0),FALSE),"CHECK")</f>
        <v>38.229999999999997</v>
      </c>
      <c r="F603" t="str">
        <f>IFERROR(VLOOKUP($B603,Menu[],MATCH(F$1,Menu[#Headers],0),FALSE),"CHECK")</f>
        <v>Dessert</v>
      </c>
      <c r="G603" s="7">
        <f>IFERROR(INT(VLOOKUP($A603,Orders[],MATCH("OrderDateTime",Orders[#Headers],0),FALSE)),"CHECK")</f>
        <v>45870</v>
      </c>
      <c r="H603" s="7" t="str">
        <f>IFERROR(VLOOKUP($A603,Orders[],MATCH(H$1,Orders[#Headers],0),FALSE),"CHECK")</f>
        <v>Head Office Café</v>
      </c>
      <c r="I603">
        <f>IFERROR(VLOOKUP(OrderLines[[#This Row],[OrderID]],Orders[],MATCH(OrderLines[[#Headers],[DiscountPct]],Orders[#Headers],0),FALSE),"CHECK")</f>
        <v>0.04</v>
      </c>
      <c r="J603" t="str">
        <f>IFERROR(VLOOKUP(OrderLines[[#This Row],[OrderID]],Orders[],MATCH(OrderLines[[#Headers],[Shift]],Orders[#Headers],0),FALSE),"CHECK")</f>
        <v>Lunch</v>
      </c>
      <c r="K603" s="11">
        <f>OrderLines[[#This Row],[Qty]] * OrderLines[[#This Row],[UnitPrice]] * (1-OrderLines[[#This Row],[DiscountPct]])</f>
        <v>146.976</v>
      </c>
      <c r="L603">
        <f>OrderLines[[#This Row],[Qty]]*OrderLines[[#This Row],[UnitCost]]</f>
        <v>76.459999999999994</v>
      </c>
    </row>
    <row r="604" spans="1:12" x14ac:dyDescent="0.25">
      <c r="A604" t="s">
        <v>275</v>
      </c>
      <c r="B604" t="s">
        <v>411</v>
      </c>
      <c r="C604">
        <v>1</v>
      </c>
      <c r="D604" s="9">
        <f>IFERROR(VLOOKUP($B604,Menu[],MATCH(D$1,Menu[#Headers],0),FALSE),"CHECK")</f>
        <v>22.2</v>
      </c>
      <c r="E604" s="9">
        <f>IFERROR(VLOOKUP($B604,Menu[],MATCH(E$1,Menu[#Headers],0),FALSE),"CHECK")</f>
        <v>9.3800000000000008</v>
      </c>
      <c r="F604" t="str">
        <f>IFERROR(VLOOKUP($B604,Menu[],MATCH(F$1,Menu[#Headers],0),FALSE),"CHECK")</f>
        <v>Beverage</v>
      </c>
      <c r="G604" s="7">
        <f>IFERROR(INT(VLOOKUP($A604,Orders[],MATCH("OrderDateTime",Orders[#Headers],0),FALSE)),"CHECK")</f>
        <v>45870</v>
      </c>
      <c r="H604" s="7" t="str">
        <f>IFERROR(VLOOKUP($A604,Orders[],MATCH(H$1,Orders[#Headers],0),FALSE),"CHECK")</f>
        <v>Head Office Café</v>
      </c>
      <c r="I604">
        <f>IFERROR(VLOOKUP(OrderLines[[#This Row],[OrderID]],Orders[],MATCH(OrderLines[[#Headers],[DiscountPct]],Orders[#Headers],0),FALSE),"CHECK")</f>
        <v>0.04</v>
      </c>
      <c r="J604" t="str">
        <f>IFERROR(VLOOKUP(OrderLines[[#This Row],[OrderID]],Orders[],MATCH(OrderLines[[#Headers],[Shift]],Orders[#Headers],0),FALSE),"CHECK")</f>
        <v>Lunch</v>
      </c>
      <c r="K604" s="11">
        <f>OrderLines[[#This Row],[Qty]] * OrderLines[[#This Row],[UnitPrice]] * (1-OrderLines[[#This Row],[DiscountPct]])</f>
        <v>21.311999999999998</v>
      </c>
      <c r="L604">
        <f>OrderLines[[#This Row],[Qty]]*OrderLines[[#This Row],[UnitCost]]</f>
        <v>9.3800000000000008</v>
      </c>
    </row>
    <row r="605" spans="1:12" x14ac:dyDescent="0.25">
      <c r="A605" t="s">
        <v>275</v>
      </c>
      <c r="B605" t="s">
        <v>408</v>
      </c>
      <c r="C605">
        <v>2</v>
      </c>
      <c r="D605" s="9">
        <f>IFERROR(VLOOKUP($B605,Menu[],MATCH(D$1,Menu[#Headers],0),FALSE),"CHECK")</f>
        <v>70.540000000000006</v>
      </c>
      <c r="E605" s="9">
        <f>IFERROR(VLOOKUP($B605,Menu[],MATCH(E$1,Menu[#Headers],0),FALSE),"CHECK")</f>
        <v>35.81</v>
      </c>
      <c r="F605" t="str">
        <f>IFERROR(VLOOKUP($B605,Menu[],MATCH(F$1,Menu[#Headers],0),FALSE),"CHECK")</f>
        <v>Snack</v>
      </c>
      <c r="G605" s="7">
        <f>IFERROR(INT(VLOOKUP($A605,Orders[],MATCH("OrderDateTime",Orders[#Headers],0),FALSE)),"CHECK")</f>
        <v>45870</v>
      </c>
      <c r="H605" s="7" t="str">
        <f>IFERROR(VLOOKUP($A605,Orders[],MATCH(H$1,Orders[#Headers],0),FALSE),"CHECK")</f>
        <v>Head Office Café</v>
      </c>
      <c r="I605">
        <f>IFERROR(VLOOKUP(OrderLines[[#This Row],[OrderID]],Orders[],MATCH(OrderLines[[#Headers],[DiscountPct]],Orders[#Headers],0),FALSE),"CHECK")</f>
        <v>0.04</v>
      </c>
      <c r="J605" t="str">
        <f>IFERROR(VLOOKUP(OrderLines[[#This Row],[OrderID]],Orders[],MATCH(OrderLines[[#Headers],[Shift]],Orders[#Headers],0),FALSE),"CHECK")</f>
        <v>Lunch</v>
      </c>
      <c r="K605" s="11">
        <f>OrderLines[[#This Row],[Qty]] * OrderLines[[#This Row],[UnitPrice]] * (1-OrderLines[[#This Row],[DiscountPct]])</f>
        <v>135.43680000000001</v>
      </c>
      <c r="L605">
        <f>OrderLines[[#This Row],[Qty]]*OrderLines[[#This Row],[UnitCost]]</f>
        <v>71.62</v>
      </c>
    </row>
    <row r="606" spans="1:12" x14ac:dyDescent="0.25">
      <c r="A606" t="s">
        <v>275</v>
      </c>
      <c r="B606" t="s">
        <v>409</v>
      </c>
      <c r="C606">
        <v>2</v>
      </c>
      <c r="D606" s="9">
        <f>IFERROR(VLOOKUP($B606,Menu[],MATCH(D$1,Menu[#Headers],0),FALSE),"CHECK")</f>
        <v>28.43</v>
      </c>
      <c r="E606" s="9">
        <f>IFERROR(VLOOKUP($B606,Menu[],MATCH(E$1,Menu[#Headers],0),FALSE),"CHECK")</f>
        <v>13.89</v>
      </c>
      <c r="F606" t="str">
        <f>IFERROR(VLOOKUP($B606,Menu[],MATCH(F$1,Menu[#Headers],0),FALSE),"CHECK")</f>
        <v>Beverage</v>
      </c>
      <c r="G606" s="7">
        <f>IFERROR(INT(VLOOKUP($A606,Orders[],MATCH("OrderDateTime",Orders[#Headers],0),FALSE)),"CHECK")</f>
        <v>45870</v>
      </c>
      <c r="H606" s="7" t="str">
        <f>IFERROR(VLOOKUP($A606,Orders[],MATCH(H$1,Orders[#Headers],0),FALSE),"CHECK")</f>
        <v>Head Office Café</v>
      </c>
      <c r="I606">
        <f>IFERROR(VLOOKUP(OrderLines[[#This Row],[OrderID]],Orders[],MATCH(OrderLines[[#Headers],[DiscountPct]],Orders[#Headers],0),FALSE),"CHECK")</f>
        <v>0.04</v>
      </c>
      <c r="J606" t="str">
        <f>IFERROR(VLOOKUP(OrderLines[[#This Row],[OrderID]],Orders[],MATCH(OrderLines[[#Headers],[Shift]],Orders[#Headers],0),FALSE),"CHECK")</f>
        <v>Lunch</v>
      </c>
      <c r="K606" s="11">
        <f>OrderLines[[#This Row],[Qty]] * OrderLines[[#This Row],[UnitPrice]] * (1-OrderLines[[#This Row],[DiscountPct]])</f>
        <v>54.585599999999999</v>
      </c>
      <c r="L606">
        <f>OrderLines[[#This Row],[Qty]]*OrderLines[[#This Row],[UnitCost]]</f>
        <v>27.78</v>
      </c>
    </row>
    <row r="607" spans="1:12" x14ac:dyDescent="0.25">
      <c r="A607" t="s">
        <v>276</v>
      </c>
      <c r="B607" t="s">
        <v>410</v>
      </c>
      <c r="C607">
        <v>3</v>
      </c>
      <c r="D607" s="9">
        <f>IFERROR(VLOOKUP($B607,Menu[],MATCH(D$1,Menu[#Headers],0),FALSE),"CHECK")</f>
        <v>20.11</v>
      </c>
      <c r="E607" s="9">
        <f>IFERROR(VLOOKUP($B607,Menu[],MATCH(E$1,Menu[#Headers],0),FALSE),"CHECK")</f>
        <v>8</v>
      </c>
      <c r="F607" t="str">
        <f>IFERROR(VLOOKUP($B607,Menu[],MATCH(F$1,Menu[#Headers],0),FALSE),"CHECK")</f>
        <v>Beverage</v>
      </c>
      <c r="G607" s="7">
        <f>IFERROR(INT(VLOOKUP($A607,Orders[],MATCH("OrderDateTime",Orders[#Headers],0),FALSE)),"CHECK")</f>
        <v>45865</v>
      </c>
      <c r="H607" s="7" t="str">
        <f>IFERROR(VLOOKUP($A607,Orders[],MATCH(H$1,Orders[#Headers],0),FALSE),"CHECK")</f>
        <v>Head Office Café</v>
      </c>
      <c r="I607">
        <f>IFERROR(VLOOKUP(OrderLines[[#This Row],[OrderID]],Orders[],MATCH(OrderLines[[#Headers],[DiscountPct]],Orders[#Headers],0),FALSE),"CHECK")</f>
        <v>0.06</v>
      </c>
      <c r="J607" t="str">
        <f>IFERROR(VLOOKUP(OrderLines[[#This Row],[OrderID]],Orders[],MATCH(OrderLines[[#Headers],[Shift]],Orders[#Headers],0),FALSE),"CHECK")</f>
        <v>Dinner</v>
      </c>
      <c r="K607" s="11">
        <f>OrderLines[[#This Row],[Qty]] * OrderLines[[#This Row],[UnitPrice]] * (1-OrderLines[[#This Row],[DiscountPct]])</f>
        <v>56.710199999999993</v>
      </c>
      <c r="L607">
        <f>OrderLines[[#This Row],[Qty]]*OrderLines[[#This Row],[UnitCost]]</f>
        <v>24</v>
      </c>
    </row>
    <row r="608" spans="1:12" x14ac:dyDescent="0.25">
      <c r="A608" t="s">
        <v>276</v>
      </c>
      <c r="B608" t="s">
        <v>403</v>
      </c>
      <c r="C608">
        <v>1</v>
      </c>
      <c r="D608" s="9">
        <f>IFERROR(VLOOKUP($B608,Menu[],MATCH(D$1,Menu[#Headers],0),FALSE),"CHECK")</f>
        <v>76.55</v>
      </c>
      <c r="E608" s="9">
        <f>IFERROR(VLOOKUP($B608,Menu[],MATCH(E$1,Menu[#Headers],0),FALSE),"CHECK")</f>
        <v>38.229999999999997</v>
      </c>
      <c r="F608" t="str">
        <f>IFERROR(VLOOKUP($B608,Menu[],MATCH(F$1,Menu[#Headers],0),FALSE),"CHECK")</f>
        <v>Dessert</v>
      </c>
      <c r="G608" s="7">
        <f>IFERROR(INT(VLOOKUP($A608,Orders[],MATCH("OrderDateTime",Orders[#Headers],0),FALSE)),"CHECK")</f>
        <v>45865</v>
      </c>
      <c r="H608" s="7" t="str">
        <f>IFERROR(VLOOKUP($A608,Orders[],MATCH(H$1,Orders[#Headers],0),FALSE),"CHECK")</f>
        <v>Head Office Café</v>
      </c>
      <c r="I608">
        <f>IFERROR(VLOOKUP(OrderLines[[#This Row],[OrderID]],Orders[],MATCH(OrderLines[[#Headers],[DiscountPct]],Orders[#Headers],0),FALSE),"CHECK")</f>
        <v>0.06</v>
      </c>
      <c r="J608" t="str">
        <f>IFERROR(VLOOKUP(OrderLines[[#This Row],[OrderID]],Orders[],MATCH(OrderLines[[#Headers],[Shift]],Orders[#Headers],0),FALSE),"CHECK")</f>
        <v>Dinner</v>
      </c>
      <c r="K608" s="11">
        <f>OrderLines[[#This Row],[Qty]] * OrderLines[[#This Row],[UnitPrice]] * (1-OrderLines[[#This Row],[DiscountPct]])</f>
        <v>71.956999999999994</v>
      </c>
      <c r="L608">
        <f>OrderLines[[#This Row],[Qty]]*OrderLines[[#This Row],[UnitCost]]</f>
        <v>38.229999999999997</v>
      </c>
    </row>
    <row r="609" spans="1:12" x14ac:dyDescent="0.25">
      <c r="A609" t="s">
        <v>276</v>
      </c>
      <c r="B609" t="s">
        <v>417</v>
      </c>
      <c r="C609">
        <v>2</v>
      </c>
      <c r="D609" s="9">
        <f>IFERROR(VLOOKUP($B609,Menu[],MATCH(D$1,Menu[#Headers],0),FALSE),"CHECK")</f>
        <v>146.4</v>
      </c>
      <c r="E609" s="9">
        <f>IFERROR(VLOOKUP($B609,Menu[],MATCH(E$1,Menu[#Headers],0),FALSE),"CHECK")</f>
        <v>80.92</v>
      </c>
      <c r="F609" t="str">
        <f>IFERROR(VLOOKUP($B609,Menu[],MATCH(F$1,Menu[#Headers],0),FALSE),"CHECK")</f>
        <v>Hot Meal</v>
      </c>
      <c r="G609" s="7">
        <f>IFERROR(INT(VLOOKUP($A609,Orders[],MATCH("OrderDateTime",Orders[#Headers],0),FALSE)),"CHECK")</f>
        <v>45865</v>
      </c>
      <c r="H609" s="7" t="str">
        <f>IFERROR(VLOOKUP($A609,Orders[],MATCH(H$1,Orders[#Headers],0),FALSE),"CHECK")</f>
        <v>Head Office Café</v>
      </c>
      <c r="I609">
        <f>IFERROR(VLOOKUP(OrderLines[[#This Row],[OrderID]],Orders[],MATCH(OrderLines[[#Headers],[DiscountPct]],Orders[#Headers],0),FALSE),"CHECK")</f>
        <v>0.06</v>
      </c>
      <c r="J609" t="str">
        <f>IFERROR(VLOOKUP(OrderLines[[#This Row],[OrderID]],Orders[],MATCH(OrderLines[[#Headers],[Shift]],Orders[#Headers],0),FALSE),"CHECK")</f>
        <v>Dinner</v>
      </c>
      <c r="K609" s="11">
        <f>OrderLines[[#This Row],[Qty]] * OrderLines[[#This Row],[UnitPrice]] * (1-OrderLines[[#This Row],[DiscountPct]])</f>
        <v>275.23199999999997</v>
      </c>
      <c r="L609">
        <f>OrderLines[[#This Row],[Qty]]*OrderLines[[#This Row],[UnitCost]]</f>
        <v>161.84</v>
      </c>
    </row>
    <row r="610" spans="1:12" x14ac:dyDescent="0.25">
      <c r="A610" t="s">
        <v>277</v>
      </c>
      <c r="B610" t="s">
        <v>408</v>
      </c>
      <c r="C610">
        <v>3</v>
      </c>
      <c r="D610" s="9">
        <f>IFERROR(VLOOKUP($B610,Menu[],MATCH(D$1,Menu[#Headers],0),FALSE),"CHECK")</f>
        <v>70.540000000000006</v>
      </c>
      <c r="E610" s="9">
        <f>IFERROR(VLOOKUP($B610,Menu[],MATCH(E$1,Menu[#Headers],0),FALSE),"CHECK")</f>
        <v>35.81</v>
      </c>
      <c r="F610" t="str">
        <f>IFERROR(VLOOKUP($B610,Menu[],MATCH(F$1,Menu[#Headers],0),FALSE),"CHECK")</f>
        <v>Snack</v>
      </c>
      <c r="G610" s="7">
        <f>IFERROR(INT(VLOOKUP($A610,Orders[],MATCH("OrderDateTime",Orders[#Headers],0),FALSE)),"CHECK")</f>
        <v>45870</v>
      </c>
      <c r="H610" s="7" t="str">
        <f>IFERROR(VLOOKUP($A610,Orders[],MATCH(H$1,Orders[#Headers],0),FALSE),"CHECK")</f>
        <v>Plant 2 Canteen</v>
      </c>
      <c r="I610">
        <f>IFERROR(VLOOKUP(OrderLines[[#This Row],[OrderID]],Orders[],MATCH(OrderLines[[#Headers],[DiscountPct]],Orders[#Headers],0),FALSE),"CHECK")</f>
        <v>0.09</v>
      </c>
      <c r="J610" t="str">
        <f>IFERROR(VLOOKUP(OrderLines[[#This Row],[OrderID]],Orders[],MATCH(OrderLines[[#Headers],[Shift]],Orders[#Headers],0),FALSE),"CHECK")</f>
        <v>Dinner</v>
      </c>
      <c r="K610" s="11">
        <f>OrderLines[[#This Row],[Qty]] * OrderLines[[#This Row],[UnitPrice]] * (1-OrderLines[[#This Row],[DiscountPct]])</f>
        <v>192.57420000000002</v>
      </c>
      <c r="L610">
        <f>OrderLines[[#This Row],[Qty]]*OrderLines[[#This Row],[UnitCost]]</f>
        <v>107.43</v>
      </c>
    </row>
    <row r="611" spans="1:12" x14ac:dyDescent="0.25">
      <c r="A611" t="s">
        <v>277</v>
      </c>
      <c r="B611" t="s">
        <v>405</v>
      </c>
      <c r="C611">
        <v>2</v>
      </c>
      <c r="D611" s="9">
        <f>IFERROR(VLOOKUP($B611,Menu[],MATCH(D$1,Menu[#Headers],0),FALSE),"CHECK")</f>
        <v>170.83</v>
      </c>
      <c r="E611" s="9">
        <f>IFERROR(VLOOKUP($B611,Menu[],MATCH(E$1,Menu[#Headers],0),FALSE),"CHECK")</f>
        <v>74.069999999999993</v>
      </c>
      <c r="F611" t="str">
        <f>IFERROR(VLOOKUP($B611,Menu[],MATCH(F$1,Menu[#Headers],0),FALSE),"CHECK")</f>
        <v>Hot Meal</v>
      </c>
      <c r="G611" s="7">
        <f>IFERROR(INT(VLOOKUP($A611,Orders[],MATCH("OrderDateTime",Orders[#Headers],0),FALSE)),"CHECK")</f>
        <v>45870</v>
      </c>
      <c r="H611" s="7" t="str">
        <f>IFERROR(VLOOKUP($A611,Orders[],MATCH(H$1,Orders[#Headers],0),FALSE),"CHECK")</f>
        <v>Plant 2 Canteen</v>
      </c>
      <c r="I611">
        <f>IFERROR(VLOOKUP(OrderLines[[#This Row],[OrderID]],Orders[],MATCH(OrderLines[[#Headers],[DiscountPct]],Orders[#Headers],0),FALSE),"CHECK")</f>
        <v>0.09</v>
      </c>
      <c r="J611" t="str">
        <f>IFERROR(VLOOKUP(OrderLines[[#This Row],[OrderID]],Orders[],MATCH(OrderLines[[#Headers],[Shift]],Orders[#Headers],0),FALSE),"CHECK")</f>
        <v>Dinner</v>
      </c>
      <c r="K611" s="11">
        <f>OrderLines[[#This Row],[Qty]] * OrderLines[[#This Row],[UnitPrice]] * (1-OrderLines[[#This Row],[DiscountPct]])</f>
        <v>310.91060000000004</v>
      </c>
      <c r="L611">
        <f>OrderLines[[#This Row],[Qty]]*OrderLines[[#This Row],[UnitCost]]</f>
        <v>148.13999999999999</v>
      </c>
    </row>
    <row r="612" spans="1:12" x14ac:dyDescent="0.25">
      <c r="A612" t="s">
        <v>277</v>
      </c>
      <c r="B612" t="s">
        <v>403</v>
      </c>
      <c r="C612">
        <v>3</v>
      </c>
      <c r="D612" s="9">
        <f>IFERROR(VLOOKUP($B612,Menu[],MATCH(D$1,Menu[#Headers],0),FALSE),"CHECK")</f>
        <v>76.55</v>
      </c>
      <c r="E612" s="9">
        <f>IFERROR(VLOOKUP($B612,Menu[],MATCH(E$1,Menu[#Headers],0),FALSE),"CHECK")</f>
        <v>38.229999999999997</v>
      </c>
      <c r="F612" t="str">
        <f>IFERROR(VLOOKUP($B612,Menu[],MATCH(F$1,Menu[#Headers],0),FALSE),"CHECK")</f>
        <v>Dessert</v>
      </c>
      <c r="G612" s="7">
        <f>IFERROR(INT(VLOOKUP($A612,Orders[],MATCH("OrderDateTime",Orders[#Headers],0),FALSE)),"CHECK")</f>
        <v>45870</v>
      </c>
      <c r="H612" s="7" t="str">
        <f>IFERROR(VLOOKUP($A612,Orders[],MATCH(H$1,Orders[#Headers],0),FALSE),"CHECK")</f>
        <v>Plant 2 Canteen</v>
      </c>
      <c r="I612">
        <f>IFERROR(VLOOKUP(OrderLines[[#This Row],[OrderID]],Orders[],MATCH(OrderLines[[#Headers],[DiscountPct]],Orders[#Headers],0),FALSE),"CHECK")</f>
        <v>0.09</v>
      </c>
      <c r="J612" t="str">
        <f>IFERROR(VLOOKUP(OrderLines[[#This Row],[OrderID]],Orders[],MATCH(OrderLines[[#Headers],[Shift]],Orders[#Headers],0),FALSE),"CHECK")</f>
        <v>Dinner</v>
      </c>
      <c r="K612" s="11">
        <f>OrderLines[[#This Row],[Qty]] * OrderLines[[#This Row],[UnitPrice]] * (1-OrderLines[[#This Row],[DiscountPct]])</f>
        <v>208.98149999999998</v>
      </c>
      <c r="L612">
        <f>OrderLines[[#This Row],[Qty]]*OrderLines[[#This Row],[UnitCost]]</f>
        <v>114.69</v>
      </c>
    </row>
    <row r="613" spans="1:12" x14ac:dyDescent="0.25">
      <c r="A613" t="s">
        <v>277</v>
      </c>
      <c r="B613" t="s">
        <v>415</v>
      </c>
      <c r="C613">
        <v>2</v>
      </c>
      <c r="D613" s="9">
        <f>IFERROR(VLOOKUP($B613,Menu[],MATCH(D$1,Menu[#Headers],0),FALSE),"CHECK")</f>
        <v>256.91000000000003</v>
      </c>
      <c r="E613" s="9">
        <f>IFERROR(VLOOKUP($B613,Menu[],MATCH(E$1,Menu[#Headers],0),FALSE),"CHECK")</f>
        <v>121.24</v>
      </c>
      <c r="F613" t="str">
        <f>IFERROR(VLOOKUP($B613,Menu[],MATCH(F$1,Menu[#Headers],0),FALSE),"CHECK")</f>
        <v>Hot Meal</v>
      </c>
      <c r="G613" s="7">
        <f>IFERROR(INT(VLOOKUP($A613,Orders[],MATCH("OrderDateTime",Orders[#Headers],0),FALSE)),"CHECK")</f>
        <v>45870</v>
      </c>
      <c r="H613" s="7" t="str">
        <f>IFERROR(VLOOKUP($A613,Orders[],MATCH(H$1,Orders[#Headers],0),FALSE),"CHECK")</f>
        <v>Plant 2 Canteen</v>
      </c>
      <c r="I613">
        <f>IFERROR(VLOOKUP(OrderLines[[#This Row],[OrderID]],Orders[],MATCH(OrderLines[[#Headers],[DiscountPct]],Orders[#Headers],0),FALSE),"CHECK")</f>
        <v>0.09</v>
      </c>
      <c r="J613" t="str">
        <f>IFERROR(VLOOKUP(OrderLines[[#This Row],[OrderID]],Orders[],MATCH(OrderLines[[#Headers],[Shift]],Orders[#Headers],0),FALSE),"CHECK")</f>
        <v>Dinner</v>
      </c>
      <c r="K613" s="11">
        <f>OrderLines[[#This Row],[Qty]] * OrderLines[[#This Row],[UnitPrice]] * (1-OrderLines[[#This Row],[DiscountPct]])</f>
        <v>467.57620000000009</v>
      </c>
      <c r="L613">
        <f>OrderLines[[#This Row],[Qty]]*OrderLines[[#This Row],[UnitCost]]</f>
        <v>242.48</v>
      </c>
    </row>
    <row r="614" spans="1:12" x14ac:dyDescent="0.25">
      <c r="A614" t="s">
        <v>278</v>
      </c>
      <c r="B614" t="s">
        <v>402</v>
      </c>
      <c r="C614">
        <v>1</v>
      </c>
      <c r="D614" s="9">
        <f>IFERROR(VLOOKUP($B614,Menu[],MATCH(D$1,Menu[#Headers],0),FALSE),"CHECK")</f>
        <v>30.34</v>
      </c>
      <c r="E614" s="9">
        <f>IFERROR(VLOOKUP($B614,Menu[],MATCH(E$1,Menu[#Headers],0),FALSE),"CHECK")</f>
        <v>14.18</v>
      </c>
      <c r="F614" t="str">
        <f>IFERROR(VLOOKUP($B614,Menu[],MATCH(F$1,Menu[#Headers],0),FALSE),"CHECK")</f>
        <v>Beverage</v>
      </c>
      <c r="G614" s="7">
        <f>IFERROR(INT(VLOOKUP($A614,Orders[],MATCH("OrderDateTime",Orders[#Headers],0),FALSE)),"CHECK")</f>
        <v>45883</v>
      </c>
      <c r="H614" s="7" t="str">
        <f>IFERROR(VLOOKUP($A614,Orders[],MATCH(H$1,Orders[#Headers],0),FALSE),"CHECK")</f>
        <v>Head Office Café</v>
      </c>
      <c r="I614">
        <f>IFERROR(VLOOKUP(OrderLines[[#This Row],[OrderID]],Orders[],MATCH(OrderLines[[#Headers],[DiscountPct]],Orders[#Headers],0),FALSE),"CHECK")</f>
        <v>0.12</v>
      </c>
      <c r="J614" t="str">
        <f>IFERROR(VLOOKUP(OrderLines[[#This Row],[OrderID]],Orders[],MATCH(OrderLines[[#Headers],[Shift]],Orders[#Headers],0),FALSE),"CHECK")</f>
        <v>Breakfast</v>
      </c>
      <c r="K614" s="11">
        <f>OrderLines[[#This Row],[Qty]] * OrderLines[[#This Row],[UnitPrice]] * (1-OrderLines[[#This Row],[DiscountPct]])</f>
        <v>26.699200000000001</v>
      </c>
      <c r="L614">
        <f>OrderLines[[#This Row],[Qty]]*OrderLines[[#This Row],[UnitCost]]</f>
        <v>14.18</v>
      </c>
    </row>
    <row r="615" spans="1:12" x14ac:dyDescent="0.25">
      <c r="A615" t="s">
        <v>278</v>
      </c>
      <c r="B615" t="s">
        <v>414</v>
      </c>
      <c r="C615">
        <v>1</v>
      </c>
      <c r="D615" s="9">
        <f>IFERROR(VLOOKUP($B615,Menu[],MATCH(D$1,Menu[#Headers],0),FALSE),"CHECK")</f>
        <v>116.8</v>
      </c>
      <c r="E615" s="9">
        <f>IFERROR(VLOOKUP($B615,Menu[],MATCH(E$1,Menu[#Headers],0),FALSE),"CHECK")</f>
        <v>48.97</v>
      </c>
      <c r="F615" t="str">
        <f>IFERROR(VLOOKUP($B615,Menu[],MATCH(F$1,Menu[#Headers],0),FALSE),"CHECK")</f>
        <v>Dessert</v>
      </c>
      <c r="G615" s="7">
        <f>IFERROR(INT(VLOOKUP($A615,Orders[],MATCH("OrderDateTime",Orders[#Headers],0),FALSE)),"CHECK")</f>
        <v>45883</v>
      </c>
      <c r="H615" s="7" t="str">
        <f>IFERROR(VLOOKUP($A615,Orders[],MATCH(H$1,Orders[#Headers],0),FALSE),"CHECK")</f>
        <v>Head Office Café</v>
      </c>
      <c r="I615">
        <f>IFERROR(VLOOKUP(OrderLines[[#This Row],[OrderID]],Orders[],MATCH(OrderLines[[#Headers],[DiscountPct]],Orders[#Headers],0),FALSE),"CHECK")</f>
        <v>0.12</v>
      </c>
      <c r="J615" t="str">
        <f>IFERROR(VLOOKUP(OrderLines[[#This Row],[OrderID]],Orders[],MATCH(OrderLines[[#Headers],[Shift]],Orders[#Headers],0),FALSE),"CHECK")</f>
        <v>Breakfast</v>
      </c>
      <c r="K615" s="11">
        <f>OrderLines[[#This Row],[Qty]] * OrderLines[[#This Row],[UnitPrice]] * (1-OrderLines[[#This Row],[DiscountPct]])</f>
        <v>102.78399999999999</v>
      </c>
      <c r="L615">
        <f>OrderLines[[#This Row],[Qty]]*OrderLines[[#This Row],[UnitCost]]</f>
        <v>48.97</v>
      </c>
    </row>
    <row r="616" spans="1:12" x14ac:dyDescent="0.25">
      <c r="A616" t="s">
        <v>279</v>
      </c>
      <c r="B616" t="s">
        <v>406</v>
      </c>
      <c r="C616">
        <v>1</v>
      </c>
      <c r="D616" s="9">
        <f>IFERROR(VLOOKUP($B616,Menu[],MATCH(D$1,Menu[#Headers],0),FALSE),"CHECK")</f>
        <v>38.06</v>
      </c>
      <c r="E616" s="9">
        <f>IFERROR(VLOOKUP($B616,Menu[],MATCH(E$1,Menu[#Headers],0),FALSE),"CHECK")</f>
        <v>19.55</v>
      </c>
      <c r="F616" t="str">
        <f>IFERROR(VLOOKUP($B616,Menu[],MATCH(F$1,Menu[#Headers],0),FALSE),"CHECK")</f>
        <v>Snack</v>
      </c>
      <c r="G616" s="7">
        <f>IFERROR(INT(VLOOKUP($A616,Orders[],MATCH("OrderDateTime",Orders[#Headers],0),FALSE)),"CHECK")</f>
        <v>45850</v>
      </c>
      <c r="H616" s="7" t="str">
        <f>IFERROR(VLOOKUP($A616,Orders[],MATCH(H$1,Orders[#Headers],0),FALSE),"CHECK")</f>
        <v>Head Office Café</v>
      </c>
      <c r="I616">
        <f>IFERROR(VLOOKUP(OrderLines[[#This Row],[OrderID]],Orders[],MATCH(OrderLines[[#Headers],[DiscountPct]],Orders[#Headers],0),FALSE),"CHECK")</f>
        <v>0.01</v>
      </c>
      <c r="J616" t="str">
        <f>IFERROR(VLOOKUP(OrderLines[[#This Row],[OrderID]],Orders[],MATCH(OrderLines[[#Headers],[Shift]],Orders[#Headers],0),FALSE),"CHECK")</f>
        <v>Breakfast</v>
      </c>
      <c r="K616" s="11">
        <f>OrderLines[[#This Row],[Qty]] * OrderLines[[#This Row],[UnitPrice]] * (1-OrderLines[[#This Row],[DiscountPct]])</f>
        <v>37.679400000000001</v>
      </c>
      <c r="L616">
        <f>OrderLines[[#This Row],[Qty]]*OrderLines[[#This Row],[UnitCost]]</f>
        <v>19.55</v>
      </c>
    </row>
    <row r="617" spans="1:12" x14ac:dyDescent="0.25">
      <c r="A617" t="s">
        <v>279</v>
      </c>
      <c r="B617" t="s">
        <v>415</v>
      </c>
      <c r="C617">
        <v>2</v>
      </c>
      <c r="D617" s="9">
        <f>IFERROR(VLOOKUP($B617,Menu[],MATCH(D$1,Menu[#Headers],0),FALSE),"CHECK")</f>
        <v>256.91000000000003</v>
      </c>
      <c r="E617" s="9">
        <f>IFERROR(VLOOKUP($B617,Menu[],MATCH(E$1,Menu[#Headers],0),FALSE),"CHECK")</f>
        <v>121.24</v>
      </c>
      <c r="F617" t="str">
        <f>IFERROR(VLOOKUP($B617,Menu[],MATCH(F$1,Menu[#Headers],0),FALSE),"CHECK")</f>
        <v>Hot Meal</v>
      </c>
      <c r="G617" s="7">
        <f>IFERROR(INT(VLOOKUP($A617,Orders[],MATCH("OrderDateTime",Orders[#Headers],0),FALSE)),"CHECK")</f>
        <v>45850</v>
      </c>
      <c r="H617" s="7" t="str">
        <f>IFERROR(VLOOKUP($A617,Orders[],MATCH(H$1,Orders[#Headers],0),FALSE),"CHECK")</f>
        <v>Head Office Café</v>
      </c>
      <c r="I617">
        <f>IFERROR(VLOOKUP(OrderLines[[#This Row],[OrderID]],Orders[],MATCH(OrderLines[[#Headers],[DiscountPct]],Orders[#Headers],0),FALSE),"CHECK")</f>
        <v>0.01</v>
      </c>
      <c r="J617" t="str">
        <f>IFERROR(VLOOKUP(OrderLines[[#This Row],[OrderID]],Orders[],MATCH(OrderLines[[#Headers],[Shift]],Orders[#Headers],0),FALSE),"CHECK")</f>
        <v>Breakfast</v>
      </c>
      <c r="K617" s="11">
        <f>OrderLines[[#This Row],[Qty]] * OrderLines[[#This Row],[UnitPrice]] * (1-OrderLines[[#This Row],[DiscountPct]])</f>
        <v>508.68180000000007</v>
      </c>
      <c r="L617">
        <f>OrderLines[[#This Row],[Qty]]*OrderLines[[#This Row],[UnitCost]]</f>
        <v>242.48</v>
      </c>
    </row>
    <row r="618" spans="1:12" x14ac:dyDescent="0.25">
      <c r="A618" t="s">
        <v>279</v>
      </c>
      <c r="B618" t="s">
        <v>418</v>
      </c>
      <c r="C618">
        <v>2</v>
      </c>
      <c r="D618" s="9">
        <f>IFERROR(VLOOKUP($B618,Menu[],MATCH(D$1,Menu[#Headers],0),FALSE),"CHECK")</f>
        <v>39.950000000000003</v>
      </c>
      <c r="E618" s="9">
        <f>IFERROR(VLOOKUP($B618,Menu[],MATCH(E$1,Menu[#Headers],0),FALSE),"CHECK")</f>
        <v>15.51</v>
      </c>
      <c r="F618" t="str">
        <f>IFERROR(VLOOKUP($B618,Menu[],MATCH(F$1,Menu[#Headers],0),FALSE),"CHECK")</f>
        <v>Snack</v>
      </c>
      <c r="G618" s="7">
        <f>IFERROR(INT(VLOOKUP($A618,Orders[],MATCH("OrderDateTime",Orders[#Headers],0),FALSE)),"CHECK")</f>
        <v>45850</v>
      </c>
      <c r="H618" s="7" t="str">
        <f>IFERROR(VLOOKUP($A618,Orders[],MATCH(H$1,Orders[#Headers],0),FALSE),"CHECK")</f>
        <v>Head Office Café</v>
      </c>
      <c r="I618">
        <f>IFERROR(VLOOKUP(OrderLines[[#This Row],[OrderID]],Orders[],MATCH(OrderLines[[#Headers],[DiscountPct]],Orders[#Headers],0),FALSE),"CHECK")</f>
        <v>0.01</v>
      </c>
      <c r="J618" t="str">
        <f>IFERROR(VLOOKUP(OrderLines[[#This Row],[OrderID]],Orders[],MATCH(OrderLines[[#Headers],[Shift]],Orders[#Headers],0),FALSE),"CHECK")</f>
        <v>Breakfast</v>
      </c>
      <c r="K618" s="11">
        <f>OrderLines[[#This Row],[Qty]] * OrderLines[[#This Row],[UnitPrice]] * (1-OrderLines[[#This Row],[DiscountPct]])</f>
        <v>79.100999999999999</v>
      </c>
      <c r="L618">
        <f>OrderLines[[#This Row],[Qty]]*OrderLines[[#This Row],[UnitCost]]</f>
        <v>31.02</v>
      </c>
    </row>
    <row r="619" spans="1:12" x14ac:dyDescent="0.25">
      <c r="A619" t="s">
        <v>279</v>
      </c>
      <c r="B619" t="s">
        <v>407</v>
      </c>
      <c r="C619">
        <v>2</v>
      </c>
      <c r="D619" s="9">
        <f>IFERROR(VLOOKUP($B619,Menu[],MATCH(D$1,Menu[#Headers],0),FALSE),"CHECK")</f>
        <v>246.09</v>
      </c>
      <c r="E619" s="9">
        <f>IFERROR(VLOOKUP($B619,Menu[],MATCH(E$1,Menu[#Headers],0),FALSE),"CHECK")</f>
        <v>112.08</v>
      </c>
      <c r="F619" t="str">
        <f>IFERROR(VLOOKUP($B619,Menu[],MATCH(F$1,Menu[#Headers],0),FALSE),"CHECK")</f>
        <v>Hot Meal</v>
      </c>
      <c r="G619" s="7">
        <f>IFERROR(INT(VLOOKUP($A619,Orders[],MATCH("OrderDateTime",Orders[#Headers],0),FALSE)),"CHECK")</f>
        <v>45850</v>
      </c>
      <c r="H619" s="7" t="str">
        <f>IFERROR(VLOOKUP($A619,Orders[],MATCH(H$1,Orders[#Headers],0),FALSE),"CHECK")</f>
        <v>Head Office Café</v>
      </c>
      <c r="I619">
        <f>IFERROR(VLOOKUP(OrderLines[[#This Row],[OrderID]],Orders[],MATCH(OrderLines[[#Headers],[DiscountPct]],Orders[#Headers],0),FALSE),"CHECK")</f>
        <v>0.01</v>
      </c>
      <c r="J619" t="str">
        <f>IFERROR(VLOOKUP(OrderLines[[#This Row],[OrderID]],Orders[],MATCH(OrderLines[[#Headers],[Shift]],Orders[#Headers],0),FALSE),"CHECK")</f>
        <v>Breakfast</v>
      </c>
      <c r="K619" s="11">
        <f>OrderLines[[#This Row],[Qty]] * OrderLines[[#This Row],[UnitPrice]] * (1-OrderLines[[#This Row],[DiscountPct]])</f>
        <v>487.25819999999999</v>
      </c>
      <c r="L619">
        <f>OrderLines[[#This Row],[Qty]]*OrderLines[[#This Row],[UnitCost]]</f>
        <v>224.16</v>
      </c>
    </row>
    <row r="620" spans="1:12" x14ac:dyDescent="0.25">
      <c r="A620" t="s">
        <v>280</v>
      </c>
      <c r="B620" t="s">
        <v>412</v>
      </c>
      <c r="C620">
        <v>2</v>
      </c>
      <c r="D620" s="9">
        <f>IFERROR(VLOOKUP($B620,Menu[],MATCH(D$1,Menu[#Headers],0),FALSE),"CHECK")</f>
        <v>57.07</v>
      </c>
      <c r="E620" s="9">
        <f>IFERROR(VLOOKUP($B620,Menu[],MATCH(E$1,Menu[#Headers],0),FALSE),"CHECK")</f>
        <v>29.14</v>
      </c>
      <c r="F620" t="str">
        <f>IFERROR(VLOOKUP($B620,Menu[],MATCH(F$1,Menu[#Headers],0),FALSE),"CHECK")</f>
        <v>Dessert</v>
      </c>
      <c r="G620" s="7">
        <f>IFERROR(INT(VLOOKUP($A620,Orders[],MATCH("OrderDateTime",Orders[#Headers],0),FALSE)),"CHECK")</f>
        <v>45881</v>
      </c>
      <c r="H620" s="7" t="str">
        <f>IFERROR(VLOOKUP($A620,Orders[],MATCH(H$1,Orders[#Headers],0),FALSE),"CHECK")</f>
        <v>Plant 2 Canteen</v>
      </c>
      <c r="I620">
        <f>IFERROR(VLOOKUP(OrderLines[[#This Row],[OrderID]],Orders[],MATCH(OrderLines[[#Headers],[DiscountPct]],Orders[#Headers],0),FALSE),"CHECK")</f>
        <v>0.15</v>
      </c>
      <c r="J620" t="str">
        <f>IFERROR(VLOOKUP(OrderLines[[#This Row],[OrderID]],Orders[],MATCH(OrderLines[[#Headers],[Shift]],Orders[#Headers],0),FALSE),"CHECK")</f>
        <v>Breakfast</v>
      </c>
      <c r="K620" s="11">
        <f>OrderLines[[#This Row],[Qty]] * OrderLines[[#This Row],[UnitPrice]] * (1-OrderLines[[#This Row],[DiscountPct]])</f>
        <v>97.018999999999991</v>
      </c>
      <c r="L620">
        <f>OrderLines[[#This Row],[Qty]]*OrderLines[[#This Row],[UnitCost]]</f>
        <v>58.28</v>
      </c>
    </row>
    <row r="621" spans="1:12" x14ac:dyDescent="0.25">
      <c r="A621" t="s">
        <v>280</v>
      </c>
      <c r="B621" t="s">
        <v>414</v>
      </c>
      <c r="C621">
        <v>1</v>
      </c>
      <c r="D621" s="9">
        <f>IFERROR(VLOOKUP($B621,Menu[],MATCH(D$1,Menu[#Headers],0),FALSE),"CHECK")</f>
        <v>116.8</v>
      </c>
      <c r="E621" s="9">
        <f>IFERROR(VLOOKUP($B621,Menu[],MATCH(E$1,Menu[#Headers],0),FALSE),"CHECK")</f>
        <v>48.97</v>
      </c>
      <c r="F621" t="str">
        <f>IFERROR(VLOOKUP($B621,Menu[],MATCH(F$1,Menu[#Headers],0),FALSE),"CHECK")</f>
        <v>Dessert</v>
      </c>
      <c r="G621" s="7">
        <f>IFERROR(INT(VLOOKUP($A621,Orders[],MATCH("OrderDateTime",Orders[#Headers],0),FALSE)),"CHECK")</f>
        <v>45881</v>
      </c>
      <c r="H621" s="7" t="str">
        <f>IFERROR(VLOOKUP($A621,Orders[],MATCH(H$1,Orders[#Headers],0),FALSE),"CHECK")</f>
        <v>Plant 2 Canteen</v>
      </c>
      <c r="I621">
        <f>IFERROR(VLOOKUP(OrderLines[[#This Row],[OrderID]],Orders[],MATCH(OrderLines[[#Headers],[DiscountPct]],Orders[#Headers],0),FALSE),"CHECK")</f>
        <v>0.15</v>
      </c>
      <c r="J621" t="str">
        <f>IFERROR(VLOOKUP(OrderLines[[#This Row],[OrderID]],Orders[],MATCH(OrderLines[[#Headers],[Shift]],Orders[#Headers],0),FALSE),"CHECK")</f>
        <v>Breakfast</v>
      </c>
      <c r="K621" s="11">
        <f>OrderLines[[#This Row],[Qty]] * OrderLines[[#This Row],[UnitPrice]] * (1-OrderLines[[#This Row],[DiscountPct]])</f>
        <v>99.28</v>
      </c>
      <c r="L621">
        <f>OrderLines[[#This Row],[Qty]]*OrderLines[[#This Row],[UnitCost]]</f>
        <v>48.97</v>
      </c>
    </row>
    <row r="622" spans="1:12" x14ac:dyDescent="0.25">
      <c r="A622" t="s">
        <v>281</v>
      </c>
      <c r="B622" t="s">
        <v>410</v>
      </c>
      <c r="C622">
        <v>1</v>
      </c>
      <c r="D622" s="9">
        <f>IFERROR(VLOOKUP($B622,Menu[],MATCH(D$1,Menu[#Headers],0),FALSE),"CHECK")</f>
        <v>20.11</v>
      </c>
      <c r="E622" s="9">
        <f>IFERROR(VLOOKUP($B622,Menu[],MATCH(E$1,Menu[#Headers],0),FALSE),"CHECK")</f>
        <v>8</v>
      </c>
      <c r="F622" t="str">
        <f>IFERROR(VLOOKUP($B622,Menu[],MATCH(F$1,Menu[#Headers],0),FALSE),"CHECK")</f>
        <v>Beverage</v>
      </c>
      <c r="G622" s="7">
        <f>IFERROR(INT(VLOOKUP($A622,Orders[],MATCH("OrderDateTime",Orders[#Headers],0),FALSE)),"CHECK")</f>
        <v>45883</v>
      </c>
      <c r="H622" s="7" t="str">
        <f>IFERROR(VLOOKUP($A622,Orders[],MATCH(H$1,Orders[#Headers],0),FALSE),"CHECK")</f>
        <v>Plant 2 Canteen</v>
      </c>
      <c r="I622">
        <f>IFERROR(VLOOKUP(OrderLines[[#This Row],[OrderID]],Orders[],MATCH(OrderLines[[#Headers],[DiscountPct]],Orders[#Headers],0),FALSE),"CHECK")</f>
        <v>0</v>
      </c>
      <c r="J622" t="str">
        <f>IFERROR(VLOOKUP(OrderLines[[#This Row],[OrderID]],Orders[],MATCH(OrderLines[[#Headers],[Shift]],Orders[#Headers],0),FALSE),"CHECK")</f>
        <v>Breakfast</v>
      </c>
      <c r="K622" s="11">
        <f>OrderLines[[#This Row],[Qty]] * OrderLines[[#This Row],[UnitPrice]] * (1-OrderLines[[#This Row],[DiscountPct]])</f>
        <v>20.11</v>
      </c>
      <c r="L622">
        <f>OrderLines[[#This Row],[Qty]]*OrderLines[[#This Row],[UnitCost]]</f>
        <v>8</v>
      </c>
    </row>
    <row r="623" spans="1:12" x14ac:dyDescent="0.25">
      <c r="A623" t="s">
        <v>281</v>
      </c>
      <c r="B623" t="s">
        <v>418</v>
      </c>
      <c r="C623">
        <v>3</v>
      </c>
      <c r="D623" s="9">
        <f>IFERROR(VLOOKUP($B623,Menu[],MATCH(D$1,Menu[#Headers],0),FALSE),"CHECK")</f>
        <v>39.950000000000003</v>
      </c>
      <c r="E623" s="9">
        <f>IFERROR(VLOOKUP($B623,Menu[],MATCH(E$1,Menu[#Headers],0),FALSE),"CHECK")</f>
        <v>15.51</v>
      </c>
      <c r="F623" t="str">
        <f>IFERROR(VLOOKUP($B623,Menu[],MATCH(F$1,Menu[#Headers],0),FALSE),"CHECK")</f>
        <v>Snack</v>
      </c>
      <c r="G623" s="7">
        <f>IFERROR(INT(VLOOKUP($A623,Orders[],MATCH("OrderDateTime",Orders[#Headers],0),FALSE)),"CHECK")</f>
        <v>45883</v>
      </c>
      <c r="H623" s="7" t="str">
        <f>IFERROR(VLOOKUP($A623,Orders[],MATCH(H$1,Orders[#Headers],0),FALSE),"CHECK")</f>
        <v>Plant 2 Canteen</v>
      </c>
      <c r="I623">
        <f>IFERROR(VLOOKUP(OrderLines[[#This Row],[OrderID]],Orders[],MATCH(OrderLines[[#Headers],[DiscountPct]],Orders[#Headers],0),FALSE),"CHECK")</f>
        <v>0</v>
      </c>
      <c r="J623" t="str">
        <f>IFERROR(VLOOKUP(OrderLines[[#This Row],[OrderID]],Orders[],MATCH(OrderLines[[#Headers],[Shift]],Orders[#Headers],0),FALSE),"CHECK")</f>
        <v>Breakfast</v>
      </c>
      <c r="K623" s="11">
        <f>OrderLines[[#This Row],[Qty]] * OrderLines[[#This Row],[UnitPrice]] * (1-OrderLines[[#This Row],[DiscountPct]])</f>
        <v>119.85000000000001</v>
      </c>
      <c r="L623">
        <f>OrderLines[[#This Row],[Qty]]*OrderLines[[#This Row],[UnitCost]]</f>
        <v>46.53</v>
      </c>
    </row>
    <row r="624" spans="1:12" x14ac:dyDescent="0.25">
      <c r="A624" t="s">
        <v>281</v>
      </c>
      <c r="B624" t="s">
        <v>401</v>
      </c>
      <c r="C624">
        <v>1</v>
      </c>
      <c r="D624" s="9">
        <f>IFERROR(VLOOKUP($B624,Menu[],MATCH(D$1,Menu[#Headers],0),FALSE),"CHECK")</f>
        <v>52.45</v>
      </c>
      <c r="E624" s="9">
        <f>IFERROR(VLOOKUP($B624,Menu[],MATCH(E$1,Menu[#Headers],0),FALSE),"CHECK")</f>
        <v>25.8</v>
      </c>
      <c r="F624" t="str">
        <f>IFERROR(VLOOKUP($B624,Menu[],MATCH(F$1,Menu[#Headers],0),FALSE),"CHECK")</f>
        <v>Snack</v>
      </c>
      <c r="G624" s="7">
        <f>IFERROR(INT(VLOOKUP($A624,Orders[],MATCH("OrderDateTime",Orders[#Headers],0),FALSE)),"CHECK")</f>
        <v>45883</v>
      </c>
      <c r="H624" s="7" t="str">
        <f>IFERROR(VLOOKUP($A624,Orders[],MATCH(H$1,Orders[#Headers],0),FALSE),"CHECK")</f>
        <v>Plant 2 Canteen</v>
      </c>
      <c r="I624">
        <f>IFERROR(VLOOKUP(OrderLines[[#This Row],[OrderID]],Orders[],MATCH(OrderLines[[#Headers],[DiscountPct]],Orders[#Headers],0),FALSE),"CHECK")</f>
        <v>0</v>
      </c>
      <c r="J624" t="str">
        <f>IFERROR(VLOOKUP(OrderLines[[#This Row],[OrderID]],Orders[],MATCH(OrderLines[[#Headers],[Shift]],Orders[#Headers],0),FALSE),"CHECK")</f>
        <v>Breakfast</v>
      </c>
      <c r="K624" s="11">
        <f>OrderLines[[#This Row],[Qty]] * OrderLines[[#This Row],[UnitPrice]] * (1-OrderLines[[#This Row],[DiscountPct]])</f>
        <v>52.45</v>
      </c>
      <c r="L624">
        <f>OrderLines[[#This Row],[Qty]]*OrderLines[[#This Row],[UnitCost]]</f>
        <v>25.8</v>
      </c>
    </row>
    <row r="625" spans="1:12" x14ac:dyDescent="0.25">
      <c r="A625" t="s">
        <v>281</v>
      </c>
      <c r="B625" t="s">
        <v>416</v>
      </c>
      <c r="C625">
        <v>1</v>
      </c>
      <c r="D625" s="9">
        <f>IFERROR(VLOOKUP($B625,Menu[],MATCH(D$1,Menu[#Headers],0),FALSE),"CHECK")</f>
        <v>227.61</v>
      </c>
      <c r="E625" s="9">
        <f>IFERROR(VLOOKUP($B625,Menu[],MATCH(E$1,Menu[#Headers],0),FALSE),"CHECK")</f>
        <v>96.22</v>
      </c>
      <c r="F625" t="str">
        <f>IFERROR(VLOOKUP($B625,Menu[],MATCH(F$1,Menu[#Headers],0),FALSE),"CHECK")</f>
        <v>Hot Meal</v>
      </c>
      <c r="G625" s="7">
        <f>IFERROR(INT(VLOOKUP($A625,Orders[],MATCH("OrderDateTime",Orders[#Headers],0),FALSE)),"CHECK")</f>
        <v>45883</v>
      </c>
      <c r="H625" s="7" t="str">
        <f>IFERROR(VLOOKUP($A625,Orders[],MATCH(H$1,Orders[#Headers],0),FALSE),"CHECK")</f>
        <v>Plant 2 Canteen</v>
      </c>
      <c r="I625">
        <f>IFERROR(VLOOKUP(OrderLines[[#This Row],[OrderID]],Orders[],MATCH(OrderLines[[#Headers],[DiscountPct]],Orders[#Headers],0),FALSE),"CHECK")</f>
        <v>0</v>
      </c>
      <c r="J625" t="str">
        <f>IFERROR(VLOOKUP(OrderLines[[#This Row],[OrderID]],Orders[],MATCH(OrderLines[[#Headers],[Shift]],Orders[#Headers],0),FALSE),"CHECK")</f>
        <v>Breakfast</v>
      </c>
      <c r="K625" s="11">
        <f>OrderLines[[#This Row],[Qty]] * OrderLines[[#This Row],[UnitPrice]] * (1-OrderLines[[#This Row],[DiscountPct]])</f>
        <v>227.61</v>
      </c>
      <c r="L625">
        <f>OrderLines[[#This Row],[Qty]]*OrderLines[[#This Row],[UnitCost]]</f>
        <v>96.22</v>
      </c>
    </row>
    <row r="626" spans="1:12" x14ac:dyDescent="0.25">
      <c r="A626" t="s">
        <v>282</v>
      </c>
      <c r="B626" t="s">
        <v>416</v>
      </c>
      <c r="C626">
        <v>1</v>
      </c>
      <c r="D626" s="9">
        <f>IFERROR(VLOOKUP($B626,Menu[],MATCH(D$1,Menu[#Headers],0),FALSE),"CHECK")</f>
        <v>227.61</v>
      </c>
      <c r="E626" s="9">
        <f>IFERROR(VLOOKUP($B626,Menu[],MATCH(E$1,Menu[#Headers],0),FALSE),"CHECK")</f>
        <v>96.22</v>
      </c>
      <c r="F626" t="str">
        <f>IFERROR(VLOOKUP($B626,Menu[],MATCH(F$1,Menu[#Headers],0),FALSE),"CHECK")</f>
        <v>Hot Meal</v>
      </c>
      <c r="G626" s="7">
        <f>IFERROR(INT(VLOOKUP($A626,Orders[],MATCH("OrderDateTime",Orders[#Headers],0),FALSE)),"CHECK")</f>
        <v>45869</v>
      </c>
      <c r="H626" s="7" t="str">
        <f>IFERROR(VLOOKUP($A626,Orders[],MATCH(H$1,Orders[#Headers],0),FALSE),"CHECK")</f>
        <v>Plant 2 Canteen</v>
      </c>
      <c r="I626">
        <f>IFERROR(VLOOKUP(OrderLines[[#This Row],[OrderID]],Orders[],MATCH(OrderLines[[#Headers],[DiscountPct]],Orders[#Headers],0),FALSE),"CHECK")</f>
        <v>0.05</v>
      </c>
      <c r="J626" t="str">
        <f>IFERROR(VLOOKUP(OrderLines[[#This Row],[OrderID]],Orders[],MATCH(OrderLines[[#Headers],[Shift]],Orders[#Headers],0),FALSE),"CHECK")</f>
        <v>Lunch</v>
      </c>
      <c r="K626" s="11">
        <f>OrderLines[[#This Row],[Qty]] * OrderLines[[#This Row],[UnitPrice]] * (1-OrderLines[[#This Row],[DiscountPct]])</f>
        <v>216.2295</v>
      </c>
      <c r="L626">
        <f>OrderLines[[#This Row],[Qty]]*OrderLines[[#This Row],[UnitCost]]</f>
        <v>96.22</v>
      </c>
    </row>
    <row r="627" spans="1:12" x14ac:dyDescent="0.25">
      <c r="A627" t="s">
        <v>282</v>
      </c>
      <c r="B627" t="s">
        <v>419</v>
      </c>
      <c r="C627">
        <v>1</v>
      </c>
      <c r="D627" s="9">
        <f>IFERROR(VLOOKUP($B627,Menu[],MATCH(D$1,Menu[#Headers],0),FALSE),"CHECK")</f>
        <v>50.19</v>
      </c>
      <c r="E627" s="9">
        <f>IFERROR(VLOOKUP($B627,Menu[],MATCH(E$1,Menu[#Headers],0),FALSE),"CHECK")</f>
        <v>22.61</v>
      </c>
      <c r="F627" t="str">
        <f>IFERROR(VLOOKUP($B627,Menu[],MATCH(F$1,Menu[#Headers],0),FALSE),"CHECK")</f>
        <v>Snack</v>
      </c>
      <c r="G627" s="7">
        <f>IFERROR(INT(VLOOKUP($A627,Orders[],MATCH("OrderDateTime",Orders[#Headers],0),FALSE)),"CHECK")</f>
        <v>45869</v>
      </c>
      <c r="H627" s="7" t="str">
        <f>IFERROR(VLOOKUP($A627,Orders[],MATCH(H$1,Orders[#Headers],0),FALSE),"CHECK")</f>
        <v>Plant 2 Canteen</v>
      </c>
      <c r="I627">
        <f>IFERROR(VLOOKUP(OrderLines[[#This Row],[OrderID]],Orders[],MATCH(OrderLines[[#Headers],[DiscountPct]],Orders[#Headers],0),FALSE),"CHECK")</f>
        <v>0.05</v>
      </c>
      <c r="J627" t="str">
        <f>IFERROR(VLOOKUP(OrderLines[[#This Row],[OrderID]],Orders[],MATCH(OrderLines[[#Headers],[Shift]],Orders[#Headers],0),FALSE),"CHECK")</f>
        <v>Lunch</v>
      </c>
      <c r="K627" s="11">
        <f>OrderLines[[#This Row],[Qty]] * OrderLines[[#This Row],[UnitPrice]] * (1-OrderLines[[#This Row],[DiscountPct]])</f>
        <v>47.680499999999995</v>
      </c>
      <c r="L627">
        <f>OrderLines[[#This Row],[Qty]]*OrderLines[[#This Row],[UnitCost]]</f>
        <v>22.61</v>
      </c>
    </row>
    <row r="628" spans="1:12" x14ac:dyDescent="0.25">
      <c r="A628" t="s">
        <v>282</v>
      </c>
      <c r="B628" t="s">
        <v>417</v>
      </c>
      <c r="C628">
        <v>2</v>
      </c>
      <c r="D628" s="9">
        <f>IFERROR(VLOOKUP($B628,Menu[],MATCH(D$1,Menu[#Headers],0),FALSE),"CHECK")</f>
        <v>146.4</v>
      </c>
      <c r="E628" s="9">
        <f>IFERROR(VLOOKUP($B628,Menu[],MATCH(E$1,Menu[#Headers],0),FALSE),"CHECK")</f>
        <v>80.92</v>
      </c>
      <c r="F628" t="str">
        <f>IFERROR(VLOOKUP($B628,Menu[],MATCH(F$1,Menu[#Headers],0),FALSE),"CHECK")</f>
        <v>Hot Meal</v>
      </c>
      <c r="G628" s="7">
        <f>IFERROR(INT(VLOOKUP($A628,Orders[],MATCH("OrderDateTime",Orders[#Headers],0),FALSE)),"CHECK")</f>
        <v>45869</v>
      </c>
      <c r="H628" s="7" t="str">
        <f>IFERROR(VLOOKUP($A628,Orders[],MATCH(H$1,Orders[#Headers],0),FALSE),"CHECK")</f>
        <v>Plant 2 Canteen</v>
      </c>
      <c r="I628">
        <f>IFERROR(VLOOKUP(OrderLines[[#This Row],[OrderID]],Orders[],MATCH(OrderLines[[#Headers],[DiscountPct]],Orders[#Headers],0),FALSE),"CHECK")</f>
        <v>0.05</v>
      </c>
      <c r="J628" t="str">
        <f>IFERROR(VLOOKUP(OrderLines[[#This Row],[OrderID]],Orders[],MATCH(OrderLines[[#Headers],[Shift]],Orders[#Headers],0),FALSE),"CHECK")</f>
        <v>Lunch</v>
      </c>
      <c r="K628" s="11">
        <f>OrderLines[[#This Row],[Qty]] * OrderLines[[#This Row],[UnitPrice]] * (1-OrderLines[[#This Row],[DiscountPct]])</f>
        <v>278.16000000000003</v>
      </c>
      <c r="L628">
        <f>OrderLines[[#This Row],[Qty]]*OrderLines[[#This Row],[UnitCost]]</f>
        <v>161.84</v>
      </c>
    </row>
    <row r="629" spans="1:12" x14ac:dyDescent="0.25">
      <c r="A629" t="s">
        <v>282</v>
      </c>
      <c r="B629" t="s">
        <v>401</v>
      </c>
      <c r="C629">
        <v>1</v>
      </c>
      <c r="D629" s="9">
        <f>IFERROR(VLOOKUP($B629,Menu[],MATCH(D$1,Menu[#Headers],0),FALSE),"CHECK")</f>
        <v>52.45</v>
      </c>
      <c r="E629" s="9">
        <f>IFERROR(VLOOKUP($B629,Menu[],MATCH(E$1,Menu[#Headers],0),FALSE),"CHECK")</f>
        <v>25.8</v>
      </c>
      <c r="F629" t="str">
        <f>IFERROR(VLOOKUP($B629,Menu[],MATCH(F$1,Menu[#Headers],0),FALSE),"CHECK")</f>
        <v>Snack</v>
      </c>
      <c r="G629" s="7">
        <f>IFERROR(INT(VLOOKUP($A629,Orders[],MATCH("OrderDateTime",Orders[#Headers],0),FALSE)),"CHECK")</f>
        <v>45869</v>
      </c>
      <c r="H629" s="7" t="str">
        <f>IFERROR(VLOOKUP($A629,Orders[],MATCH(H$1,Orders[#Headers],0),FALSE),"CHECK")</f>
        <v>Plant 2 Canteen</v>
      </c>
      <c r="I629">
        <f>IFERROR(VLOOKUP(OrderLines[[#This Row],[OrderID]],Orders[],MATCH(OrderLines[[#Headers],[DiscountPct]],Orders[#Headers],0),FALSE),"CHECK")</f>
        <v>0.05</v>
      </c>
      <c r="J629" t="str">
        <f>IFERROR(VLOOKUP(OrderLines[[#This Row],[OrderID]],Orders[],MATCH(OrderLines[[#Headers],[Shift]],Orders[#Headers],0),FALSE),"CHECK")</f>
        <v>Lunch</v>
      </c>
      <c r="K629" s="11">
        <f>OrderLines[[#This Row],[Qty]] * OrderLines[[#This Row],[UnitPrice]] * (1-OrderLines[[#This Row],[DiscountPct]])</f>
        <v>49.827500000000001</v>
      </c>
      <c r="L629">
        <f>OrderLines[[#This Row],[Qty]]*OrderLines[[#This Row],[UnitCost]]</f>
        <v>25.8</v>
      </c>
    </row>
    <row r="630" spans="1:12" x14ac:dyDescent="0.25">
      <c r="A630" t="s">
        <v>283</v>
      </c>
      <c r="B630" t="s">
        <v>408</v>
      </c>
      <c r="C630">
        <v>3</v>
      </c>
      <c r="D630" s="9">
        <f>IFERROR(VLOOKUP($B630,Menu[],MATCH(D$1,Menu[#Headers],0),FALSE),"CHECK")</f>
        <v>70.540000000000006</v>
      </c>
      <c r="E630" s="9">
        <f>IFERROR(VLOOKUP($B630,Menu[],MATCH(E$1,Menu[#Headers],0),FALSE),"CHECK")</f>
        <v>35.81</v>
      </c>
      <c r="F630" t="str">
        <f>IFERROR(VLOOKUP($B630,Menu[],MATCH(F$1,Menu[#Headers],0),FALSE),"CHECK")</f>
        <v>Snack</v>
      </c>
      <c r="G630" s="7">
        <f>IFERROR(INT(VLOOKUP($A630,Orders[],MATCH("OrderDateTime",Orders[#Headers],0),FALSE)),"CHECK")</f>
        <v>45875</v>
      </c>
      <c r="H630" s="7" t="str">
        <f>IFERROR(VLOOKUP($A630,Orders[],MATCH(H$1,Orders[#Headers],0),FALSE),"CHECK")</f>
        <v>Plant 1 Canteen</v>
      </c>
      <c r="I630">
        <f>IFERROR(VLOOKUP(OrderLines[[#This Row],[OrderID]],Orders[],MATCH(OrderLines[[#Headers],[DiscountPct]],Orders[#Headers],0),FALSE),"CHECK")</f>
        <v>0.08</v>
      </c>
      <c r="J630" t="str">
        <f>IFERROR(VLOOKUP(OrderLines[[#This Row],[OrderID]],Orders[],MATCH(OrderLines[[#Headers],[Shift]],Orders[#Headers],0),FALSE),"CHECK")</f>
        <v>Lunch</v>
      </c>
      <c r="K630" s="11">
        <f>OrderLines[[#This Row],[Qty]] * OrderLines[[#This Row],[UnitPrice]] * (1-OrderLines[[#This Row],[DiscountPct]])</f>
        <v>194.69040000000001</v>
      </c>
      <c r="L630">
        <f>OrderLines[[#This Row],[Qty]]*OrderLines[[#This Row],[UnitCost]]</f>
        <v>107.43</v>
      </c>
    </row>
    <row r="631" spans="1:12" x14ac:dyDescent="0.25">
      <c r="A631" t="s">
        <v>284</v>
      </c>
      <c r="B631" t="s">
        <v>405</v>
      </c>
      <c r="C631">
        <v>2</v>
      </c>
      <c r="D631" s="9">
        <f>IFERROR(VLOOKUP($B631,Menu[],MATCH(D$1,Menu[#Headers],0),FALSE),"CHECK")</f>
        <v>170.83</v>
      </c>
      <c r="E631" s="9">
        <f>IFERROR(VLOOKUP($B631,Menu[],MATCH(E$1,Menu[#Headers],0),FALSE),"CHECK")</f>
        <v>74.069999999999993</v>
      </c>
      <c r="F631" t="str">
        <f>IFERROR(VLOOKUP($B631,Menu[],MATCH(F$1,Menu[#Headers],0),FALSE),"CHECK")</f>
        <v>Hot Meal</v>
      </c>
      <c r="G631" s="7">
        <f>IFERROR(INT(VLOOKUP($A631,Orders[],MATCH("OrderDateTime",Orders[#Headers],0),FALSE)),"CHECK")</f>
        <v>45848</v>
      </c>
      <c r="H631" s="7" t="str">
        <f>IFERROR(VLOOKUP($A631,Orders[],MATCH(H$1,Orders[#Headers],0),FALSE),"CHECK")</f>
        <v>Plant 1 Canteen</v>
      </c>
      <c r="I631">
        <f>IFERROR(VLOOKUP(OrderLines[[#This Row],[OrderID]],Orders[],MATCH(OrderLines[[#Headers],[DiscountPct]],Orders[#Headers],0),FALSE),"CHECK")</f>
        <v>7.0000000000000007E-2</v>
      </c>
      <c r="J631" t="str">
        <f>IFERROR(VLOOKUP(OrderLines[[#This Row],[OrderID]],Orders[],MATCH(OrderLines[[#Headers],[Shift]],Orders[#Headers],0),FALSE),"CHECK")</f>
        <v>Breakfast</v>
      </c>
      <c r="K631" s="11">
        <f>OrderLines[[#This Row],[Qty]] * OrderLines[[#This Row],[UnitPrice]] * (1-OrderLines[[#This Row],[DiscountPct]])</f>
        <v>317.74380000000002</v>
      </c>
      <c r="L631">
        <f>OrderLines[[#This Row],[Qty]]*OrderLines[[#This Row],[UnitCost]]</f>
        <v>148.13999999999999</v>
      </c>
    </row>
    <row r="632" spans="1:12" x14ac:dyDescent="0.25">
      <c r="A632" t="s">
        <v>284</v>
      </c>
      <c r="B632" t="s">
        <v>407</v>
      </c>
      <c r="C632">
        <v>2</v>
      </c>
      <c r="D632" s="9">
        <f>IFERROR(VLOOKUP($B632,Menu[],MATCH(D$1,Menu[#Headers],0),FALSE),"CHECK")</f>
        <v>246.09</v>
      </c>
      <c r="E632" s="9">
        <f>IFERROR(VLOOKUP($B632,Menu[],MATCH(E$1,Menu[#Headers],0),FALSE),"CHECK")</f>
        <v>112.08</v>
      </c>
      <c r="F632" t="str">
        <f>IFERROR(VLOOKUP($B632,Menu[],MATCH(F$1,Menu[#Headers],0),FALSE),"CHECK")</f>
        <v>Hot Meal</v>
      </c>
      <c r="G632" s="7">
        <f>IFERROR(INT(VLOOKUP($A632,Orders[],MATCH("OrderDateTime",Orders[#Headers],0),FALSE)),"CHECK")</f>
        <v>45848</v>
      </c>
      <c r="H632" s="7" t="str">
        <f>IFERROR(VLOOKUP($A632,Orders[],MATCH(H$1,Orders[#Headers],0),FALSE),"CHECK")</f>
        <v>Plant 1 Canteen</v>
      </c>
      <c r="I632">
        <f>IFERROR(VLOOKUP(OrderLines[[#This Row],[OrderID]],Orders[],MATCH(OrderLines[[#Headers],[DiscountPct]],Orders[#Headers],0),FALSE),"CHECK")</f>
        <v>7.0000000000000007E-2</v>
      </c>
      <c r="J632" t="str">
        <f>IFERROR(VLOOKUP(OrderLines[[#This Row],[OrderID]],Orders[],MATCH(OrderLines[[#Headers],[Shift]],Orders[#Headers],0),FALSE),"CHECK")</f>
        <v>Breakfast</v>
      </c>
      <c r="K632" s="11">
        <f>OrderLines[[#This Row],[Qty]] * OrderLines[[#This Row],[UnitPrice]] * (1-OrderLines[[#This Row],[DiscountPct]])</f>
        <v>457.72739999999999</v>
      </c>
      <c r="L632">
        <f>OrderLines[[#This Row],[Qty]]*OrderLines[[#This Row],[UnitCost]]</f>
        <v>224.16</v>
      </c>
    </row>
    <row r="633" spans="1:12" x14ac:dyDescent="0.25">
      <c r="A633" t="s">
        <v>285</v>
      </c>
      <c r="B633" t="s">
        <v>418</v>
      </c>
      <c r="C633">
        <v>1</v>
      </c>
      <c r="D633" s="9">
        <f>IFERROR(VLOOKUP($B633,Menu[],MATCH(D$1,Menu[#Headers],0),FALSE),"CHECK")</f>
        <v>39.950000000000003</v>
      </c>
      <c r="E633" s="9">
        <f>IFERROR(VLOOKUP($B633,Menu[],MATCH(E$1,Menu[#Headers],0),FALSE),"CHECK")</f>
        <v>15.51</v>
      </c>
      <c r="F633" t="str">
        <f>IFERROR(VLOOKUP($B633,Menu[],MATCH(F$1,Menu[#Headers],0),FALSE),"CHECK")</f>
        <v>Snack</v>
      </c>
      <c r="G633" s="7">
        <f>IFERROR(INT(VLOOKUP($A633,Orders[],MATCH("OrderDateTime",Orders[#Headers],0),FALSE)),"CHECK")</f>
        <v>45875</v>
      </c>
      <c r="H633" s="7" t="str">
        <f>IFERROR(VLOOKUP($A633,Orders[],MATCH(H$1,Orders[#Headers],0),FALSE),"CHECK")</f>
        <v>Plant 1 Canteen</v>
      </c>
      <c r="I633">
        <f>IFERROR(VLOOKUP(OrderLines[[#This Row],[OrderID]],Orders[],MATCH(OrderLines[[#Headers],[DiscountPct]],Orders[#Headers],0),FALSE),"CHECK")</f>
        <v>0.04</v>
      </c>
      <c r="J633" t="str">
        <f>IFERROR(VLOOKUP(OrderLines[[#This Row],[OrderID]],Orders[],MATCH(OrderLines[[#Headers],[Shift]],Orders[#Headers],0),FALSE),"CHECK")</f>
        <v>Breakfast</v>
      </c>
      <c r="K633" s="11">
        <f>OrderLines[[#This Row],[Qty]] * OrderLines[[#This Row],[UnitPrice]] * (1-OrderLines[[#This Row],[DiscountPct]])</f>
        <v>38.352000000000004</v>
      </c>
      <c r="L633">
        <f>OrderLines[[#This Row],[Qty]]*OrderLines[[#This Row],[UnitCost]]</f>
        <v>15.51</v>
      </c>
    </row>
    <row r="634" spans="1:12" x14ac:dyDescent="0.25">
      <c r="A634" t="s">
        <v>285</v>
      </c>
      <c r="B634" t="s">
        <v>407</v>
      </c>
      <c r="C634">
        <v>1</v>
      </c>
      <c r="D634" s="9">
        <f>IFERROR(VLOOKUP($B634,Menu[],MATCH(D$1,Menu[#Headers],0),FALSE),"CHECK")</f>
        <v>246.09</v>
      </c>
      <c r="E634" s="9">
        <f>IFERROR(VLOOKUP($B634,Menu[],MATCH(E$1,Menu[#Headers],0),FALSE),"CHECK")</f>
        <v>112.08</v>
      </c>
      <c r="F634" t="str">
        <f>IFERROR(VLOOKUP($B634,Menu[],MATCH(F$1,Menu[#Headers],0),FALSE),"CHECK")</f>
        <v>Hot Meal</v>
      </c>
      <c r="G634" s="7">
        <f>IFERROR(INT(VLOOKUP($A634,Orders[],MATCH("OrderDateTime",Orders[#Headers],0),FALSE)),"CHECK")</f>
        <v>45875</v>
      </c>
      <c r="H634" s="7" t="str">
        <f>IFERROR(VLOOKUP($A634,Orders[],MATCH(H$1,Orders[#Headers],0),FALSE),"CHECK")</f>
        <v>Plant 1 Canteen</v>
      </c>
      <c r="I634">
        <f>IFERROR(VLOOKUP(OrderLines[[#This Row],[OrderID]],Orders[],MATCH(OrderLines[[#Headers],[DiscountPct]],Orders[#Headers],0),FALSE),"CHECK")</f>
        <v>0.04</v>
      </c>
      <c r="J634" t="str">
        <f>IFERROR(VLOOKUP(OrderLines[[#This Row],[OrderID]],Orders[],MATCH(OrderLines[[#Headers],[Shift]],Orders[#Headers],0),FALSE),"CHECK")</f>
        <v>Breakfast</v>
      </c>
      <c r="K634" s="11">
        <f>OrderLines[[#This Row],[Qty]] * OrderLines[[#This Row],[UnitPrice]] * (1-OrderLines[[#This Row],[DiscountPct]])</f>
        <v>236.24639999999999</v>
      </c>
      <c r="L634">
        <f>OrderLines[[#This Row],[Qty]]*OrderLines[[#This Row],[UnitCost]]</f>
        <v>112.08</v>
      </c>
    </row>
    <row r="635" spans="1:12" x14ac:dyDescent="0.25">
      <c r="A635" t="s">
        <v>286</v>
      </c>
      <c r="B635" t="s">
        <v>405</v>
      </c>
      <c r="C635">
        <v>2</v>
      </c>
      <c r="D635" s="9">
        <f>IFERROR(VLOOKUP($B635,Menu[],MATCH(D$1,Menu[#Headers],0),FALSE),"CHECK")</f>
        <v>170.83</v>
      </c>
      <c r="E635" s="9">
        <f>IFERROR(VLOOKUP($B635,Menu[],MATCH(E$1,Menu[#Headers],0),FALSE),"CHECK")</f>
        <v>74.069999999999993</v>
      </c>
      <c r="F635" t="str">
        <f>IFERROR(VLOOKUP($B635,Menu[],MATCH(F$1,Menu[#Headers],0),FALSE),"CHECK")</f>
        <v>Hot Meal</v>
      </c>
      <c r="G635" s="7">
        <f>IFERROR(INT(VLOOKUP($A635,Orders[],MATCH("OrderDateTime",Orders[#Headers],0),FALSE)),"CHECK")</f>
        <v>45893</v>
      </c>
      <c r="H635" s="7" t="str">
        <f>IFERROR(VLOOKUP($A635,Orders[],MATCH(H$1,Orders[#Headers],0),FALSE),"CHECK")</f>
        <v>Plant 2 Canteen</v>
      </c>
      <c r="I635">
        <f>IFERROR(VLOOKUP(OrderLines[[#This Row],[OrderID]],Orders[],MATCH(OrderLines[[#Headers],[DiscountPct]],Orders[#Headers],0),FALSE),"CHECK")</f>
        <v>0.05</v>
      </c>
      <c r="J635" t="str">
        <f>IFERROR(VLOOKUP(OrderLines[[#This Row],[OrderID]],Orders[],MATCH(OrderLines[[#Headers],[Shift]],Orders[#Headers],0),FALSE),"CHECK")</f>
        <v>Dinner</v>
      </c>
      <c r="K635" s="11">
        <f>OrderLines[[#This Row],[Qty]] * OrderLines[[#This Row],[UnitPrice]] * (1-OrderLines[[#This Row],[DiscountPct]])</f>
        <v>324.577</v>
      </c>
      <c r="L635">
        <f>OrderLines[[#This Row],[Qty]]*OrderLines[[#This Row],[UnitCost]]</f>
        <v>148.13999999999999</v>
      </c>
    </row>
    <row r="636" spans="1:12" x14ac:dyDescent="0.25">
      <c r="A636" t="s">
        <v>286</v>
      </c>
      <c r="B636" t="s">
        <v>407</v>
      </c>
      <c r="C636">
        <v>1</v>
      </c>
      <c r="D636" s="9">
        <f>IFERROR(VLOOKUP($B636,Menu[],MATCH(D$1,Menu[#Headers],0),FALSE),"CHECK")</f>
        <v>246.09</v>
      </c>
      <c r="E636" s="9">
        <f>IFERROR(VLOOKUP($B636,Menu[],MATCH(E$1,Menu[#Headers],0),FALSE),"CHECK")</f>
        <v>112.08</v>
      </c>
      <c r="F636" t="str">
        <f>IFERROR(VLOOKUP($B636,Menu[],MATCH(F$1,Menu[#Headers],0),FALSE),"CHECK")</f>
        <v>Hot Meal</v>
      </c>
      <c r="G636" s="7">
        <f>IFERROR(INT(VLOOKUP($A636,Orders[],MATCH("OrderDateTime",Orders[#Headers],0),FALSE)),"CHECK")</f>
        <v>45893</v>
      </c>
      <c r="H636" s="7" t="str">
        <f>IFERROR(VLOOKUP($A636,Orders[],MATCH(H$1,Orders[#Headers],0),FALSE),"CHECK")</f>
        <v>Plant 2 Canteen</v>
      </c>
      <c r="I636">
        <f>IFERROR(VLOOKUP(OrderLines[[#This Row],[OrderID]],Orders[],MATCH(OrderLines[[#Headers],[DiscountPct]],Orders[#Headers],0),FALSE),"CHECK")</f>
        <v>0.05</v>
      </c>
      <c r="J636" t="str">
        <f>IFERROR(VLOOKUP(OrderLines[[#This Row],[OrderID]],Orders[],MATCH(OrderLines[[#Headers],[Shift]],Orders[#Headers],0),FALSE),"CHECK")</f>
        <v>Dinner</v>
      </c>
      <c r="K636" s="11">
        <f>OrderLines[[#This Row],[Qty]] * OrderLines[[#This Row],[UnitPrice]] * (1-OrderLines[[#This Row],[DiscountPct]])</f>
        <v>233.78549999999998</v>
      </c>
      <c r="L636">
        <f>OrderLines[[#This Row],[Qty]]*OrderLines[[#This Row],[UnitCost]]</f>
        <v>112.08</v>
      </c>
    </row>
    <row r="637" spans="1:12" x14ac:dyDescent="0.25">
      <c r="A637" t="s">
        <v>286</v>
      </c>
      <c r="B637" t="s">
        <v>412</v>
      </c>
      <c r="C637">
        <v>1</v>
      </c>
      <c r="D637" s="9">
        <f>IFERROR(VLOOKUP($B637,Menu[],MATCH(D$1,Menu[#Headers],0),FALSE),"CHECK")</f>
        <v>57.07</v>
      </c>
      <c r="E637" s="9">
        <f>IFERROR(VLOOKUP($B637,Menu[],MATCH(E$1,Menu[#Headers],0),FALSE),"CHECK")</f>
        <v>29.14</v>
      </c>
      <c r="F637" t="str">
        <f>IFERROR(VLOOKUP($B637,Menu[],MATCH(F$1,Menu[#Headers],0),FALSE),"CHECK")</f>
        <v>Dessert</v>
      </c>
      <c r="G637" s="7">
        <f>IFERROR(INT(VLOOKUP($A637,Orders[],MATCH("OrderDateTime",Orders[#Headers],0),FALSE)),"CHECK")</f>
        <v>45893</v>
      </c>
      <c r="H637" s="7" t="str">
        <f>IFERROR(VLOOKUP($A637,Orders[],MATCH(H$1,Orders[#Headers],0),FALSE),"CHECK")</f>
        <v>Plant 2 Canteen</v>
      </c>
      <c r="I637">
        <f>IFERROR(VLOOKUP(OrderLines[[#This Row],[OrderID]],Orders[],MATCH(OrderLines[[#Headers],[DiscountPct]],Orders[#Headers],0),FALSE),"CHECK")</f>
        <v>0.05</v>
      </c>
      <c r="J637" t="str">
        <f>IFERROR(VLOOKUP(OrderLines[[#This Row],[OrderID]],Orders[],MATCH(OrderLines[[#Headers],[Shift]],Orders[#Headers],0),FALSE),"CHECK")</f>
        <v>Dinner</v>
      </c>
      <c r="K637" s="11">
        <f>OrderLines[[#This Row],[Qty]] * OrderLines[[#This Row],[UnitPrice]] * (1-OrderLines[[#This Row],[DiscountPct]])</f>
        <v>54.216499999999996</v>
      </c>
      <c r="L637">
        <f>OrderLines[[#This Row],[Qty]]*OrderLines[[#This Row],[UnitCost]]</f>
        <v>29.14</v>
      </c>
    </row>
    <row r="638" spans="1:12" x14ac:dyDescent="0.25">
      <c r="A638" t="s">
        <v>287</v>
      </c>
      <c r="B638" t="s">
        <v>410</v>
      </c>
      <c r="C638">
        <v>3</v>
      </c>
      <c r="D638" s="9">
        <f>IFERROR(VLOOKUP($B638,Menu[],MATCH(D$1,Menu[#Headers],0),FALSE),"CHECK")</f>
        <v>20.11</v>
      </c>
      <c r="E638" s="9">
        <f>IFERROR(VLOOKUP($B638,Menu[],MATCH(E$1,Menu[#Headers],0),FALSE),"CHECK")</f>
        <v>8</v>
      </c>
      <c r="F638" t="str">
        <f>IFERROR(VLOOKUP($B638,Menu[],MATCH(F$1,Menu[#Headers],0),FALSE),"CHECK")</f>
        <v>Beverage</v>
      </c>
      <c r="G638" s="7">
        <f>IFERROR(INT(VLOOKUP($A638,Orders[],MATCH("OrderDateTime",Orders[#Headers],0),FALSE)),"CHECK")</f>
        <v>45873</v>
      </c>
      <c r="H638" s="7" t="str">
        <f>IFERROR(VLOOKUP($A638,Orders[],MATCH(H$1,Orders[#Headers],0),FALSE),"CHECK")</f>
        <v>Head Office Café</v>
      </c>
      <c r="I638">
        <f>IFERROR(VLOOKUP(OrderLines[[#This Row],[OrderID]],Orders[],MATCH(OrderLines[[#Headers],[DiscountPct]],Orders[#Headers],0),FALSE),"CHECK")</f>
        <v>0.04</v>
      </c>
      <c r="J638" t="str">
        <f>IFERROR(VLOOKUP(OrderLines[[#This Row],[OrderID]],Orders[],MATCH(OrderLines[[#Headers],[Shift]],Orders[#Headers],0),FALSE),"CHECK")</f>
        <v>Lunch</v>
      </c>
      <c r="K638" s="11">
        <f>OrderLines[[#This Row],[Qty]] * OrderLines[[#This Row],[UnitPrice]] * (1-OrderLines[[#This Row],[DiscountPct]])</f>
        <v>57.916799999999995</v>
      </c>
      <c r="L638">
        <f>OrderLines[[#This Row],[Qty]]*OrderLines[[#This Row],[UnitCost]]</f>
        <v>24</v>
      </c>
    </row>
    <row r="639" spans="1:12" x14ac:dyDescent="0.25">
      <c r="A639" t="s">
        <v>287</v>
      </c>
      <c r="B639" t="s">
        <v>416</v>
      </c>
      <c r="C639">
        <v>2</v>
      </c>
      <c r="D639" s="9">
        <f>IFERROR(VLOOKUP($B639,Menu[],MATCH(D$1,Menu[#Headers],0),FALSE),"CHECK")</f>
        <v>227.61</v>
      </c>
      <c r="E639" s="9">
        <f>IFERROR(VLOOKUP($B639,Menu[],MATCH(E$1,Menu[#Headers],0),FALSE),"CHECK")</f>
        <v>96.22</v>
      </c>
      <c r="F639" t="str">
        <f>IFERROR(VLOOKUP($B639,Menu[],MATCH(F$1,Menu[#Headers],0),FALSE),"CHECK")</f>
        <v>Hot Meal</v>
      </c>
      <c r="G639" s="7">
        <f>IFERROR(INT(VLOOKUP($A639,Orders[],MATCH("OrderDateTime",Orders[#Headers],0),FALSE)),"CHECK")</f>
        <v>45873</v>
      </c>
      <c r="H639" s="7" t="str">
        <f>IFERROR(VLOOKUP($A639,Orders[],MATCH(H$1,Orders[#Headers],0),FALSE),"CHECK")</f>
        <v>Head Office Café</v>
      </c>
      <c r="I639">
        <f>IFERROR(VLOOKUP(OrderLines[[#This Row],[OrderID]],Orders[],MATCH(OrderLines[[#Headers],[DiscountPct]],Orders[#Headers],0),FALSE),"CHECK")</f>
        <v>0.04</v>
      </c>
      <c r="J639" t="str">
        <f>IFERROR(VLOOKUP(OrderLines[[#This Row],[OrderID]],Orders[],MATCH(OrderLines[[#Headers],[Shift]],Orders[#Headers],0),FALSE),"CHECK")</f>
        <v>Lunch</v>
      </c>
      <c r="K639" s="11">
        <f>OrderLines[[#This Row],[Qty]] * OrderLines[[#This Row],[UnitPrice]] * (1-OrderLines[[#This Row],[DiscountPct]])</f>
        <v>437.01120000000003</v>
      </c>
      <c r="L639">
        <f>OrderLines[[#This Row],[Qty]]*OrderLines[[#This Row],[UnitCost]]</f>
        <v>192.44</v>
      </c>
    </row>
    <row r="640" spans="1:12" x14ac:dyDescent="0.25">
      <c r="A640" t="s">
        <v>287</v>
      </c>
      <c r="B640" t="s">
        <v>412</v>
      </c>
      <c r="C640">
        <v>2</v>
      </c>
      <c r="D640" s="9">
        <f>IFERROR(VLOOKUP($B640,Menu[],MATCH(D$1,Menu[#Headers],0),FALSE),"CHECK")</f>
        <v>57.07</v>
      </c>
      <c r="E640" s="9">
        <f>IFERROR(VLOOKUP($B640,Menu[],MATCH(E$1,Menu[#Headers],0),FALSE),"CHECK")</f>
        <v>29.14</v>
      </c>
      <c r="F640" t="str">
        <f>IFERROR(VLOOKUP($B640,Menu[],MATCH(F$1,Menu[#Headers],0),FALSE),"CHECK")</f>
        <v>Dessert</v>
      </c>
      <c r="G640" s="7">
        <f>IFERROR(INT(VLOOKUP($A640,Orders[],MATCH("OrderDateTime",Orders[#Headers],0),FALSE)),"CHECK")</f>
        <v>45873</v>
      </c>
      <c r="H640" s="7" t="str">
        <f>IFERROR(VLOOKUP($A640,Orders[],MATCH(H$1,Orders[#Headers],0),FALSE),"CHECK")</f>
        <v>Head Office Café</v>
      </c>
      <c r="I640">
        <f>IFERROR(VLOOKUP(OrderLines[[#This Row],[OrderID]],Orders[],MATCH(OrderLines[[#Headers],[DiscountPct]],Orders[#Headers],0),FALSE),"CHECK")</f>
        <v>0.04</v>
      </c>
      <c r="J640" t="str">
        <f>IFERROR(VLOOKUP(OrderLines[[#This Row],[OrderID]],Orders[],MATCH(OrderLines[[#Headers],[Shift]],Orders[#Headers],0),FALSE),"CHECK")</f>
        <v>Lunch</v>
      </c>
      <c r="K640" s="11">
        <f>OrderLines[[#This Row],[Qty]] * OrderLines[[#This Row],[UnitPrice]] * (1-OrderLines[[#This Row],[DiscountPct]])</f>
        <v>109.5744</v>
      </c>
      <c r="L640">
        <f>OrderLines[[#This Row],[Qty]]*OrderLines[[#This Row],[UnitCost]]</f>
        <v>58.28</v>
      </c>
    </row>
    <row r="641" spans="1:12" x14ac:dyDescent="0.25">
      <c r="A641" t="s">
        <v>287</v>
      </c>
      <c r="B641" t="s">
        <v>407</v>
      </c>
      <c r="C641">
        <v>2</v>
      </c>
      <c r="D641" s="9">
        <f>IFERROR(VLOOKUP($B641,Menu[],MATCH(D$1,Menu[#Headers],0),FALSE),"CHECK")</f>
        <v>246.09</v>
      </c>
      <c r="E641" s="9">
        <f>IFERROR(VLOOKUP($B641,Menu[],MATCH(E$1,Menu[#Headers],0),FALSE),"CHECK")</f>
        <v>112.08</v>
      </c>
      <c r="F641" t="str">
        <f>IFERROR(VLOOKUP($B641,Menu[],MATCH(F$1,Menu[#Headers],0),FALSE),"CHECK")</f>
        <v>Hot Meal</v>
      </c>
      <c r="G641" s="7">
        <f>IFERROR(INT(VLOOKUP($A641,Orders[],MATCH("OrderDateTime",Orders[#Headers],0),FALSE)),"CHECK")</f>
        <v>45873</v>
      </c>
      <c r="H641" s="7" t="str">
        <f>IFERROR(VLOOKUP($A641,Orders[],MATCH(H$1,Orders[#Headers],0),FALSE),"CHECK")</f>
        <v>Head Office Café</v>
      </c>
      <c r="I641">
        <f>IFERROR(VLOOKUP(OrderLines[[#This Row],[OrderID]],Orders[],MATCH(OrderLines[[#Headers],[DiscountPct]],Orders[#Headers],0),FALSE),"CHECK")</f>
        <v>0.04</v>
      </c>
      <c r="J641" t="str">
        <f>IFERROR(VLOOKUP(OrderLines[[#This Row],[OrderID]],Orders[],MATCH(OrderLines[[#Headers],[Shift]],Orders[#Headers],0),FALSE),"CHECK")</f>
        <v>Lunch</v>
      </c>
      <c r="K641" s="11">
        <f>OrderLines[[#This Row],[Qty]] * OrderLines[[#This Row],[UnitPrice]] * (1-OrderLines[[#This Row],[DiscountPct]])</f>
        <v>472.49279999999999</v>
      </c>
      <c r="L641">
        <f>OrderLines[[#This Row],[Qty]]*OrderLines[[#This Row],[UnitCost]]</f>
        <v>224.16</v>
      </c>
    </row>
    <row r="642" spans="1:12" x14ac:dyDescent="0.25">
      <c r="A642" t="s">
        <v>288</v>
      </c>
      <c r="B642" t="s">
        <v>416</v>
      </c>
      <c r="C642">
        <v>3</v>
      </c>
      <c r="D642" s="9">
        <f>IFERROR(VLOOKUP($B642,Menu[],MATCH(D$1,Menu[#Headers],0),FALSE),"CHECK")</f>
        <v>227.61</v>
      </c>
      <c r="E642" s="9">
        <f>IFERROR(VLOOKUP($B642,Menu[],MATCH(E$1,Menu[#Headers],0),FALSE),"CHECK")</f>
        <v>96.22</v>
      </c>
      <c r="F642" t="str">
        <f>IFERROR(VLOOKUP($B642,Menu[],MATCH(F$1,Menu[#Headers],0),FALSE),"CHECK")</f>
        <v>Hot Meal</v>
      </c>
      <c r="G642" s="7">
        <f>IFERROR(INT(VLOOKUP($A642,Orders[],MATCH("OrderDateTime",Orders[#Headers],0),FALSE)),"CHECK")</f>
        <v>45867</v>
      </c>
      <c r="H642" s="7" t="str">
        <f>IFERROR(VLOOKUP($A642,Orders[],MATCH(H$1,Orders[#Headers],0),FALSE),"CHECK")</f>
        <v>Head Office Café</v>
      </c>
      <c r="I642">
        <f>IFERROR(VLOOKUP(OrderLines[[#This Row],[OrderID]],Orders[],MATCH(OrderLines[[#Headers],[DiscountPct]],Orders[#Headers],0),FALSE),"CHECK")</f>
        <v>0.04</v>
      </c>
      <c r="J642" t="str">
        <f>IFERROR(VLOOKUP(OrderLines[[#This Row],[OrderID]],Orders[],MATCH(OrderLines[[#Headers],[Shift]],Orders[#Headers],0),FALSE),"CHECK")</f>
        <v>Breakfast</v>
      </c>
      <c r="K642" s="11">
        <f>OrderLines[[#This Row],[Qty]] * OrderLines[[#This Row],[UnitPrice]] * (1-OrderLines[[#This Row],[DiscountPct]])</f>
        <v>655.51679999999999</v>
      </c>
      <c r="L642">
        <f>OrderLines[[#This Row],[Qty]]*OrderLines[[#This Row],[UnitCost]]</f>
        <v>288.65999999999997</v>
      </c>
    </row>
    <row r="643" spans="1:12" x14ac:dyDescent="0.25">
      <c r="A643" t="s">
        <v>288</v>
      </c>
      <c r="B643" t="s">
        <v>419</v>
      </c>
      <c r="C643">
        <v>1</v>
      </c>
      <c r="D643" s="9">
        <f>IFERROR(VLOOKUP($B643,Menu[],MATCH(D$1,Menu[#Headers],0),FALSE),"CHECK")</f>
        <v>50.19</v>
      </c>
      <c r="E643" s="9">
        <f>IFERROR(VLOOKUP($B643,Menu[],MATCH(E$1,Menu[#Headers],0),FALSE),"CHECK")</f>
        <v>22.61</v>
      </c>
      <c r="F643" t="str">
        <f>IFERROR(VLOOKUP($B643,Menu[],MATCH(F$1,Menu[#Headers],0),FALSE),"CHECK")</f>
        <v>Snack</v>
      </c>
      <c r="G643" s="7">
        <f>IFERROR(INT(VLOOKUP($A643,Orders[],MATCH("OrderDateTime",Orders[#Headers],0),FALSE)),"CHECK")</f>
        <v>45867</v>
      </c>
      <c r="H643" s="7" t="str">
        <f>IFERROR(VLOOKUP($A643,Orders[],MATCH(H$1,Orders[#Headers],0),FALSE),"CHECK")</f>
        <v>Head Office Café</v>
      </c>
      <c r="I643">
        <f>IFERROR(VLOOKUP(OrderLines[[#This Row],[OrderID]],Orders[],MATCH(OrderLines[[#Headers],[DiscountPct]],Orders[#Headers],0),FALSE),"CHECK")</f>
        <v>0.04</v>
      </c>
      <c r="J643" t="str">
        <f>IFERROR(VLOOKUP(OrderLines[[#This Row],[OrderID]],Orders[],MATCH(OrderLines[[#Headers],[Shift]],Orders[#Headers],0),FALSE),"CHECK")</f>
        <v>Breakfast</v>
      </c>
      <c r="K643" s="11">
        <f>OrderLines[[#This Row],[Qty]] * OrderLines[[#This Row],[UnitPrice]] * (1-OrderLines[[#This Row],[DiscountPct]])</f>
        <v>48.182399999999994</v>
      </c>
      <c r="L643">
        <f>OrderLines[[#This Row],[Qty]]*OrderLines[[#This Row],[UnitCost]]</f>
        <v>22.61</v>
      </c>
    </row>
    <row r="644" spans="1:12" x14ac:dyDescent="0.25">
      <c r="A644" t="s">
        <v>288</v>
      </c>
      <c r="B644" t="s">
        <v>417</v>
      </c>
      <c r="C644">
        <v>2</v>
      </c>
      <c r="D644" s="9">
        <f>IFERROR(VLOOKUP($B644,Menu[],MATCH(D$1,Menu[#Headers],0),FALSE),"CHECK")</f>
        <v>146.4</v>
      </c>
      <c r="E644" s="9">
        <f>IFERROR(VLOOKUP($B644,Menu[],MATCH(E$1,Menu[#Headers],0),FALSE),"CHECK")</f>
        <v>80.92</v>
      </c>
      <c r="F644" t="str">
        <f>IFERROR(VLOOKUP($B644,Menu[],MATCH(F$1,Menu[#Headers],0),FALSE),"CHECK")</f>
        <v>Hot Meal</v>
      </c>
      <c r="G644" s="7">
        <f>IFERROR(INT(VLOOKUP($A644,Orders[],MATCH("OrderDateTime",Orders[#Headers],0),FALSE)),"CHECK")</f>
        <v>45867</v>
      </c>
      <c r="H644" s="7" t="str">
        <f>IFERROR(VLOOKUP($A644,Orders[],MATCH(H$1,Orders[#Headers],0),FALSE),"CHECK")</f>
        <v>Head Office Café</v>
      </c>
      <c r="I644">
        <f>IFERROR(VLOOKUP(OrderLines[[#This Row],[OrderID]],Orders[],MATCH(OrderLines[[#Headers],[DiscountPct]],Orders[#Headers],0),FALSE),"CHECK")</f>
        <v>0.04</v>
      </c>
      <c r="J644" t="str">
        <f>IFERROR(VLOOKUP(OrderLines[[#This Row],[OrderID]],Orders[],MATCH(OrderLines[[#Headers],[Shift]],Orders[#Headers],0),FALSE),"CHECK")</f>
        <v>Breakfast</v>
      </c>
      <c r="K644" s="11">
        <f>OrderLines[[#This Row],[Qty]] * OrderLines[[#This Row],[UnitPrice]] * (1-OrderLines[[#This Row],[DiscountPct]])</f>
        <v>281.08800000000002</v>
      </c>
      <c r="L644">
        <f>OrderLines[[#This Row],[Qty]]*OrderLines[[#This Row],[UnitCost]]</f>
        <v>161.84</v>
      </c>
    </row>
    <row r="645" spans="1:12" x14ac:dyDescent="0.25">
      <c r="A645" t="s">
        <v>288</v>
      </c>
      <c r="B645" t="s">
        <v>415</v>
      </c>
      <c r="C645">
        <v>2</v>
      </c>
      <c r="D645" s="9">
        <f>IFERROR(VLOOKUP($B645,Menu[],MATCH(D$1,Menu[#Headers],0),FALSE),"CHECK")</f>
        <v>256.91000000000003</v>
      </c>
      <c r="E645" s="9">
        <f>IFERROR(VLOOKUP($B645,Menu[],MATCH(E$1,Menu[#Headers],0),FALSE),"CHECK")</f>
        <v>121.24</v>
      </c>
      <c r="F645" t="str">
        <f>IFERROR(VLOOKUP($B645,Menu[],MATCH(F$1,Menu[#Headers],0),FALSE),"CHECK")</f>
        <v>Hot Meal</v>
      </c>
      <c r="G645" s="7">
        <f>IFERROR(INT(VLOOKUP($A645,Orders[],MATCH("OrderDateTime",Orders[#Headers],0),FALSE)),"CHECK")</f>
        <v>45867</v>
      </c>
      <c r="H645" s="7" t="str">
        <f>IFERROR(VLOOKUP($A645,Orders[],MATCH(H$1,Orders[#Headers],0),FALSE),"CHECK")</f>
        <v>Head Office Café</v>
      </c>
      <c r="I645">
        <f>IFERROR(VLOOKUP(OrderLines[[#This Row],[OrderID]],Orders[],MATCH(OrderLines[[#Headers],[DiscountPct]],Orders[#Headers],0),FALSE),"CHECK")</f>
        <v>0.04</v>
      </c>
      <c r="J645" t="str">
        <f>IFERROR(VLOOKUP(OrderLines[[#This Row],[OrderID]],Orders[],MATCH(OrderLines[[#Headers],[Shift]],Orders[#Headers],0),FALSE),"CHECK")</f>
        <v>Breakfast</v>
      </c>
      <c r="K645" s="11">
        <f>OrderLines[[#This Row],[Qty]] * OrderLines[[#This Row],[UnitPrice]] * (1-OrderLines[[#This Row],[DiscountPct]])</f>
        <v>493.2672</v>
      </c>
      <c r="L645">
        <f>OrderLines[[#This Row],[Qty]]*OrderLines[[#This Row],[UnitCost]]</f>
        <v>242.48</v>
      </c>
    </row>
    <row r="646" spans="1:12" x14ac:dyDescent="0.25">
      <c r="A646" t="s">
        <v>289</v>
      </c>
      <c r="B646" t="s">
        <v>406</v>
      </c>
      <c r="C646">
        <v>2</v>
      </c>
      <c r="D646" s="9">
        <f>IFERROR(VLOOKUP($B646,Menu[],MATCH(D$1,Menu[#Headers],0),FALSE),"CHECK")</f>
        <v>38.06</v>
      </c>
      <c r="E646" s="9">
        <f>IFERROR(VLOOKUP($B646,Menu[],MATCH(E$1,Menu[#Headers],0),FALSE),"CHECK")</f>
        <v>19.55</v>
      </c>
      <c r="F646" t="str">
        <f>IFERROR(VLOOKUP($B646,Menu[],MATCH(F$1,Menu[#Headers],0),FALSE),"CHECK")</f>
        <v>Snack</v>
      </c>
      <c r="G646" s="7">
        <f>IFERROR(INT(VLOOKUP($A646,Orders[],MATCH("OrderDateTime",Orders[#Headers],0),FALSE)),"CHECK")</f>
        <v>45895</v>
      </c>
      <c r="H646" s="7" t="str">
        <f>IFERROR(VLOOKUP($A646,Orders[],MATCH(H$1,Orders[#Headers],0),FALSE),"CHECK")</f>
        <v>Head Office Café</v>
      </c>
      <c r="I646">
        <f>IFERROR(VLOOKUP(OrderLines[[#This Row],[OrderID]],Orders[],MATCH(OrderLines[[#Headers],[DiscountPct]],Orders[#Headers],0),FALSE),"CHECK")</f>
        <v>0.09</v>
      </c>
      <c r="J646" t="str">
        <f>IFERROR(VLOOKUP(OrderLines[[#This Row],[OrderID]],Orders[],MATCH(OrderLines[[#Headers],[Shift]],Orders[#Headers],0),FALSE),"CHECK")</f>
        <v>Breakfast</v>
      </c>
      <c r="K646" s="11">
        <f>OrderLines[[#This Row],[Qty]] * OrderLines[[#This Row],[UnitPrice]] * (1-OrderLines[[#This Row],[DiscountPct]])</f>
        <v>69.269200000000012</v>
      </c>
      <c r="L646">
        <f>OrderLines[[#This Row],[Qty]]*OrderLines[[#This Row],[UnitCost]]</f>
        <v>39.1</v>
      </c>
    </row>
    <row r="647" spans="1:12" x14ac:dyDescent="0.25">
      <c r="A647" t="s">
        <v>289</v>
      </c>
      <c r="B647" t="s">
        <v>415</v>
      </c>
      <c r="C647">
        <v>1</v>
      </c>
      <c r="D647" s="9">
        <f>IFERROR(VLOOKUP($B647,Menu[],MATCH(D$1,Menu[#Headers],0),FALSE),"CHECK")</f>
        <v>256.91000000000003</v>
      </c>
      <c r="E647" s="9">
        <f>IFERROR(VLOOKUP($B647,Menu[],MATCH(E$1,Menu[#Headers],0),FALSE),"CHECK")</f>
        <v>121.24</v>
      </c>
      <c r="F647" t="str">
        <f>IFERROR(VLOOKUP($B647,Menu[],MATCH(F$1,Menu[#Headers],0),FALSE),"CHECK")</f>
        <v>Hot Meal</v>
      </c>
      <c r="G647" s="7">
        <f>IFERROR(INT(VLOOKUP($A647,Orders[],MATCH("OrderDateTime",Orders[#Headers],0),FALSE)),"CHECK")</f>
        <v>45895</v>
      </c>
      <c r="H647" s="7" t="str">
        <f>IFERROR(VLOOKUP($A647,Orders[],MATCH(H$1,Orders[#Headers],0),FALSE),"CHECK")</f>
        <v>Head Office Café</v>
      </c>
      <c r="I647">
        <f>IFERROR(VLOOKUP(OrderLines[[#This Row],[OrderID]],Orders[],MATCH(OrderLines[[#Headers],[DiscountPct]],Orders[#Headers],0),FALSE),"CHECK")</f>
        <v>0.09</v>
      </c>
      <c r="J647" t="str">
        <f>IFERROR(VLOOKUP(OrderLines[[#This Row],[OrderID]],Orders[],MATCH(OrderLines[[#Headers],[Shift]],Orders[#Headers],0),FALSE),"CHECK")</f>
        <v>Breakfast</v>
      </c>
      <c r="K647" s="11">
        <f>OrderLines[[#This Row],[Qty]] * OrderLines[[#This Row],[UnitPrice]] * (1-OrderLines[[#This Row],[DiscountPct]])</f>
        <v>233.78810000000004</v>
      </c>
      <c r="L647">
        <f>OrderLines[[#This Row],[Qty]]*OrderLines[[#This Row],[UnitCost]]</f>
        <v>121.24</v>
      </c>
    </row>
    <row r="648" spans="1:12" x14ac:dyDescent="0.25">
      <c r="A648" t="s">
        <v>289</v>
      </c>
      <c r="B648" t="s">
        <v>416</v>
      </c>
      <c r="C648">
        <v>3</v>
      </c>
      <c r="D648" s="9">
        <f>IFERROR(VLOOKUP($B648,Menu[],MATCH(D$1,Menu[#Headers],0),FALSE),"CHECK")</f>
        <v>227.61</v>
      </c>
      <c r="E648" s="9">
        <f>IFERROR(VLOOKUP($B648,Menu[],MATCH(E$1,Menu[#Headers],0),FALSE),"CHECK")</f>
        <v>96.22</v>
      </c>
      <c r="F648" t="str">
        <f>IFERROR(VLOOKUP($B648,Menu[],MATCH(F$1,Menu[#Headers],0),FALSE),"CHECK")</f>
        <v>Hot Meal</v>
      </c>
      <c r="G648" s="7">
        <f>IFERROR(INT(VLOOKUP($A648,Orders[],MATCH("OrderDateTime",Orders[#Headers],0),FALSE)),"CHECK")</f>
        <v>45895</v>
      </c>
      <c r="H648" s="7" t="str">
        <f>IFERROR(VLOOKUP($A648,Orders[],MATCH(H$1,Orders[#Headers],0),FALSE),"CHECK")</f>
        <v>Head Office Café</v>
      </c>
      <c r="I648">
        <f>IFERROR(VLOOKUP(OrderLines[[#This Row],[OrderID]],Orders[],MATCH(OrderLines[[#Headers],[DiscountPct]],Orders[#Headers],0),FALSE),"CHECK")</f>
        <v>0.09</v>
      </c>
      <c r="J648" t="str">
        <f>IFERROR(VLOOKUP(OrderLines[[#This Row],[OrderID]],Orders[],MATCH(OrderLines[[#Headers],[Shift]],Orders[#Headers],0),FALSE),"CHECK")</f>
        <v>Breakfast</v>
      </c>
      <c r="K648" s="11">
        <f>OrderLines[[#This Row],[Qty]] * OrderLines[[#This Row],[UnitPrice]] * (1-OrderLines[[#This Row],[DiscountPct]])</f>
        <v>621.37530000000004</v>
      </c>
      <c r="L648">
        <f>OrderLines[[#This Row],[Qty]]*OrderLines[[#This Row],[UnitCost]]</f>
        <v>288.65999999999997</v>
      </c>
    </row>
    <row r="649" spans="1:12" x14ac:dyDescent="0.25">
      <c r="A649" t="s">
        <v>290</v>
      </c>
      <c r="B649" t="s">
        <v>416</v>
      </c>
      <c r="C649">
        <v>1</v>
      </c>
      <c r="D649" s="9">
        <f>IFERROR(VLOOKUP($B649,Menu[],MATCH(D$1,Menu[#Headers],0),FALSE),"CHECK")</f>
        <v>227.61</v>
      </c>
      <c r="E649" s="9">
        <f>IFERROR(VLOOKUP($B649,Menu[],MATCH(E$1,Menu[#Headers],0),FALSE),"CHECK")</f>
        <v>96.22</v>
      </c>
      <c r="F649" t="str">
        <f>IFERROR(VLOOKUP($B649,Menu[],MATCH(F$1,Menu[#Headers],0),FALSE),"CHECK")</f>
        <v>Hot Meal</v>
      </c>
      <c r="G649" s="7">
        <f>IFERROR(INT(VLOOKUP($A649,Orders[],MATCH("OrderDateTime",Orders[#Headers],0),FALSE)),"CHECK")</f>
        <v>45861</v>
      </c>
      <c r="H649" s="7" t="str">
        <f>IFERROR(VLOOKUP($A649,Orders[],MATCH(H$1,Orders[#Headers],0),FALSE),"CHECK")</f>
        <v>Plant 1 Canteen</v>
      </c>
      <c r="I649">
        <f>IFERROR(VLOOKUP(OrderLines[[#This Row],[OrderID]],Orders[],MATCH(OrderLines[[#Headers],[DiscountPct]],Orders[#Headers],0),FALSE),"CHECK")</f>
        <v>7.0000000000000007E-2</v>
      </c>
      <c r="J649" t="str">
        <f>IFERROR(VLOOKUP(OrderLines[[#This Row],[OrderID]],Orders[],MATCH(OrderLines[[#Headers],[Shift]],Orders[#Headers],0),FALSE),"CHECK")</f>
        <v>Breakfast</v>
      </c>
      <c r="K649" s="11">
        <f>OrderLines[[#This Row],[Qty]] * OrderLines[[#This Row],[UnitPrice]] * (1-OrderLines[[#This Row],[DiscountPct]])</f>
        <v>211.6773</v>
      </c>
      <c r="L649">
        <f>OrderLines[[#This Row],[Qty]]*OrderLines[[#This Row],[UnitCost]]</f>
        <v>96.22</v>
      </c>
    </row>
    <row r="650" spans="1:12" x14ac:dyDescent="0.25">
      <c r="A650" t="s">
        <v>290</v>
      </c>
      <c r="B650" t="s">
        <v>401</v>
      </c>
      <c r="C650">
        <v>1</v>
      </c>
      <c r="D650" s="9">
        <f>IFERROR(VLOOKUP($B650,Menu[],MATCH(D$1,Menu[#Headers],0),FALSE),"CHECK")</f>
        <v>52.45</v>
      </c>
      <c r="E650" s="9">
        <f>IFERROR(VLOOKUP($B650,Menu[],MATCH(E$1,Menu[#Headers],0),FALSE),"CHECK")</f>
        <v>25.8</v>
      </c>
      <c r="F650" t="str">
        <f>IFERROR(VLOOKUP($B650,Menu[],MATCH(F$1,Menu[#Headers],0),FALSE),"CHECK")</f>
        <v>Snack</v>
      </c>
      <c r="G650" s="7">
        <f>IFERROR(INT(VLOOKUP($A650,Orders[],MATCH("OrderDateTime",Orders[#Headers],0),FALSE)),"CHECK")</f>
        <v>45861</v>
      </c>
      <c r="H650" s="7" t="str">
        <f>IFERROR(VLOOKUP($A650,Orders[],MATCH(H$1,Orders[#Headers],0),FALSE),"CHECK")</f>
        <v>Plant 1 Canteen</v>
      </c>
      <c r="I650">
        <f>IFERROR(VLOOKUP(OrderLines[[#This Row],[OrderID]],Orders[],MATCH(OrderLines[[#Headers],[DiscountPct]],Orders[#Headers],0),FALSE),"CHECK")</f>
        <v>7.0000000000000007E-2</v>
      </c>
      <c r="J650" t="str">
        <f>IFERROR(VLOOKUP(OrderLines[[#This Row],[OrderID]],Orders[],MATCH(OrderLines[[#Headers],[Shift]],Orders[#Headers],0),FALSE),"CHECK")</f>
        <v>Breakfast</v>
      </c>
      <c r="K650" s="11">
        <f>OrderLines[[#This Row],[Qty]] * OrderLines[[#This Row],[UnitPrice]] * (1-OrderLines[[#This Row],[DiscountPct]])</f>
        <v>48.778500000000001</v>
      </c>
      <c r="L650">
        <f>OrderLines[[#This Row],[Qty]]*OrderLines[[#This Row],[UnitCost]]</f>
        <v>25.8</v>
      </c>
    </row>
    <row r="651" spans="1:12" x14ac:dyDescent="0.25">
      <c r="A651" t="s">
        <v>291</v>
      </c>
      <c r="B651" t="s">
        <v>408</v>
      </c>
      <c r="C651">
        <v>2</v>
      </c>
      <c r="D651" s="9">
        <f>IFERROR(VLOOKUP($B651,Menu[],MATCH(D$1,Menu[#Headers],0),FALSE),"CHECK")</f>
        <v>70.540000000000006</v>
      </c>
      <c r="E651" s="9">
        <f>IFERROR(VLOOKUP($B651,Menu[],MATCH(E$1,Menu[#Headers],0),FALSE),"CHECK")</f>
        <v>35.81</v>
      </c>
      <c r="F651" t="str">
        <f>IFERROR(VLOOKUP($B651,Menu[],MATCH(F$1,Menu[#Headers],0),FALSE),"CHECK")</f>
        <v>Snack</v>
      </c>
      <c r="G651" s="7">
        <f>IFERROR(INT(VLOOKUP($A651,Orders[],MATCH("OrderDateTime",Orders[#Headers],0),FALSE)),"CHECK")</f>
        <v>45850</v>
      </c>
      <c r="H651" s="7" t="str">
        <f>IFERROR(VLOOKUP($A651,Orders[],MATCH(H$1,Orders[#Headers],0),FALSE),"CHECK")</f>
        <v>Plant 2 Canteen</v>
      </c>
      <c r="I651">
        <f>IFERROR(VLOOKUP(OrderLines[[#This Row],[OrderID]],Orders[],MATCH(OrderLines[[#Headers],[DiscountPct]],Orders[#Headers],0),FALSE),"CHECK")</f>
        <v>0.03</v>
      </c>
      <c r="J651" t="str">
        <f>IFERROR(VLOOKUP(OrderLines[[#This Row],[OrderID]],Orders[],MATCH(OrderLines[[#Headers],[Shift]],Orders[#Headers],0),FALSE),"CHECK")</f>
        <v>Breakfast</v>
      </c>
      <c r="K651" s="11">
        <f>OrderLines[[#This Row],[Qty]] * OrderLines[[#This Row],[UnitPrice]] * (1-OrderLines[[#This Row],[DiscountPct]])</f>
        <v>136.8476</v>
      </c>
      <c r="L651">
        <f>OrderLines[[#This Row],[Qty]]*OrderLines[[#This Row],[UnitCost]]</f>
        <v>71.62</v>
      </c>
    </row>
    <row r="652" spans="1:12" x14ac:dyDescent="0.25">
      <c r="A652" t="s">
        <v>291</v>
      </c>
      <c r="B652" t="s">
        <v>406</v>
      </c>
      <c r="C652">
        <v>2</v>
      </c>
      <c r="D652" s="9">
        <f>IFERROR(VLOOKUP($B652,Menu[],MATCH(D$1,Menu[#Headers],0),FALSE),"CHECK")</f>
        <v>38.06</v>
      </c>
      <c r="E652" s="9">
        <f>IFERROR(VLOOKUP($B652,Menu[],MATCH(E$1,Menu[#Headers],0),FALSE),"CHECK")</f>
        <v>19.55</v>
      </c>
      <c r="F652" t="str">
        <f>IFERROR(VLOOKUP($B652,Menu[],MATCH(F$1,Menu[#Headers],0),FALSE),"CHECK")</f>
        <v>Snack</v>
      </c>
      <c r="G652" s="7">
        <f>IFERROR(INT(VLOOKUP($A652,Orders[],MATCH("OrderDateTime",Orders[#Headers],0),FALSE)),"CHECK")</f>
        <v>45850</v>
      </c>
      <c r="H652" s="7" t="str">
        <f>IFERROR(VLOOKUP($A652,Orders[],MATCH(H$1,Orders[#Headers],0),FALSE),"CHECK")</f>
        <v>Plant 2 Canteen</v>
      </c>
      <c r="I652">
        <f>IFERROR(VLOOKUP(OrderLines[[#This Row],[OrderID]],Orders[],MATCH(OrderLines[[#Headers],[DiscountPct]],Orders[#Headers],0),FALSE),"CHECK")</f>
        <v>0.03</v>
      </c>
      <c r="J652" t="str">
        <f>IFERROR(VLOOKUP(OrderLines[[#This Row],[OrderID]],Orders[],MATCH(OrderLines[[#Headers],[Shift]],Orders[#Headers],0),FALSE),"CHECK")</f>
        <v>Breakfast</v>
      </c>
      <c r="K652" s="11">
        <f>OrderLines[[#This Row],[Qty]] * OrderLines[[#This Row],[UnitPrice]] * (1-OrderLines[[#This Row],[DiscountPct]])</f>
        <v>73.836399999999998</v>
      </c>
      <c r="L652">
        <f>OrderLines[[#This Row],[Qty]]*OrderLines[[#This Row],[UnitCost]]</f>
        <v>39.1</v>
      </c>
    </row>
    <row r="653" spans="1:12" x14ac:dyDescent="0.25">
      <c r="A653" t="s">
        <v>291</v>
      </c>
      <c r="B653" t="s">
        <v>411</v>
      </c>
      <c r="C653">
        <v>2</v>
      </c>
      <c r="D653" s="9">
        <f>IFERROR(VLOOKUP($B653,Menu[],MATCH(D$1,Menu[#Headers],0),FALSE),"CHECK")</f>
        <v>22.2</v>
      </c>
      <c r="E653" s="9">
        <f>IFERROR(VLOOKUP($B653,Menu[],MATCH(E$1,Menu[#Headers],0),FALSE),"CHECK")</f>
        <v>9.3800000000000008</v>
      </c>
      <c r="F653" t="str">
        <f>IFERROR(VLOOKUP($B653,Menu[],MATCH(F$1,Menu[#Headers],0),FALSE),"CHECK")</f>
        <v>Beverage</v>
      </c>
      <c r="G653" s="7">
        <f>IFERROR(INT(VLOOKUP($A653,Orders[],MATCH("OrderDateTime",Orders[#Headers],0),FALSE)),"CHECK")</f>
        <v>45850</v>
      </c>
      <c r="H653" s="7" t="str">
        <f>IFERROR(VLOOKUP($A653,Orders[],MATCH(H$1,Orders[#Headers],0),FALSE),"CHECK")</f>
        <v>Plant 2 Canteen</v>
      </c>
      <c r="I653">
        <f>IFERROR(VLOOKUP(OrderLines[[#This Row],[OrderID]],Orders[],MATCH(OrderLines[[#Headers],[DiscountPct]],Orders[#Headers],0),FALSE),"CHECK")</f>
        <v>0.03</v>
      </c>
      <c r="J653" t="str">
        <f>IFERROR(VLOOKUP(OrderLines[[#This Row],[OrderID]],Orders[],MATCH(OrderLines[[#Headers],[Shift]],Orders[#Headers],0),FALSE),"CHECK")</f>
        <v>Breakfast</v>
      </c>
      <c r="K653" s="11">
        <f>OrderLines[[#This Row],[Qty]] * OrderLines[[#This Row],[UnitPrice]] * (1-OrderLines[[#This Row],[DiscountPct]])</f>
        <v>43.067999999999998</v>
      </c>
      <c r="L653">
        <f>OrderLines[[#This Row],[Qty]]*OrderLines[[#This Row],[UnitCost]]</f>
        <v>18.760000000000002</v>
      </c>
    </row>
    <row r="654" spans="1:12" x14ac:dyDescent="0.25">
      <c r="A654" t="s">
        <v>291</v>
      </c>
      <c r="B654" t="s">
        <v>416</v>
      </c>
      <c r="C654">
        <v>1</v>
      </c>
      <c r="D654" s="9">
        <f>IFERROR(VLOOKUP($B654,Menu[],MATCH(D$1,Menu[#Headers],0),FALSE),"CHECK")</f>
        <v>227.61</v>
      </c>
      <c r="E654" s="9">
        <f>IFERROR(VLOOKUP($B654,Menu[],MATCH(E$1,Menu[#Headers],0),FALSE),"CHECK")</f>
        <v>96.22</v>
      </c>
      <c r="F654" t="str">
        <f>IFERROR(VLOOKUP($B654,Menu[],MATCH(F$1,Menu[#Headers],0),FALSE),"CHECK")</f>
        <v>Hot Meal</v>
      </c>
      <c r="G654" s="7">
        <f>IFERROR(INT(VLOOKUP($A654,Orders[],MATCH("OrderDateTime",Orders[#Headers],0),FALSE)),"CHECK")</f>
        <v>45850</v>
      </c>
      <c r="H654" s="7" t="str">
        <f>IFERROR(VLOOKUP($A654,Orders[],MATCH(H$1,Orders[#Headers],0),FALSE),"CHECK")</f>
        <v>Plant 2 Canteen</v>
      </c>
      <c r="I654">
        <f>IFERROR(VLOOKUP(OrderLines[[#This Row],[OrderID]],Orders[],MATCH(OrderLines[[#Headers],[DiscountPct]],Orders[#Headers],0),FALSE),"CHECK")</f>
        <v>0.03</v>
      </c>
      <c r="J654" t="str">
        <f>IFERROR(VLOOKUP(OrderLines[[#This Row],[OrderID]],Orders[],MATCH(OrderLines[[#Headers],[Shift]],Orders[#Headers],0),FALSE),"CHECK")</f>
        <v>Breakfast</v>
      </c>
      <c r="K654" s="11">
        <f>OrderLines[[#This Row],[Qty]] * OrderLines[[#This Row],[UnitPrice]] * (1-OrderLines[[#This Row],[DiscountPct]])</f>
        <v>220.7817</v>
      </c>
      <c r="L654">
        <f>OrderLines[[#This Row],[Qty]]*OrderLines[[#This Row],[UnitCost]]</f>
        <v>96.22</v>
      </c>
    </row>
    <row r="655" spans="1:12" x14ac:dyDescent="0.25">
      <c r="A655" t="s">
        <v>292</v>
      </c>
      <c r="B655" t="s">
        <v>418</v>
      </c>
      <c r="C655">
        <v>2</v>
      </c>
      <c r="D655" s="9">
        <f>IFERROR(VLOOKUP($B655,Menu[],MATCH(D$1,Menu[#Headers],0),FALSE),"CHECK")</f>
        <v>39.950000000000003</v>
      </c>
      <c r="E655" s="9">
        <f>IFERROR(VLOOKUP($B655,Menu[],MATCH(E$1,Menu[#Headers],0),FALSE),"CHECK")</f>
        <v>15.51</v>
      </c>
      <c r="F655" t="str">
        <f>IFERROR(VLOOKUP($B655,Menu[],MATCH(F$1,Menu[#Headers],0),FALSE),"CHECK")</f>
        <v>Snack</v>
      </c>
      <c r="G655" s="7">
        <f>IFERROR(INT(VLOOKUP($A655,Orders[],MATCH("OrderDateTime",Orders[#Headers],0),FALSE)),"CHECK")</f>
        <v>45893</v>
      </c>
      <c r="H655" s="7" t="str">
        <f>IFERROR(VLOOKUP($A655,Orders[],MATCH(H$1,Orders[#Headers],0),FALSE),"CHECK")</f>
        <v>Head Office Café</v>
      </c>
      <c r="I655">
        <f>IFERROR(VLOOKUP(OrderLines[[#This Row],[OrderID]],Orders[],MATCH(OrderLines[[#Headers],[DiscountPct]],Orders[#Headers],0),FALSE),"CHECK")</f>
        <v>0.1</v>
      </c>
      <c r="J655" t="str">
        <f>IFERROR(VLOOKUP(OrderLines[[#This Row],[OrderID]],Orders[],MATCH(OrderLines[[#Headers],[Shift]],Orders[#Headers],0),FALSE),"CHECK")</f>
        <v>Dinner</v>
      </c>
      <c r="K655" s="11">
        <f>OrderLines[[#This Row],[Qty]] * OrderLines[[#This Row],[UnitPrice]] * (1-OrderLines[[#This Row],[DiscountPct]])</f>
        <v>71.910000000000011</v>
      </c>
      <c r="L655">
        <f>OrderLines[[#This Row],[Qty]]*OrderLines[[#This Row],[UnitCost]]</f>
        <v>31.02</v>
      </c>
    </row>
    <row r="656" spans="1:12" x14ac:dyDescent="0.25">
      <c r="A656" t="s">
        <v>292</v>
      </c>
      <c r="B656" t="s">
        <v>416</v>
      </c>
      <c r="C656">
        <v>1</v>
      </c>
      <c r="D656" s="9">
        <f>IFERROR(VLOOKUP($B656,Menu[],MATCH(D$1,Menu[#Headers],0),FALSE),"CHECK")</f>
        <v>227.61</v>
      </c>
      <c r="E656" s="9">
        <f>IFERROR(VLOOKUP($B656,Menu[],MATCH(E$1,Menu[#Headers],0),FALSE),"CHECK")</f>
        <v>96.22</v>
      </c>
      <c r="F656" t="str">
        <f>IFERROR(VLOOKUP($B656,Menu[],MATCH(F$1,Menu[#Headers],0),FALSE),"CHECK")</f>
        <v>Hot Meal</v>
      </c>
      <c r="G656" s="7">
        <f>IFERROR(INT(VLOOKUP($A656,Orders[],MATCH("OrderDateTime",Orders[#Headers],0),FALSE)),"CHECK")</f>
        <v>45893</v>
      </c>
      <c r="H656" s="7" t="str">
        <f>IFERROR(VLOOKUP($A656,Orders[],MATCH(H$1,Orders[#Headers],0),FALSE),"CHECK")</f>
        <v>Head Office Café</v>
      </c>
      <c r="I656">
        <f>IFERROR(VLOOKUP(OrderLines[[#This Row],[OrderID]],Orders[],MATCH(OrderLines[[#Headers],[DiscountPct]],Orders[#Headers],0),FALSE),"CHECK")</f>
        <v>0.1</v>
      </c>
      <c r="J656" t="str">
        <f>IFERROR(VLOOKUP(OrderLines[[#This Row],[OrderID]],Orders[],MATCH(OrderLines[[#Headers],[Shift]],Orders[#Headers],0),FALSE),"CHECK")</f>
        <v>Dinner</v>
      </c>
      <c r="K656" s="11">
        <f>OrderLines[[#This Row],[Qty]] * OrderLines[[#This Row],[UnitPrice]] * (1-OrderLines[[#This Row],[DiscountPct]])</f>
        <v>204.84900000000002</v>
      </c>
      <c r="L656">
        <f>OrderLines[[#This Row],[Qty]]*OrderLines[[#This Row],[UnitCost]]</f>
        <v>96.22</v>
      </c>
    </row>
    <row r="657" spans="1:12" x14ac:dyDescent="0.25">
      <c r="A657" t="s">
        <v>292</v>
      </c>
      <c r="B657" t="s">
        <v>415</v>
      </c>
      <c r="C657">
        <v>1</v>
      </c>
      <c r="D657" s="9">
        <f>IFERROR(VLOOKUP($B657,Menu[],MATCH(D$1,Menu[#Headers],0),FALSE),"CHECK")</f>
        <v>256.91000000000003</v>
      </c>
      <c r="E657" s="9">
        <f>IFERROR(VLOOKUP($B657,Menu[],MATCH(E$1,Menu[#Headers],0),FALSE),"CHECK")</f>
        <v>121.24</v>
      </c>
      <c r="F657" t="str">
        <f>IFERROR(VLOOKUP($B657,Menu[],MATCH(F$1,Menu[#Headers],0),FALSE),"CHECK")</f>
        <v>Hot Meal</v>
      </c>
      <c r="G657" s="7">
        <f>IFERROR(INT(VLOOKUP($A657,Orders[],MATCH("OrderDateTime",Orders[#Headers],0),FALSE)),"CHECK")</f>
        <v>45893</v>
      </c>
      <c r="H657" s="7" t="str">
        <f>IFERROR(VLOOKUP($A657,Orders[],MATCH(H$1,Orders[#Headers],0),FALSE),"CHECK")</f>
        <v>Head Office Café</v>
      </c>
      <c r="I657">
        <f>IFERROR(VLOOKUP(OrderLines[[#This Row],[OrderID]],Orders[],MATCH(OrderLines[[#Headers],[DiscountPct]],Orders[#Headers],0),FALSE),"CHECK")</f>
        <v>0.1</v>
      </c>
      <c r="J657" t="str">
        <f>IFERROR(VLOOKUP(OrderLines[[#This Row],[OrderID]],Orders[],MATCH(OrderLines[[#Headers],[Shift]],Orders[#Headers],0),FALSE),"CHECK")</f>
        <v>Dinner</v>
      </c>
      <c r="K657" s="11">
        <f>OrderLines[[#This Row],[Qty]] * OrderLines[[#This Row],[UnitPrice]] * (1-OrderLines[[#This Row],[DiscountPct]])</f>
        <v>231.21900000000002</v>
      </c>
      <c r="L657">
        <f>OrderLines[[#This Row],[Qty]]*OrderLines[[#This Row],[UnitCost]]</f>
        <v>121.24</v>
      </c>
    </row>
    <row r="658" spans="1:12" x14ac:dyDescent="0.25">
      <c r="A658" t="s">
        <v>293</v>
      </c>
      <c r="B658" t="s">
        <v>411</v>
      </c>
      <c r="C658">
        <v>1</v>
      </c>
      <c r="D658" s="9">
        <f>IFERROR(VLOOKUP($B658,Menu[],MATCH(D$1,Menu[#Headers],0),FALSE),"CHECK")</f>
        <v>22.2</v>
      </c>
      <c r="E658" s="9">
        <f>IFERROR(VLOOKUP($B658,Menu[],MATCH(E$1,Menu[#Headers],0),FALSE),"CHECK")</f>
        <v>9.3800000000000008</v>
      </c>
      <c r="F658" t="str">
        <f>IFERROR(VLOOKUP($B658,Menu[],MATCH(F$1,Menu[#Headers],0),FALSE),"CHECK")</f>
        <v>Beverage</v>
      </c>
      <c r="G658" s="7">
        <f>IFERROR(INT(VLOOKUP($A658,Orders[],MATCH("OrderDateTime",Orders[#Headers],0),FALSE)),"CHECK")</f>
        <v>45841</v>
      </c>
      <c r="H658" s="7" t="str">
        <f>IFERROR(VLOOKUP($A658,Orders[],MATCH(H$1,Orders[#Headers],0),FALSE),"CHECK")</f>
        <v>Head Office Café</v>
      </c>
      <c r="I658">
        <f>IFERROR(VLOOKUP(OrderLines[[#This Row],[OrderID]],Orders[],MATCH(OrderLines[[#Headers],[DiscountPct]],Orders[#Headers],0),FALSE),"CHECK")</f>
        <v>7.0000000000000007E-2</v>
      </c>
      <c r="J658" t="str">
        <f>IFERROR(VLOOKUP(OrderLines[[#This Row],[OrderID]],Orders[],MATCH(OrderLines[[#Headers],[Shift]],Orders[#Headers],0),FALSE),"CHECK")</f>
        <v>Dinner</v>
      </c>
      <c r="K658" s="11">
        <f>OrderLines[[#This Row],[Qty]] * OrderLines[[#This Row],[UnitPrice]] * (1-OrderLines[[#This Row],[DiscountPct]])</f>
        <v>20.645999999999997</v>
      </c>
      <c r="L658">
        <f>OrderLines[[#This Row],[Qty]]*OrderLines[[#This Row],[UnitCost]]</f>
        <v>9.3800000000000008</v>
      </c>
    </row>
    <row r="659" spans="1:12" x14ac:dyDescent="0.25">
      <c r="A659" t="s">
        <v>293</v>
      </c>
      <c r="B659" t="s">
        <v>401</v>
      </c>
      <c r="C659">
        <v>1</v>
      </c>
      <c r="D659" s="9">
        <f>IFERROR(VLOOKUP($B659,Menu[],MATCH(D$1,Menu[#Headers],0),FALSE),"CHECK")</f>
        <v>52.45</v>
      </c>
      <c r="E659" s="9">
        <f>IFERROR(VLOOKUP($B659,Menu[],MATCH(E$1,Menu[#Headers],0),FALSE),"CHECK")</f>
        <v>25.8</v>
      </c>
      <c r="F659" t="str">
        <f>IFERROR(VLOOKUP($B659,Menu[],MATCH(F$1,Menu[#Headers],0),FALSE),"CHECK")</f>
        <v>Snack</v>
      </c>
      <c r="G659" s="7">
        <f>IFERROR(INT(VLOOKUP($A659,Orders[],MATCH("OrderDateTime",Orders[#Headers],0),FALSE)),"CHECK")</f>
        <v>45841</v>
      </c>
      <c r="H659" s="7" t="str">
        <f>IFERROR(VLOOKUP($A659,Orders[],MATCH(H$1,Orders[#Headers],0),FALSE),"CHECK")</f>
        <v>Head Office Café</v>
      </c>
      <c r="I659">
        <f>IFERROR(VLOOKUP(OrderLines[[#This Row],[OrderID]],Orders[],MATCH(OrderLines[[#Headers],[DiscountPct]],Orders[#Headers],0),FALSE),"CHECK")</f>
        <v>7.0000000000000007E-2</v>
      </c>
      <c r="J659" t="str">
        <f>IFERROR(VLOOKUP(OrderLines[[#This Row],[OrderID]],Orders[],MATCH(OrderLines[[#Headers],[Shift]],Orders[#Headers],0),FALSE),"CHECK")</f>
        <v>Dinner</v>
      </c>
      <c r="K659" s="11">
        <f>OrderLines[[#This Row],[Qty]] * OrderLines[[#This Row],[UnitPrice]] * (1-OrderLines[[#This Row],[DiscountPct]])</f>
        <v>48.778500000000001</v>
      </c>
      <c r="L659">
        <f>OrderLines[[#This Row],[Qty]]*OrderLines[[#This Row],[UnitCost]]</f>
        <v>25.8</v>
      </c>
    </row>
    <row r="660" spans="1:12" x14ac:dyDescent="0.25">
      <c r="A660" t="s">
        <v>293</v>
      </c>
      <c r="B660" t="s">
        <v>417</v>
      </c>
      <c r="C660">
        <v>2</v>
      </c>
      <c r="D660" s="9">
        <f>IFERROR(VLOOKUP($B660,Menu[],MATCH(D$1,Menu[#Headers],0),FALSE),"CHECK")</f>
        <v>146.4</v>
      </c>
      <c r="E660" s="9">
        <f>IFERROR(VLOOKUP($B660,Menu[],MATCH(E$1,Menu[#Headers],0),FALSE),"CHECK")</f>
        <v>80.92</v>
      </c>
      <c r="F660" t="str">
        <f>IFERROR(VLOOKUP($B660,Menu[],MATCH(F$1,Menu[#Headers],0),FALSE),"CHECK")</f>
        <v>Hot Meal</v>
      </c>
      <c r="G660" s="7">
        <f>IFERROR(INT(VLOOKUP($A660,Orders[],MATCH("OrderDateTime",Orders[#Headers],0),FALSE)),"CHECK")</f>
        <v>45841</v>
      </c>
      <c r="H660" s="7" t="str">
        <f>IFERROR(VLOOKUP($A660,Orders[],MATCH(H$1,Orders[#Headers],0),FALSE),"CHECK")</f>
        <v>Head Office Café</v>
      </c>
      <c r="I660">
        <f>IFERROR(VLOOKUP(OrderLines[[#This Row],[OrderID]],Orders[],MATCH(OrderLines[[#Headers],[DiscountPct]],Orders[#Headers],0),FALSE),"CHECK")</f>
        <v>7.0000000000000007E-2</v>
      </c>
      <c r="J660" t="str">
        <f>IFERROR(VLOOKUP(OrderLines[[#This Row],[OrderID]],Orders[],MATCH(OrderLines[[#Headers],[Shift]],Orders[#Headers],0),FALSE),"CHECK")</f>
        <v>Dinner</v>
      </c>
      <c r="K660" s="11">
        <f>OrderLines[[#This Row],[Qty]] * OrderLines[[#This Row],[UnitPrice]] * (1-OrderLines[[#This Row],[DiscountPct]])</f>
        <v>272.30399999999997</v>
      </c>
      <c r="L660">
        <f>OrderLines[[#This Row],[Qty]]*OrderLines[[#This Row],[UnitCost]]</f>
        <v>161.84</v>
      </c>
    </row>
    <row r="661" spans="1:12" x14ac:dyDescent="0.25">
      <c r="A661" t="s">
        <v>294</v>
      </c>
      <c r="B661" t="s">
        <v>412</v>
      </c>
      <c r="C661">
        <v>1</v>
      </c>
      <c r="D661" s="9">
        <f>IFERROR(VLOOKUP($B661,Menu[],MATCH(D$1,Menu[#Headers],0),FALSE),"CHECK")</f>
        <v>57.07</v>
      </c>
      <c r="E661" s="9">
        <f>IFERROR(VLOOKUP($B661,Menu[],MATCH(E$1,Menu[#Headers],0),FALSE),"CHECK")</f>
        <v>29.14</v>
      </c>
      <c r="F661" t="str">
        <f>IFERROR(VLOOKUP($B661,Menu[],MATCH(F$1,Menu[#Headers],0),FALSE),"CHECK")</f>
        <v>Dessert</v>
      </c>
      <c r="G661" s="7">
        <f>IFERROR(INT(VLOOKUP($A661,Orders[],MATCH("OrderDateTime",Orders[#Headers],0),FALSE)),"CHECK")</f>
        <v>45842</v>
      </c>
      <c r="H661" s="7" t="str">
        <f>IFERROR(VLOOKUP($A661,Orders[],MATCH(H$1,Orders[#Headers],0),FALSE),"CHECK")</f>
        <v>Plant 1 Canteen</v>
      </c>
      <c r="I661">
        <f>IFERROR(VLOOKUP(OrderLines[[#This Row],[OrderID]],Orders[],MATCH(OrderLines[[#Headers],[DiscountPct]],Orders[#Headers],0),FALSE),"CHECK")</f>
        <v>0.09</v>
      </c>
      <c r="J661" t="str">
        <f>IFERROR(VLOOKUP(OrderLines[[#This Row],[OrderID]],Orders[],MATCH(OrderLines[[#Headers],[Shift]],Orders[#Headers],0),FALSE),"CHECK")</f>
        <v>Breakfast</v>
      </c>
      <c r="K661" s="11">
        <f>OrderLines[[#This Row],[Qty]] * OrderLines[[#This Row],[UnitPrice]] * (1-OrderLines[[#This Row],[DiscountPct]])</f>
        <v>51.933700000000002</v>
      </c>
      <c r="L661">
        <f>OrderLines[[#This Row],[Qty]]*OrderLines[[#This Row],[UnitCost]]</f>
        <v>29.14</v>
      </c>
    </row>
    <row r="662" spans="1:12" x14ac:dyDescent="0.25">
      <c r="A662" t="s">
        <v>294</v>
      </c>
      <c r="B662" t="s">
        <v>419</v>
      </c>
      <c r="C662">
        <v>1</v>
      </c>
      <c r="D662" s="9">
        <f>IFERROR(VLOOKUP($B662,Menu[],MATCH(D$1,Menu[#Headers],0),FALSE),"CHECK")</f>
        <v>50.19</v>
      </c>
      <c r="E662" s="9">
        <f>IFERROR(VLOOKUP($B662,Menu[],MATCH(E$1,Menu[#Headers],0),FALSE),"CHECK")</f>
        <v>22.61</v>
      </c>
      <c r="F662" t="str">
        <f>IFERROR(VLOOKUP($B662,Menu[],MATCH(F$1,Menu[#Headers],0),FALSE),"CHECK")</f>
        <v>Snack</v>
      </c>
      <c r="G662" s="7">
        <f>IFERROR(INT(VLOOKUP($A662,Orders[],MATCH("OrderDateTime",Orders[#Headers],0),FALSE)),"CHECK")</f>
        <v>45842</v>
      </c>
      <c r="H662" s="7" t="str">
        <f>IFERROR(VLOOKUP($A662,Orders[],MATCH(H$1,Orders[#Headers],0),FALSE),"CHECK")</f>
        <v>Plant 1 Canteen</v>
      </c>
      <c r="I662">
        <f>IFERROR(VLOOKUP(OrderLines[[#This Row],[OrderID]],Orders[],MATCH(OrderLines[[#Headers],[DiscountPct]],Orders[#Headers],0),FALSE),"CHECK")</f>
        <v>0.09</v>
      </c>
      <c r="J662" t="str">
        <f>IFERROR(VLOOKUP(OrderLines[[#This Row],[OrderID]],Orders[],MATCH(OrderLines[[#Headers],[Shift]],Orders[#Headers],0),FALSE),"CHECK")</f>
        <v>Breakfast</v>
      </c>
      <c r="K662" s="11">
        <f>OrderLines[[#This Row],[Qty]] * OrderLines[[#This Row],[UnitPrice]] * (1-OrderLines[[#This Row],[DiscountPct]])</f>
        <v>45.672899999999998</v>
      </c>
      <c r="L662">
        <f>OrderLines[[#This Row],[Qty]]*OrderLines[[#This Row],[UnitCost]]</f>
        <v>22.61</v>
      </c>
    </row>
    <row r="663" spans="1:12" x14ac:dyDescent="0.25">
      <c r="A663" t="s">
        <v>294</v>
      </c>
      <c r="B663" t="s">
        <v>411</v>
      </c>
      <c r="C663">
        <v>3</v>
      </c>
      <c r="D663" s="9">
        <f>IFERROR(VLOOKUP($B663,Menu[],MATCH(D$1,Menu[#Headers],0),FALSE),"CHECK")</f>
        <v>22.2</v>
      </c>
      <c r="E663" s="9">
        <f>IFERROR(VLOOKUP($B663,Menu[],MATCH(E$1,Menu[#Headers],0),FALSE),"CHECK")</f>
        <v>9.3800000000000008</v>
      </c>
      <c r="F663" t="str">
        <f>IFERROR(VLOOKUP($B663,Menu[],MATCH(F$1,Menu[#Headers],0),FALSE),"CHECK")</f>
        <v>Beverage</v>
      </c>
      <c r="G663" s="7">
        <f>IFERROR(INT(VLOOKUP($A663,Orders[],MATCH("OrderDateTime",Orders[#Headers],0),FALSE)),"CHECK")</f>
        <v>45842</v>
      </c>
      <c r="H663" s="7" t="str">
        <f>IFERROR(VLOOKUP($A663,Orders[],MATCH(H$1,Orders[#Headers],0),FALSE),"CHECK")</f>
        <v>Plant 1 Canteen</v>
      </c>
      <c r="I663">
        <f>IFERROR(VLOOKUP(OrderLines[[#This Row],[OrderID]],Orders[],MATCH(OrderLines[[#Headers],[DiscountPct]],Orders[#Headers],0),FALSE),"CHECK")</f>
        <v>0.09</v>
      </c>
      <c r="J663" t="str">
        <f>IFERROR(VLOOKUP(OrderLines[[#This Row],[OrderID]],Orders[],MATCH(OrderLines[[#Headers],[Shift]],Orders[#Headers],0),FALSE),"CHECK")</f>
        <v>Breakfast</v>
      </c>
      <c r="K663" s="11">
        <f>OrderLines[[#This Row],[Qty]] * OrderLines[[#This Row],[UnitPrice]] * (1-OrderLines[[#This Row],[DiscountPct]])</f>
        <v>60.605999999999995</v>
      </c>
      <c r="L663">
        <f>OrderLines[[#This Row],[Qty]]*OrderLines[[#This Row],[UnitCost]]</f>
        <v>28.14</v>
      </c>
    </row>
    <row r="664" spans="1:12" x14ac:dyDescent="0.25">
      <c r="A664" t="s">
        <v>295</v>
      </c>
      <c r="B664" t="s">
        <v>404</v>
      </c>
      <c r="C664">
        <v>2</v>
      </c>
      <c r="D664" s="9">
        <f>IFERROR(VLOOKUP($B664,Menu[],MATCH(D$1,Menu[#Headers],0),FALSE),"CHECK")</f>
        <v>32.979999999999997</v>
      </c>
      <c r="E664" s="9">
        <f>IFERROR(VLOOKUP($B664,Menu[],MATCH(E$1,Menu[#Headers],0),FALSE),"CHECK")</f>
        <v>11.84</v>
      </c>
      <c r="F664" t="str">
        <f>IFERROR(VLOOKUP($B664,Menu[],MATCH(F$1,Menu[#Headers],0),FALSE),"CHECK")</f>
        <v>Beverage</v>
      </c>
      <c r="G664" s="7">
        <f>IFERROR(INT(VLOOKUP($A664,Orders[],MATCH("OrderDateTime",Orders[#Headers],0),FALSE)),"CHECK")</f>
        <v>45872</v>
      </c>
      <c r="H664" s="7" t="str">
        <f>IFERROR(VLOOKUP($A664,Orders[],MATCH(H$1,Orders[#Headers],0),FALSE),"CHECK")</f>
        <v>Plant 2 Canteen</v>
      </c>
      <c r="I664">
        <f>IFERROR(VLOOKUP(OrderLines[[#This Row],[OrderID]],Orders[],MATCH(OrderLines[[#Headers],[DiscountPct]],Orders[#Headers],0),FALSE),"CHECK")</f>
        <v>0.09</v>
      </c>
      <c r="J664" t="str">
        <f>IFERROR(VLOOKUP(OrderLines[[#This Row],[OrderID]],Orders[],MATCH(OrderLines[[#Headers],[Shift]],Orders[#Headers],0),FALSE),"CHECK")</f>
        <v>Breakfast</v>
      </c>
      <c r="K664" s="11">
        <f>OrderLines[[#This Row],[Qty]] * OrderLines[[#This Row],[UnitPrice]] * (1-OrderLines[[#This Row],[DiscountPct]])</f>
        <v>60.023599999999995</v>
      </c>
      <c r="L664">
        <f>OrderLines[[#This Row],[Qty]]*OrderLines[[#This Row],[UnitCost]]</f>
        <v>23.68</v>
      </c>
    </row>
    <row r="665" spans="1:12" x14ac:dyDescent="0.25">
      <c r="A665" t="s">
        <v>295</v>
      </c>
      <c r="B665" t="s">
        <v>408</v>
      </c>
      <c r="C665">
        <v>3</v>
      </c>
      <c r="D665" s="9">
        <f>IFERROR(VLOOKUP($B665,Menu[],MATCH(D$1,Menu[#Headers],0),FALSE),"CHECK")</f>
        <v>70.540000000000006</v>
      </c>
      <c r="E665" s="9">
        <f>IFERROR(VLOOKUP($B665,Menu[],MATCH(E$1,Menu[#Headers],0),FALSE),"CHECK")</f>
        <v>35.81</v>
      </c>
      <c r="F665" t="str">
        <f>IFERROR(VLOOKUP($B665,Menu[],MATCH(F$1,Menu[#Headers],0),FALSE),"CHECK")</f>
        <v>Snack</v>
      </c>
      <c r="G665" s="7">
        <f>IFERROR(INT(VLOOKUP($A665,Orders[],MATCH("OrderDateTime",Orders[#Headers],0),FALSE)),"CHECK")</f>
        <v>45872</v>
      </c>
      <c r="H665" s="7" t="str">
        <f>IFERROR(VLOOKUP($A665,Orders[],MATCH(H$1,Orders[#Headers],0),FALSE),"CHECK")</f>
        <v>Plant 2 Canteen</v>
      </c>
      <c r="I665">
        <f>IFERROR(VLOOKUP(OrderLines[[#This Row],[OrderID]],Orders[],MATCH(OrderLines[[#Headers],[DiscountPct]],Orders[#Headers],0),FALSE),"CHECK")</f>
        <v>0.09</v>
      </c>
      <c r="J665" t="str">
        <f>IFERROR(VLOOKUP(OrderLines[[#This Row],[OrderID]],Orders[],MATCH(OrderLines[[#Headers],[Shift]],Orders[#Headers],0),FALSE),"CHECK")</f>
        <v>Breakfast</v>
      </c>
      <c r="K665" s="11">
        <f>OrderLines[[#This Row],[Qty]] * OrderLines[[#This Row],[UnitPrice]] * (1-OrderLines[[#This Row],[DiscountPct]])</f>
        <v>192.57420000000002</v>
      </c>
      <c r="L665">
        <f>OrderLines[[#This Row],[Qty]]*OrderLines[[#This Row],[UnitCost]]</f>
        <v>107.43</v>
      </c>
    </row>
    <row r="666" spans="1:12" x14ac:dyDescent="0.25">
      <c r="A666" t="s">
        <v>295</v>
      </c>
      <c r="B666" t="s">
        <v>409</v>
      </c>
      <c r="C666">
        <v>1</v>
      </c>
      <c r="D666" s="9">
        <f>IFERROR(VLOOKUP($B666,Menu[],MATCH(D$1,Menu[#Headers],0),FALSE),"CHECK")</f>
        <v>28.43</v>
      </c>
      <c r="E666" s="9">
        <f>IFERROR(VLOOKUP($B666,Menu[],MATCH(E$1,Menu[#Headers],0),FALSE),"CHECK")</f>
        <v>13.89</v>
      </c>
      <c r="F666" t="str">
        <f>IFERROR(VLOOKUP($B666,Menu[],MATCH(F$1,Menu[#Headers],0),FALSE),"CHECK")</f>
        <v>Beverage</v>
      </c>
      <c r="G666" s="7">
        <f>IFERROR(INT(VLOOKUP($A666,Orders[],MATCH("OrderDateTime",Orders[#Headers],0),FALSE)),"CHECK")</f>
        <v>45872</v>
      </c>
      <c r="H666" s="7" t="str">
        <f>IFERROR(VLOOKUP($A666,Orders[],MATCH(H$1,Orders[#Headers],0),FALSE),"CHECK")</f>
        <v>Plant 2 Canteen</v>
      </c>
      <c r="I666">
        <f>IFERROR(VLOOKUP(OrderLines[[#This Row],[OrderID]],Orders[],MATCH(OrderLines[[#Headers],[DiscountPct]],Orders[#Headers],0),FALSE),"CHECK")</f>
        <v>0.09</v>
      </c>
      <c r="J666" t="str">
        <f>IFERROR(VLOOKUP(OrderLines[[#This Row],[OrderID]],Orders[],MATCH(OrderLines[[#Headers],[Shift]],Orders[#Headers],0),FALSE),"CHECK")</f>
        <v>Breakfast</v>
      </c>
      <c r="K666" s="11">
        <f>OrderLines[[#This Row],[Qty]] * OrderLines[[#This Row],[UnitPrice]] * (1-OrderLines[[#This Row],[DiscountPct]])</f>
        <v>25.871300000000002</v>
      </c>
      <c r="L666">
        <f>OrderLines[[#This Row],[Qty]]*OrderLines[[#This Row],[UnitCost]]</f>
        <v>13.89</v>
      </c>
    </row>
    <row r="667" spans="1:12" x14ac:dyDescent="0.25">
      <c r="A667" t="s">
        <v>295</v>
      </c>
      <c r="B667" t="s">
        <v>417</v>
      </c>
      <c r="C667">
        <v>2</v>
      </c>
      <c r="D667" s="9">
        <f>IFERROR(VLOOKUP($B667,Menu[],MATCH(D$1,Menu[#Headers],0),FALSE),"CHECK")</f>
        <v>146.4</v>
      </c>
      <c r="E667" s="9">
        <f>IFERROR(VLOOKUP($B667,Menu[],MATCH(E$1,Menu[#Headers],0),FALSE),"CHECK")</f>
        <v>80.92</v>
      </c>
      <c r="F667" t="str">
        <f>IFERROR(VLOOKUP($B667,Menu[],MATCH(F$1,Menu[#Headers],0),FALSE),"CHECK")</f>
        <v>Hot Meal</v>
      </c>
      <c r="G667" s="7">
        <f>IFERROR(INT(VLOOKUP($A667,Orders[],MATCH("OrderDateTime",Orders[#Headers],0),FALSE)),"CHECK")</f>
        <v>45872</v>
      </c>
      <c r="H667" s="7" t="str">
        <f>IFERROR(VLOOKUP($A667,Orders[],MATCH(H$1,Orders[#Headers],0),FALSE),"CHECK")</f>
        <v>Plant 2 Canteen</v>
      </c>
      <c r="I667">
        <f>IFERROR(VLOOKUP(OrderLines[[#This Row],[OrderID]],Orders[],MATCH(OrderLines[[#Headers],[DiscountPct]],Orders[#Headers],0),FALSE),"CHECK")</f>
        <v>0.09</v>
      </c>
      <c r="J667" t="str">
        <f>IFERROR(VLOOKUP(OrderLines[[#This Row],[OrderID]],Orders[],MATCH(OrderLines[[#Headers],[Shift]],Orders[#Headers],0),FALSE),"CHECK")</f>
        <v>Breakfast</v>
      </c>
      <c r="K667" s="11">
        <f>OrderLines[[#This Row],[Qty]] * OrderLines[[#This Row],[UnitPrice]] * (1-OrderLines[[#This Row],[DiscountPct]])</f>
        <v>266.44800000000004</v>
      </c>
      <c r="L667">
        <f>OrderLines[[#This Row],[Qty]]*OrderLines[[#This Row],[UnitCost]]</f>
        <v>161.84</v>
      </c>
    </row>
    <row r="668" spans="1:12" x14ac:dyDescent="0.25">
      <c r="A668" t="s">
        <v>296</v>
      </c>
      <c r="B668" t="s">
        <v>407</v>
      </c>
      <c r="C668">
        <v>1</v>
      </c>
      <c r="D668" s="9">
        <f>IFERROR(VLOOKUP($B668,Menu[],MATCH(D$1,Menu[#Headers],0),FALSE),"CHECK")</f>
        <v>246.09</v>
      </c>
      <c r="E668" s="9">
        <f>IFERROR(VLOOKUP($B668,Menu[],MATCH(E$1,Menu[#Headers],0),FALSE),"CHECK")</f>
        <v>112.08</v>
      </c>
      <c r="F668" t="str">
        <f>IFERROR(VLOOKUP($B668,Menu[],MATCH(F$1,Menu[#Headers],0),FALSE),"CHECK")</f>
        <v>Hot Meal</v>
      </c>
      <c r="G668" s="7">
        <f>IFERROR(INT(VLOOKUP($A668,Orders[],MATCH("OrderDateTime",Orders[#Headers],0),FALSE)),"CHECK")</f>
        <v>45894</v>
      </c>
      <c r="H668" s="7" t="str">
        <f>IFERROR(VLOOKUP($A668,Orders[],MATCH(H$1,Orders[#Headers],0),FALSE),"CHECK")</f>
        <v>Head Office Café</v>
      </c>
      <c r="I668">
        <f>IFERROR(VLOOKUP(OrderLines[[#This Row],[OrderID]],Orders[],MATCH(OrderLines[[#Headers],[DiscountPct]],Orders[#Headers],0),FALSE),"CHECK")</f>
        <v>0.03</v>
      </c>
      <c r="J668" t="str">
        <f>IFERROR(VLOOKUP(OrderLines[[#This Row],[OrderID]],Orders[],MATCH(OrderLines[[#Headers],[Shift]],Orders[#Headers],0),FALSE),"CHECK")</f>
        <v>Breakfast</v>
      </c>
      <c r="K668" s="11">
        <f>OrderLines[[#This Row],[Qty]] * OrderLines[[#This Row],[UnitPrice]] * (1-OrderLines[[#This Row],[DiscountPct]])</f>
        <v>238.7073</v>
      </c>
      <c r="L668">
        <f>OrderLines[[#This Row],[Qty]]*OrderLines[[#This Row],[UnitCost]]</f>
        <v>112.08</v>
      </c>
    </row>
    <row r="669" spans="1:12" x14ac:dyDescent="0.25">
      <c r="A669" t="s">
        <v>296</v>
      </c>
      <c r="B669" t="s">
        <v>408</v>
      </c>
      <c r="C669">
        <v>2</v>
      </c>
      <c r="D669" s="9">
        <f>IFERROR(VLOOKUP($B669,Menu[],MATCH(D$1,Menu[#Headers],0),FALSE),"CHECK")</f>
        <v>70.540000000000006</v>
      </c>
      <c r="E669" s="9">
        <f>IFERROR(VLOOKUP($B669,Menu[],MATCH(E$1,Menu[#Headers],0),FALSE),"CHECK")</f>
        <v>35.81</v>
      </c>
      <c r="F669" t="str">
        <f>IFERROR(VLOOKUP($B669,Menu[],MATCH(F$1,Menu[#Headers],0),FALSE),"CHECK")</f>
        <v>Snack</v>
      </c>
      <c r="G669" s="7">
        <f>IFERROR(INT(VLOOKUP($A669,Orders[],MATCH("OrderDateTime",Orders[#Headers],0),FALSE)),"CHECK")</f>
        <v>45894</v>
      </c>
      <c r="H669" s="7" t="str">
        <f>IFERROR(VLOOKUP($A669,Orders[],MATCH(H$1,Orders[#Headers],0),FALSE),"CHECK")</f>
        <v>Head Office Café</v>
      </c>
      <c r="I669">
        <f>IFERROR(VLOOKUP(OrderLines[[#This Row],[OrderID]],Orders[],MATCH(OrderLines[[#Headers],[DiscountPct]],Orders[#Headers],0),FALSE),"CHECK")</f>
        <v>0.03</v>
      </c>
      <c r="J669" t="str">
        <f>IFERROR(VLOOKUP(OrderLines[[#This Row],[OrderID]],Orders[],MATCH(OrderLines[[#Headers],[Shift]],Orders[#Headers],0),FALSE),"CHECK")</f>
        <v>Breakfast</v>
      </c>
      <c r="K669" s="11">
        <f>OrderLines[[#This Row],[Qty]] * OrderLines[[#This Row],[UnitPrice]] * (1-OrderLines[[#This Row],[DiscountPct]])</f>
        <v>136.8476</v>
      </c>
      <c r="L669">
        <f>OrderLines[[#This Row],[Qty]]*OrderLines[[#This Row],[UnitCost]]</f>
        <v>71.62</v>
      </c>
    </row>
    <row r="670" spans="1:12" x14ac:dyDescent="0.25">
      <c r="A670" t="s">
        <v>297</v>
      </c>
      <c r="B670" t="s">
        <v>416</v>
      </c>
      <c r="C670">
        <v>1</v>
      </c>
      <c r="D670" s="9">
        <f>IFERROR(VLOOKUP($B670,Menu[],MATCH(D$1,Menu[#Headers],0),FALSE),"CHECK")</f>
        <v>227.61</v>
      </c>
      <c r="E670" s="9">
        <f>IFERROR(VLOOKUP($B670,Menu[],MATCH(E$1,Menu[#Headers],0),FALSE),"CHECK")</f>
        <v>96.22</v>
      </c>
      <c r="F670" t="str">
        <f>IFERROR(VLOOKUP($B670,Menu[],MATCH(F$1,Menu[#Headers],0),FALSE),"CHECK")</f>
        <v>Hot Meal</v>
      </c>
      <c r="G670" s="7">
        <f>IFERROR(INT(VLOOKUP($A670,Orders[],MATCH("OrderDateTime",Orders[#Headers],0),FALSE)),"CHECK")</f>
        <v>45842</v>
      </c>
      <c r="H670" s="7" t="str">
        <f>IFERROR(VLOOKUP($A670,Orders[],MATCH(H$1,Orders[#Headers],0),FALSE),"CHECK")</f>
        <v>Plant 1 Canteen</v>
      </c>
      <c r="I670">
        <f>IFERROR(VLOOKUP(OrderLines[[#This Row],[OrderID]],Orders[],MATCH(OrderLines[[#Headers],[DiscountPct]],Orders[#Headers],0),FALSE),"CHECK")</f>
        <v>0.04</v>
      </c>
      <c r="J670" t="str">
        <f>IFERROR(VLOOKUP(OrderLines[[#This Row],[OrderID]],Orders[],MATCH(OrderLines[[#Headers],[Shift]],Orders[#Headers],0),FALSE),"CHECK")</f>
        <v>Breakfast</v>
      </c>
      <c r="K670" s="11">
        <f>OrderLines[[#This Row],[Qty]] * OrderLines[[#This Row],[UnitPrice]] * (1-OrderLines[[#This Row],[DiscountPct]])</f>
        <v>218.50560000000002</v>
      </c>
      <c r="L670">
        <f>OrderLines[[#This Row],[Qty]]*OrderLines[[#This Row],[UnitCost]]</f>
        <v>96.22</v>
      </c>
    </row>
    <row r="671" spans="1:12" x14ac:dyDescent="0.25">
      <c r="A671" t="s">
        <v>297</v>
      </c>
      <c r="B671" t="s">
        <v>417</v>
      </c>
      <c r="C671">
        <v>2</v>
      </c>
      <c r="D671" s="9">
        <f>IFERROR(VLOOKUP($B671,Menu[],MATCH(D$1,Menu[#Headers],0),FALSE),"CHECK")</f>
        <v>146.4</v>
      </c>
      <c r="E671" s="9">
        <f>IFERROR(VLOOKUP($B671,Menu[],MATCH(E$1,Menu[#Headers],0),FALSE),"CHECK")</f>
        <v>80.92</v>
      </c>
      <c r="F671" t="str">
        <f>IFERROR(VLOOKUP($B671,Menu[],MATCH(F$1,Menu[#Headers],0),FALSE),"CHECK")</f>
        <v>Hot Meal</v>
      </c>
      <c r="G671" s="7">
        <f>IFERROR(INT(VLOOKUP($A671,Orders[],MATCH("OrderDateTime",Orders[#Headers],0),FALSE)),"CHECK")</f>
        <v>45842</v>
      </c>
      <c r="H671" s="7" t="str">
        <f>IFERROR(VLOOKUP($A671,Orders[],MATCH(H$1,Orders[#Headers],0),FALSE),"CHECK")</f>
        <v>Plant 1 Canteen</v>
      </c>
      <c r="I671">
        <f>IFERROR(VLOOKUP(OrderLines[[#This Row],[OrderID]],Orders[],MATCH(OrderLines[[#Headers],[DiscountPct]],Orders[#Headers],0),FALSE),"CHECK")</f>
        <v>0.04</v>
      </c>
      <c r="J671" t="str">
        <f>IFERROR(VLOOKUP(OrderLines[[#This Row],[OrderID]],Orders[],MATCH(OrderLines[[#Headers],[Shift]],Orders[#Headers],0),FALSE),"CHECK")</f>
        <v>Breakfast</v>
      </c>
      <c r="K671" s="11">
        <f>OrderLines[[#This Row],[Qty]] * OrderLines[[#This Row],[UnitPrice]] * (1-OrderLines[[#This Row],[DiscountPct]])</f>
        <v>281.08800000000002</v>
      </c>
      <c r="L671">
        <f>OrderLines[[#This Row],[Qty]]*OrderLines[[#This Row],[UnitCost]]</f>
        <v>161.84</v>
      </c>
    </row>
    <row r="672" spans="1:12" x14ac:dyDescent="0.25">
      <c r="A672" t="s">
        <v>298</v>
      </c>
      <c r="B672" t="s">
        <v>409</v>
      </c>
      <c r="C672">
        <v>2</v>
      </c>
      <c r="D672" s="9">
        <f>IFERROR(VLOOKUP($B672,Menu[],MATCH(D$1,Menu[#Headers],0),FALSE),"CHECK")</f>
        <v>28.43</v>
      </c>
      <c r="E672" s="9">
        <f>IFERROR(VLOOKUP($B672,Menu[],MATCH(E$1,Menu[#Headers],0),FALSE),"CHECK")</f>
        <v>13.89</v>
      </c>
      <c r="F672" t="str">
        <f>IFERROR(VLOOKUP($B672,Menu[],MATCH(F$1,Menu[#Headers],0),FALSE),"CHECK")</f>
        <v>Beverage</v>
      </c>
      <c r="G672" s="7">
        <f>IFERROR(INT(VLOOKUP($A672,Orders[],MATCH("OrderDateTime",Orders[#Headers],0),FALSE)),"CHECK")</f>
        <v>45875</v>
      </c>
      <c r="H672" s="7" t="str">
        <f>IFERROR(VLOOKUP($A672,Orders[],MATCH(H$1,Orders[#Headers],0),FALSE),"CHECK")</f>
        <v>Plant 2 Canteen</v>
      </c>
      <c r="I672">
        <f>IFERROR(VLOOKUP(OrderLines[[#This Row],[OrderID]],Orders[],MATCH(OrderLines[[#Headers],[DiscountPct]],Orders[#Headers],0),FALSE),"CHECK")</f>
        <v>0.09</v>
      </c>
      <c r="J672" t="str">
        <f>IFERROR(VLOOKUP(OrderLines[[#This Row],[OrderID]],Orders[],MATCH(OrderLines[[#Headers],[Shift]],Orders[#Headers],0),FALSE),"CHECK")</f>
        <v>Dinner</v>
      </c>
      <c r="K672" s="11">
        <f>OrderLines[[#This Row],[Qty]] * OrderLines[[#This Row],[UnitPrice]] * (1-OrderLines[[#This Row],[DiscountPct]])</f>
        <v>51.742600000000003</v>
      </c>
      <c r="L672">
        <f>OrderLines[[#This Row],[Qty]]*OrderLines[[#This Row],[UnitCost]]</f>
        <v>27.78</v>
      </c>
    </row>
    <row r="673" spans="1:12" x14ac:dyDescent="0.25">
      <c r="A673" t="s">
        <v>298</v>
      </c>
      <c r="B673" t="s">
        <v>401</v>
      </c>
      <c r="C673">
        <v>1</v>
      </c>
      <c r="D673" s="9">
        <f>IFERROR(VLOOKUP($B673,Menu[],MATCH(D$1,Menu[#Headers],0),FALSE),"CHECK")</f>
        <v>52.45</v>
      </c>
      <c r="E673" s="9">
        <f>IFERROR(VLOOKUP($B673,Menu[],MATCH(E$1,Menu[#Headers],0),FALSE),"CHECK")</f>
        <v>25.8</v>
      </c>
      <c r="F673" t="str">
        <f>IFERROR(VLOOKUP($B673,Menu[],MATCH(F$1,Menu[#Headers],0),FALSE),"CHECK")</f>
        <v>Snack</v>
      </c>
      <c r="G673" s="7">
        <f>IFERROR(INT(VLOOKUP($A673,Orders[],MATCH("OrderDateTime",Orders[#Headers],0),FALSE)),"CHECK")</f>
        <v>45875</v>
      </c>
      <c r="H673" s="7" t="str">
        <f>IFERROR(VLOOKUP($A673,Orders[],MATCH(H$1,Orders[#Headers],0),FALSE),"CHECK")</f>
        <v>Plant 2 Canteen</v>
      </c>
      <c r="I673">
        <f>IFERROR(VLOOKUP(OrderLines[[#This Row],[OrderID]],Orders[],MATCH(OrderLines[[#Headers],[DiscountPct]],Orders[#Headers],0),FALSE),"CHECK")</f>
        <v>0.09</v>
      </c>
      <c r="J673" t="str">
        <f>IFERROR(VLOOKUP(OrderLines[[#This Row],[OrderID]],Orders[],MATCH(OrderLines[[#Headers],[Shift]],Orders[#Headers],0),FALSE),"CHECK")</f>
        <v>Dinner</v>
      </c>
      <c r="K673" s="11">
        <f>OrderLines[[#This Row],[Qty]] * OrderLines[[#This Row],[UnitPrice]] * (1-OrderLines[[#This Row],[DiscountPct]])</f>
        <v>47.729500000000002</v>
      </c>
      <c r="L673">
        <f>OrderLines[[#This Row],[Qty]]*OrderLines[[#This Row],[UnitCost]]</f>
        <v>25.8</v>
      </c>
    </row>
    <row r="674" spans="1:12" x14ac:dyDescent="0.25">
      <c r="A674" t="s">
        <v>298</v>
      </c>
      <c r="B674" t="s">
        <v>417</v>
      </c>
      <c r="C674">
        <v>1</v>
      </c>
      <c r="D674" s="9">
        <f>IFERROR(VLOOKUP($B674,Menu[],MATCH(D$1,Menu[#Headers],0),FALSE),"CHECK")</f>
        <v>146.4</v>
      </c>
      <c r="E674" s="9">
        <f>IFERROR(VLOOKUP($B674,Menu[],MATCH(E$1,Menu[#Headers],0),FALSE),"CHECK")</f>
        <v>80.92</v>
      </c>
      <c r="F674" t="str">
        <f>IFERROR(VLOOKUP($B674,Menu[],MATCH(F$1,Menu[#Headers],0),FALSE),"CHECK")</f>
        <v>Hot Meal</v>
      </c>
      <c r="G674" s="7">
        <f>IFERROR(INT(VLOOKUP($A674,Orders[],MATCH("OrderDateTime",Orders[#Headers],0),FALSE)),"CHECK")</f>
        <v>45875</v>
      </c>
      <c r="H674" s="7" t="str">
        <f>IFERROR(VLOOKUP($A674,Orders[],MATCH(H$1,Orders[#Headers],0),FALSE),"CHECK")</f>
        <v>Plant 2 Canteen</v>
      </c>
      <c r="I674">
        <f>IFERROR(VLOOKUP(OrderLines[[#This Row],[OrderID]],Orders[],MATCH(OrderLines[[#Headers],[DiscountPct]],Orders[#Headers],0),FALSE),"CHECK")</f>
        <v>0.09</v>
      </c>
      <c r="J674" t="str">
        <f>IFERROR(VLOOKUP(OrderLines[[#This Row],[OrderID]],Orders[],MATCH(OrderLines[[#Headers],[Shift]],Orders[#Headers],0),FALSE),"CHECK")</f>
        <v>Dinner</v>
      </c>
      <c r="K674" s="11">
        <f>OrderLines[[#This Row],[Qty]] * OrderLines[[#This Row],[UnitPrice]] * (1-OrderLines[[#This Row],[DiscountPct]])</f>
        <v>133.22400000000002</v>
      </c>
      <c r="L674">
        <f>OrderLines[[#This Row],[Qty]]*OrderLines[[#This Row],[UnitCost]]</f>
        <v>80.92</v>
      </c>
    </row>
    <row r="675" spans="1:12" x14ac:dyDescent="0.25">
      <c r="A675" t="s">
        <v>299</v>
      </c>
      <c r="B675" t="s">
        <v>403</v>
      </c>
      <c r="C675">
        <v>2</v>
      </c>
      <c r="D675" s="9">
        <f>IFERROR(VLOOKUP($B675,Menu[],MATCH(D$1,Menu[#Headers],0),FALSE),"CHECK")</f>
        <v>76.55</v>
      </c>
      <c r="E675" s="9">
        <f>IFERROR(VLOOKUP($B675,Menu[],MATCH(E$1,Menu[#Headers],0),FALSE),"CHECK")</f>
        <v>38.229999999999997</v>
      </c>
      <c r="F675" t="str">
        <f>IFERROR(VLOOKUP($B675,Menu[],MATCH(F$1,Menu[#Headers],0),FALSE),"CHECK")</f>
        <v>Dessert</v>
      </c>
      <c r="G675" s="7">
        <f>IFERROR(INT(VLOOKUP($A675,Orders[],MATCH("OrderDateTime",Orders[#Headers],0),FALSE)),"CHECK")</f>
        <v>45875</v>
      </c>
      <c r="H675" s="7" t="str">
        <f>IFERROR(VLOOKUP($A675,Orders[],MATCH(H$1,Orders[#Headers],0),FALSE),"CHECK")</f>
        <v>Plant 2 Canteen</v>
      </c>
      <c r="I675">
        <f>IFERROR(VLOOKUP(OrderLines[[#This Row],[OrderID]],Orders[],MATCH(OrderLines[[#Headers],[DiscountPct]],Orders[#Headers],0),FALSE),"CHECK")</f>
        <v>0.08</v>
      </c>
      <c r="J675" t="str">
        <f>IFERROR(VLOOKUP(OrderLines[[#This Row],[OrderID]],Orders[],MATCH(OrderLines[[#Headers],[Shift]],Orders[#Headers],0),FALSE),"CHECK")</f>
        <v>Breakfast</v>
      </c>
      <c r="K675" s="11">
        <f>OrderLines[[#This Row],[Qty]] * OrderLines[[#This Row],[UnitPrice]] * (1-OrderLines[[#This Row],[DiscountPct]])</f>
        <v>140.852</v>
      </c>
      <c r="L675">
        <f>OrderLines[[#This Row],[Qty]]*OrderLines[[#This Row],[UnitCost]]</f>
        <v>76.459999999999994</v>
      </c>
    </row>
    <row r="676" spans="1:12" x14ac:dyDescent="0.25">
      <c r="A676" t="s">
        <v>299</v>
      </c>
      <c r="B676" t="s">
        <v>413</v>
      </c>
      <c r="C676">
        <v>1</v>
      </c>
      <c r="D676" s="9">
        <f>IFERROR(VLOOKUP($B676,Menu[],MATCH(D$1,Menu[#Headers],0),FALSE),"CHECK")</f>
        <v>54.2</v>
      </c>
      <c r="E676" s="9">
        <f>IFERROR(VLOOKUP($B676,Menu[],MATCH(E$1,Menu[#Headers],0),FALSE),"CHECK")</f>
        <v>21.95</v>
      </c>
      <c r="F676" t="str">
        <f>IFERROR(VLOOKUP($B676,Menu[],MATCH(F$1,Menu[#Headers],0),FALSE),"CHECK")</f>
        <v>Dessert</v>
      </c>
      <c r="G676" s="7">
        <f>IFERROR(INT(VLOOKUP($A676,Orders[],MATCH("OrderDateTime",Orders[#Headers],0),FALSE)),"CHECK")</f>
        <v>45875</v>
      </c>
      <c r="H676" s="7" t="str">
        <f>IFERROR(VLOOKUP($A676,Orders[],MATCH(H$1,Orders[#Headers],0),FALSE),"CHECK")</f>
        <v>Plant 2 Canteen</v>
      </c>
      <c r="I676">
        <f>IFERROR(VLOOKUP(OrderLines[[#This Row],[OrderID]],Orders[],MATCH(OrderLines[[#Headers],[DiscountPct]],Orders[#Headers],0),FALSE),"CHECK")</f>
        <v>0.08</v>
      </c>
      <c r="J676" t="str">
        <f>IFERROR(VLOOKUP(OrderLines[[#This Row],[OrderID]],Orders[],MATCH(OrderLines[[#Headers],[Shift]],Orders[#Headers],0),FALSE),"CHECK")</f>
        <v>Breakfast</v>
      </c>
      <c r="K676" s="11">
        <f>OrderLines[[#This Row],[Qty]] * OrderLines[[#This Row],[UnitPrice]] * (1-OrderLines[[#This Row],[DiscountPct]])</f>
        <v>49.864000000000004</v>
      </c>
      <c r="L676">
        <f>OrderLines[[#This Row],[Qty]]*OrderLines[[#This Row],[UnitCost]]</f>
        <v>21.95</v>
      </c>
    </row>
    <row r="677" spans="1:12" x14ac:dyDescent="0.25">
      <c r="A677" t="s">
        <v>299</v>
      </c>
      <c r="B677" t="s">
        <v>415</v>
      </c>
      <c r="C677">
        <v>2</v>
      </c>
      <c r="D677" s="9">
        <f>IFERROR(VLOOKUP($B677,Menu[],MATCH(D$1,Menu[#Headers],0),FALSE),"CHECK")</f>
        <v>256.91000000000003</v>
      </c>
      <c r="E677" s="9">
        <f>IFERROR(VLOOKUP($B677,Menu[],MATCH(E$1,Menu[#Headers],0),FALSE),"CHECK")</f>
        <v>121.24</v>
      </c>
      <c r="F677" t="str">
        <f>IFERROR(VLOOKUP($B677,Menu[],MATCH(F$1,Menu[#Headers],0),FALSE),"CHECK")</f>
        <v>Hot Meal</v>
      </c>
      <c r="G677" s="7">
        <f>IFERROR(INT(VLOOKUP($A677,Orders[],MATCH("OrderDateTime",Orders[#Headers],0),FALSE)),"CHECK")</f>
        <v>45875</v>
      </c>
      <c r="H677" s="7" t="str">
        <f>IFERROR(VLOOKUP($A677,Orders[],MATCH(H$1,Orders[#Headers],0),FALSE),"CHECK")</f>
        <v>Plant 2 Canteen</v>
      </c>
      <c r="I677">
        <f>IFERROR(VLOOKUP(OrderLines[[#This Row],[OrderID]],Orders[],MATCH(OrderLines[[#Headers],[DiscountPct]],Orders[#Headers],0),FALSE),"CHECK")</f>
        <v>0.08</v>
      </c>
      <c r="J677" t="str">
        <f>IFERROR(VLOOKUP(OrderLines[[#This Row],[OrderID]],Orders[],MATCH(OrderLines[[#Headers],[Shift]],Orders[#Headers],0),FALSE),"CHECK")</f>
        <v>Breakfast</v>
      </c>
      <c r="K677" s="11">
        <f>OrderLines[[#This Row],[Qty]] * OrderLines[[#This Row],[UnitPrice]] * (1-OrderLines[[#This Row],[DiscountPct]])</f>
        <v>472.71440000000007</v>
      </c>
      <c r="L677">
        <f>OrderLines[[#This Row],[Qty]]*OrderLines[[#This Row],[UnitCost]]</f>
        <v>242.48</v>
      </c>
    </row>
    <row r="678" spans="1:12" x14ac:dyDescent="0.25">
      <c r="A678" t="s">
        <v>300</v>
      </c>
      <c r="B678" t="s">
        <v>415</v>
      </c>
      <c r="C678">
        <v>1</v>
      </c>
      <c r="D678" s="9">
        <f>IFERROR(VLOOKUP($B678,Menu[],MATCH(D$1,Menu[#Headers],0),FALSE),"CHECK")</f>
        <v>256.91000000000003</v>
      </c>
      <c r="E678" s="9">
        <f>IFERROR(VLOOKUP($B678,Menu[],MATCH(E$1,Menu[#Headers],0),FALSE),"CHECK")</f>
        <v>121.24</v>
      </c>
      <c r="F678" t="str">
        <f>IFERROR(VLOOKUP($B678,Menu[],MATCH(F$1,Menu[#Headers],0),FALSE),"CHECK")</f>
        <v>Hot Meal</v>
      </c>
      <c r="G678" s="7">
        <f>IFERROR(INT(VLOOKUP($A678,Orders[],MATCH("OrderDateTime",Orders[#Headers],0),FALSE)),"CHECK")</f>
        <v>45844</v>
      </c>
      <c r="H678" s="7" t="str">
        <f>IFERROR(VLOOKUP($A678,Orders[],MATCH(H$1,Orders[#Headers],0),FALSE),"CHECK")</f>
        <v>Plant 1 Canteen</v>
      </c>
      <c r="I678">
        <f>IFERROR(VLOOKUP(OrderLines[[#This Row],[OrderID]],Orders[],MATCH(OrderLines[[#Headers],[DiscountPct]],Orders[#Headers],0),FALSE),"CHECK")</f>
        <v>0.06</v>
      </c>
      <c r="J678" t="str">
        <f>IFERROR(VLOOKUP(OrderLines[[#This Row],[OrderID]],Orders[],MATCH(OrderLines[[#Headers],[Shift]],Orders[#Headers],0),FALSE),"CHECK")</f>
        <v>Breakfast</v>
      </c>
      <c r="K678" s="11">
        <f>OrderLines[[#This Row],[Qty]] * OrderLines[[#This Row],[UnitPrice]] * (1-OrderLines[[#This Row],[DiscountPct]])</f>
        <v>241.49540000000002</v>
      </c>
      <c r="L678">
        <f>OrderLines[[#This Row],[Qty]]*OrderLines[[#This Row],[UnitCost]]</f>
        <v>121.24</v>
      </c>
    </row>
    <row r="679" spans="1:12" x14ac:dyDescent="0.25">
      <c r="A679" t="s">
        <v>300</v>
      </c>
      <c r="B679" t="s">
        <v>403</v>
      </c>
      <c r="C679">
        <v>2</v>
      </c>
      <c r="D679" s="9">
        <f>IFERROR(VLOOKUP($B679,Menu[],MATCH(D$1,Menu[#Headers],0),FALSE),"CHECK")</f>
        <v>76.55</v>
      </c>
      <c r="E679" s="9">
        <f>IFERROR(VLOOKUP($B679,Menu[],MATCH(E$1,Menu[#Headers],0),FALSE),"CHECK")</f>
        <v>38.229999999999997</v>
      </c>
      <c r="F679" t="str">
        <f>IFERROR(VLOOKUP($B679,Menu[],MATCH(F$1,Menu[#Headers],0),FALSE),"CHECK")</f>
        <v>Dessert</v>
      </c>
      <c r="G679" s="7">
        <f>IFERROR(INT(VLOOKUP($A679,Orders[],MATCH("OrderDateTime",Orders[#Headers],0),FALSE)),"CHECK")</f>
        <v>45844</v>
      </c>
      <c r="H679" s="7" t="str">
        <f>IFERROR(VLOOKUP($A679,Orders[],MATCH(H$1,Orders[#Headers],0),FALSE),"CHECK")</f>
        <v>Plant 1 Canteen</v>
      </c>
      <c r="I679">
        <f>IFERROR(VLOOKUP(OrderLines[[#This Row],[OrderID]],Orders[],MATCH(OrderLines[[#Headers],[DiscountPct]],Orders[#Headers],0),FALSE),"CHECK")</f>
        <v>0.06</v>
      </c>
      <c r="J679" t="str">
        <f>IFERROR(VLOOKUP(OrderLines[[#This Row],[OrderID]],Orders[],MATCH(OrderLines[[#Headers],[Shift]],Orders[#Headers],0),FALSE),"CHECK")</f>
        <v>Breakfast</v>
      </c>
      <c r="K679" s="11">
        <f>OrderLines[[#This Row],[Qty]] * OrderLines[[#This Row],[UnitPrice]] * (1-OrderLines[[#This Row],[DiscountPct]])</f>
        <v>143.91399999999999</v>
      </c>
      <c r="L679">
        <f>OrderLines[[#This Row],[Qty]]*OrderLines[[#This Row],[UnitCost]]</f>
        <v>76.459999999999994</v>
      </c>
    </row>
    <row r="680" spans="1:12" x14ac:dyDescent="0.25">
      <c r="A680" t="s">
        <v>301</v>
      </c>
      <c r="B680" t="s">
        <v>409</v>
      </c>
      <c r="C680">
        <v>1</v>
      </c>
      <c r="D680" s="9">
        <f>IFERROR(VLOOKUP($B680,Menu[],MATCH(D$1,Menu[#Headers],0),FALSE),"CHECK")</f>
        <v>28.43</v>
      </c>
      <c r="E680" s="9">
        <f>IFERROR(VLOOKUP($B680,Menu[],MATCH(E$1,Menu[#Headers],0),FALSE),"CHECK")</f>
        <v>13.89</v>
      </c>
      <c r="F680" t="str">
        <f>IFERROR(VLOOKUP($B680,Menu[],MATCH(F$1,Menu[#Headers],0),FALSE),"CHECK")</f>
        <v>Beverage</v>
      </c>
      <c r="G680" s="7">
        <f>IFERROR(INT(VLOOKUP($A680,Orders[],MATCH("OrderDateTime",Orders[#Headers],0),FALSE)),"CHECK")</f>
        <v>45847</v>
      </c>
      <c r="H680" s="7" t="str">
        <f>IFERROR(VLOOKUP($A680,Orders[],MATCH(H$1,Orders[#Headers],0),FALSE),"CHECK")</f>
        <v>Plant 2 Canteen</v>
      </c>
      <c r="I680">
        <f>IFERROR(VLOOKUP(OrderLines[[#This Row],[OrderID]],Orders[],MATCH(OrderLines[[#Headers],[DiscountPct]],Orders[#Headers],0),FALSE),"CHECK")</f>
        <v>0.06</v>
      </c>
      <c r="J680" t="str">
        <f>IFERROR(VLOOKUP(OrderLines[[#This Row],[OrderID]],Orders[],MATCH(OrderLines[[#Headers],[Shift]],Orders[#Headers],0),FALSE),"CHECK")</f>
        <v>Breakfast</v>
      </c>
      <c r="K680" s="11">
        <f>OrderLines[[#This Row],[Qty]] * OrderLines[[#This Row],[UnitPrice]] * (1-OrderLines[[#This Row],[DiscountPct]])</f>
        <v>26.7242</v>
      </c>
      <c r="L680">
        <f>OrderLines[[#This Row],[Qty]]*OrderLines[[#This Row],[UnitCost]]</f>
        <v>13.89</v>
      </c>
    </row>
    <row r="681" spans="1:12" x14ac:dyDescent="0.25">
      <c r="A681" t="s">
        <v>301</v>
      </c>
      <c r="B681" t="s">
        <v>403</v>
      </c>
      <c r="C681">
        <v>2</v>
      </c>
      <c r="D681" s="9">
        <f>IFERROR(VLOOKUP($B681,Menu[],MATCH(D$1,Menu[#Headers],0),FALSE),"CHECK")</f>
        <v>76.55</v>
      </c>
      <c r="E681" s="9">
        <f>IFERROR(VLOOKUP($B681,Menu[],MATCH(E$1,Menu[#Headers],0),FALSE),"CHECK")</f>
        <v>38.229999999999997</v>
      </c>
      <c r="F681" t="str">
        <f>IFERROR(VLOOKUP($B681,Menu[],MATCH(F$1,Menu[#Headers],0),FALSE),"CHECK")</f>
        <v>Dessert</v>
      </c>
      <c r="G681" s="7">
        <f>IFERROR(INT(VLOOKUP($A681,Orders[],MATCH("OrderDateTime",Orders[#Headers],0),FALSE)),"CHECK")</f>
        <v>45847</v>
      </c>
      <c r="H681" s="7" t="str">
        <f>IFERROR(VLOOKUP($A681,Orders[],MATCH(H$1,Orders[#Headers],0),FALSE),"CHECK")</f>
        <v>Plant 2 Canteen</v>
      </c>
      <c r="I681">
        <f>IFERROR(VLOOKUP(OrderLines[[#This Row],[OrderID]],Orders[],MATCH(OrderLines[[#Headers],[DiscountPct]],Orders[#Headers],0),FALSE),"CHECK")</f>
        <v>0.06</v>
      </c>
      <c r="J681" t="str">
        <f>IFERROR(VLOOKUP(OrderLines[[#This Row],[OrderID]],Orders[],MATCH(OrderLines[[#Headers],[Shift]],Orders[#Headers],0),FALSE),"CHECK")</f>
        <v>Breakfast</v>
      </c>
      <c r="K681" s="11">
        <f>OrderLines[[#This Row],[Qty]] * OrderLines[[#This Row],[UnitPrice]] * (1-OrderLines[[#This Row],[DiscountPct]])</f>
        <v>143.91399999999999</v>
      </c>
      <c r="L681">
        <f>OrderLines[[#This Row],[Qty]]*OrderLines[[#This Row],[UnitCost]]</f>
        <v>76.459999999999994</v>
      </c>
    </row>
    <row r="682" spans="1:12" x14ac:dyDescent="0.25">
      <c r="A682" t="s">
        <v>301</v>
      </c>
      <c r="B682" t="s">
        <v>414</v>
      </c>
      <c r="C682">
        <v>3</v>
      </c>
      <c r="D682" s="9">
        <f>IFERROR(VLOOKUP($B682,Menu[],MATCH(D$1,Menu[#Headers],0),FALSE),"CHECK")</f>
        <v>116.8</v>
      </c>
      <c r="E682" s="9">
        <f>IFERROR(VLOOKUP($B682,Menu[],MATCH(E$1,Menu[#Headers],0),FALSE),"CHECK")</f>
        <v>48.97</v>
      </c>
      <c r="F682" t="str">
        <f>IFERROR(VLOOKUP($B682,Menu[],MATCH(F$1,Menu[#Headers],0),FALSE),"CHECK")</f>
        <v>Dessert</v>
      </c>
      <c r="G682" s="7">
        <f>IFERROR(INT(VLOOKUP($A682,Orders[],MATCH("OrderDateTime",Orders[#Headers],0),FALSE)),"CHECK")</f>
        <v>45847</v>
      </c>
      <c r="H682" s="7" t="str">
        <f>IFERROR(VLOOKUP($A682,Orders[],MATCH(H$1,Orders[#Headers],0),FALSE),"CHECK")</f>
        <v>Plant 2 Canteen</v>
      </c>
      <c r="I682">
        <f>IFERROR(VLOOKUP(OrderLines[[#This Row],[OrderID]],Orders[],MATCH(OrderLines[[#Headers],[DiscountPct]],Orders[#Headers],0),FALSE),"CHECK")</f>
        <v>0.06</v>
      </c>
      <c r="J682" t="str">
        <f>IFERROR(VLOOKUP(OrderLines[[#This Row],[OrderID]],Orders[],MATCH(OrderLines[[#Headers],[Shift]],Orders[#Headers],0),FALSE),"CHECK")</f>
        <v>Breakfast</v>
      </c>
      <c r="K682" s="11">
        <f>OrderLines[[#This Row],[Qty]] * OrderLines[[#This Row],[UnitPrice]] * (1-OrderLines[[#This Row],[DiscountPct]])</f>
        <v>329.37599999999998</v>
      </c>
      <c r="L682">
        <f>OrderLines[[#This Row],[Qty]]*OrderLines[[#This Row],[UnitCost]]</f>
        <v>146.91</v>
      </c>
    </row>
    <row r="683" spans="1:12" x14ac:dyDescent="0.25">
      <c r="A683" t="s">
        <v>302</v>
      </c>
      <c r="B683" t="s">
        <v>402</v>
      </c>
      <c r="C683">
        <v>2</v>
      </c>
      <c r="D683" s="9">
        <f>IFERROR(VLOOKUP($B683,Menu[],MATCH(D$1,Menu[#Headers],0),FALSE),"CHECK")</f>
        <v>30.34</v>
      </c>
      <c r="E683" s="9">
        <f>IFERROR(VLOOKUP($B683,Menu[],MATCH(E$1,Menu[#Headers],0),FALSE),"CHECK")</f>
        <v>14.18</v>
      </c>
      <c r="F683" t="str">
        <f>IFERROR(VLOOKUP($B683,Menu[],MATCH(F$1,Menu[#Headers],0),FALSE),"CHECK")</f>
        <v>Beverage</v>
      </c>
      <c r="G683" s="7">
        <f>IFERROR(INT(VLOOKUP($A683,Orders[],MATCH("OrderDateTime",Orders[#Headers],0),FALSE)),"CHECK")</f>
        <v>45886</v>
      </c>
      <c r="H683" s="7" t="str">
        <f>IFERROR(VLOOKUP($A683,Orders[],MATCH(H$1,Orders[#Headers],0),FALSE),"CHECK")</f>
        <v>Head Office Café</v>
      </c>
      <c r="I683">
        <f>IFERROR(VLOOKUP(OrderLines[[#This Row],[OrderID]],Orders[],MATCH(OrderLines[[#Headers],[DiscountPct]],Orders[#Headers],0),FALSE),"CHECK")</f>
        <v>0.11</v>
      </c>
      <c r="J683" t="str">
        <f>IFERROR(VLOOKUP(OrderLines[[#This Row],[OrderID]],Orders[],MATCH(OrderLines[[#Headers],[Shift]],Orders[#Headers],0),FALSE),"CHECK")</f>
        <v>Breakfast</v>
      </c>
      <c r="K683" s="11">
        <f>OrderLines[[#This Row],[Qty]] * OrderLines[[#This Row],[UnitPrice]] * (1-OrderLines[[#This Row],[DiscountPct]])</f>
        <v>54.005200000000002</v>
      </c>
      <c r="L683">
        <f>OrderLines[[#This Row],[Qty]]*OrderLines[[#This Row],[UnitCost]]</f>
        <v>28.36</v>
      </c>
    </row>
    <row r="684" spans="1:12" x14ac:dyDescent="0.25">
      <c r="A684" t="s">
        <v>302</v>
      </c>
      <c r="B684" t="s">
        <v>410</v>
      </c>
      <c r="C684">
        <v>2</v>
      </c>
      <c r="D684" s="9">
        <f>IFERROR(VLOOKUP($B684,Menu[],MATCH(D$1,Menu[#Headers],0),FALSE),"CHECK")</f>
        <v>20.11</v>
      </c>
      <c r="E684" s="9">
        <f>IFERROR(VLOOKUP($B684,Menu[],MATCH(E$1,Menu[#Headers],0),FALSE),"CHECK")</f>
        <v>8</v>
      </c>
      <c r="F684" t="str">
        <f>IFERROR(VLOOKUP($B684,Menu[],MATCH(F$1,Menu[#Headers],0),FALSE),"CHECK")</f>
        <v>Beverage</v>
      </c>
      <c r="G684" s="7">
        <f>IFERROR(INT(VLOOKUP($A684,Orders[],MATCH("OrderDateTime",Orders[#Headers],0),FALSE)),"CHECK")</f>
        <v>45886</v>
      </c>
      <c r="H684" s="7" t="str">
        <f>IFERROR(VLOOKUP($A684,Orders[],MATCH(H$1,Orders[#Headers],0),FALSE),"CHECK")</f>
        <v>Head Office Café</v>
      </c>
      <c r="I684">
        <f>IFERROR(VLOOKUP(OrderLines[[#This Row],[OrderID]],Orders[],MATCH(OrderLines[[#Headers],[DiscountPct]],Orders[#Headers],0),FALSE),"CHECK")</f>
        <v>0.11</v>
      </c>
      <c r="J684" t="str">
        <f>IFERROR(VLOOKUP(OrderLines[[#This Row],[OrderID]],Orders[],MATCH(OrderLines[[#Headers],[Shift]],Orders[#Headers],0),FALSE),"CHECK")</f>
        <v>Breakfast</v>
      </c>
      <c r="K684" s="11">
        <f>OrderLines[[#This Row],[Qty]] * OrderLines[[#This Row],[UnitPrice]] * (1-OrderLines[[#This Row],[DiscountPct]])</f>
        <v>35.7958</v>
      </c>
      <c r="L684">
        <f>OrderLines[[#This Row],[Qty]]*OrderLines[[#This Row],[UnitCost]]</f>
        <v>16</v>
      </c>
    </row>
    <row r="685" spans="1:12" x14ac:dyDescent="0.25">
      <c r="A685" t="s">
        <v>302</v>
      </c>
      <c r="B685" t="s">
        <v>407</v>
      </c>
      <c r="C685">
        <v>2</v>
      </c>
      <c r="D685" s="9">
        <f>IFERROR(VLOOKUP($B685,Menu[],MATCH(D$1,Menu[#Headers],0),FALSE),"CHECK")</f>
        <v>246.09</v>
      </c>
      <c r="E685" s="9">
        <f>IFERROR(VLOOKUP($B685,Menu[],MATCH(E$1,Menu[#Headers],0),FALSE),"CHECK")</f>
        <v>112.08</v>
      </c>
      <c r="F685" t="str">
        <f>IFERROR(VLOOKUP($B685,Menu[],MATCH(F$1,Menu[#Headers],0),FALSE),"CHECK")</f>
        <v>Hot Meal</v>
      </c>
      <c r="G685" s="7">
        <f>IFERROR(INT(VLOOKUP($A685,Orders[],MATCH("OrderDateTime",Orders[#Headers],0),FALSE)),"CHECK")</f>
        <v>45886</v>
      </c>
      <c r="H685" s="7" t="str">
        <f>IFERROR(VLOOKUP($A685,Orders[],MATCH(H$1,Orders[#Headers],0),FALSE),"CHECK")</f>
        <v>Head Office Café</v>
      </c>
      <c r="I685">
        <f>IFERROR(VLOOKUP(OrderLines[[#This Row],[OrderID]],Orders[],MATCH(OrderLines[[#Headers],[DiscountPct]],Orders[#Headers],0),FALSE),"CHECK")</f>
        <v>0.11</v>
      </c>
      <c r="J685" t="str">
        <f>IFERROR(VLOOKUP(OrderLines[[#This Row],[OrderID]],Orders[],MATCH(OrderLines[[#Headers],[Shift]],Orders[#Headers],0),FALSE),"CHECK")</f>
        <v>Breakfast</v>
      </c>
      <c r="K685" s="11">
        <f>OrderLines[[#This Row],[Qty]] * OrderLines[[#This Row],[UnitPrice]] * (1-OrderLines[[#This Row],[DiscountPct]])</f>
        <v>438.04020000000003</v>
      </c>
      <c r="L685">
        <f>OrderLines[[#This Row],[Qty]]*OrderLines[[#This Row],[UnitCost]]</f>
        <v>224.16</v>
      </c>
    </row>
    <row r="686" spans="1:12" x14ac:dyDescent="0.25">
      <c r="A686" t="s">
        <v>303</v>
      </c>
      <c r="B686" t="s">
        <v>414</v>
      </c>
      <c r="C686">
        <v>2</v>
      </c>
      <c r="D686" s="9">
        <f>IFERROR(VLOOKUP($B686,Menu[],MATCH(D$1,Menu[#Headers],0),FALSE),"CHECK")</f>
        <v>116.8</v>
      </c>
      <c r="E686" s="9">
        <f>IFERROR(VLOOKUP($B686,Menu[],MATCH(E$1,Menu[#Headers],0),FALSE),"CHECK")</f>
        <v>48.97</v>
      </c>
      <c r="F686" t="str">
        <f>IFERROR(VLOOKUP($B686,Menu[],MATCH(F$1,Menu[#Headers],0),FALSE),"CHECK")</f>
        <v>Dessert</v>
      </c>
      <c r="G686" s="7">
        <f>IFERROR(INT(VLOOKUP($A686,Orders[],MATCH("OrderDateTime",Orders[#Headers],0),FALSE)),"CHECK")</f>
        <v>45860</v>
      </c>
      <c r="H686" s="7" t="str">
        <f>IFERROR(VLOOKUP($A686,Orders[],MATCH(H$1,Orders[#Headers],0),FALSE),"CHECK")</f>
        <v>Head Office Café</v>
      </c>
      <c r="I686">
        <f>IFERROR(VLOOKUP(OrderLines[[#This Row],[OrderID]],Orders[],MATCH(OrderLines[[#Headers],[DiscountPct]],Orders[#Headers],0),FALSE),"CHECK")</f>
        <v>0.04</v>
      </c>
      <c r="J686" t="str">
        <f>IFERROR(VLOOKUP(OrderLines[[#This Row],[OrderID]],Orders[],MATCH(OrderLines[[#Headers],[Shift]],Orders[#Headers],0),FALSE),"CHECK")</f>
        <v>Breakfast</v>
      </c>
      <c r="K686" s="11">
        <f>OrderLines[[#This Row],[Qty]] * OrderLines[[#This Row],[UnitPrice]] * (1-OrderLines[[#This Row],[DiscountPct]])</f>
        <v>224.256</v>
      </c>
      <c r="L686">
        <f>OrderLines[[#This Row],[Qty]]*OrderLines[[#This Row],[UnitCost]]</f>
        <v>97.94</v>
      </c>
    </row>
    <row r="687" spans="1:12" x14ac:dyDescent="0.25">
      <c r="A687" t="s">
        <v>303</v>
      </c>
      <c r="B687" t="s">
        <v>416</v>
      </c>
      <c r="C687">
        <v>1</v>
      </c>
      <c r="D687" s="9">
        <f>IFERROR(VLOOKUP($B687,Menu[],MATCH(D$1,Menu[#Headers],0),FALSE),"CHECK")</f>
        <v>227.61</v>
      </c>
      <c r="E687" s="9">
        <f>IFERROR(VLOOKUP($B687,Menu[],MATCH(E$1,Menu[#Headers],0),FALSE),"CHECK")</f>
        <v>96.22</v>
      </c>
      <c r="F687" t="str">
        <f>IFERROR(VLOOKUP($B687,Menu[],MATCH(F$1,Menu[#Headers],0),FALSE),"CHECK")</f>
        <v>Hot Meal</v>
      </c>
      <c r="G687" s="7">
        <f>IFERROR(INT(VLOOKUP($A687,Orders[],MATCH("OrderDateTime",Orders[#Headers],0),FALSE)),"CHECK")</f>
        <v>45860</v>
      </c>
      <c r="H687" s="7" t="str">
        <f>IFERROR(VLOOKUP($A687,Orders[],MATCH(H$1,Orders[#Headers],0),FALSE),"CHECK")</f>
        <v>Head Office Café</v>
      </c>
      <c r="I687">
        <f>IFERROR(VLOOKUP(OrderLines[[#This Row],[OrderID]],Orders[],MATCH(OrderLines[[#Headers],[DiscountPct]],Orders[#Headers],0),FALSE),"CHECK")</f>
        <v>0.04</v>
      </c>
      <c r="J687" t="str">
        <f>IFERROR(VLOOKUP(OrderLines[[#This Row],[OrderID]],Orders[],MATCH(OrderLines[[#Headers],[Shift]],Orders[#Headers],0),FALSE),"CHECK")</f>
        <v>Breakfast</v>
      </c>
      <c r="K687" s="11">
        <f>OrderLines[[#This Row],[Qty]] * OrderLines[[#This Row],[UnitPrice]] * (1-OrderLines[[#This Row],[DiscountPct]])</f>
        <v>218.50560000000002</v>
      </c>
      <c r="L687">
        <f>OrderLines[[#This Row],[Qty]]*OrderLines[[#This Row],[UnitCost]]</f>
        <v>96.22</v>
      </c>
    </row>
    <row r="688" spans="1:12" x14ac:dyDescent="0.25">
      <c r="A688" t="s">
        <v>304</v>
      </c>
      <c r="B688" t="s">
        <v>416</v>
      </c>
      <c r="C688">
        <v>1</v>
      </c>
      <c r="D688" s="9">
        <f>IFERROR(VLOOKUP($B688,Menu[],MATCH(D$1,Menu[#Headers],0),FALSE),"CHECK")</f>
        <v>227.61</v>
      </c>
      <c r="E688" s="9">
        <f>IFERROR(VLOOKUP($B688,Menu[],MATCH(E$1,Menu[#Headers],0),FALSE),"CHECK")</f>
        <v>96.22</v>
      </c>
      <c r="F688" t="str">
        <f>IFERROR(VLOOKUP($B688,Menu[],MATCH(F$1,Menu[#Headers],0),FALSE),"CHECK")</f>
        <v>Hot Meal</v>
      </c>
      <c r="G688" s="7">
        <f>IFERROR(INT(VLOOKUP($A688,Orders[],MATCH("OrderDateTime",Orders[#Headers],0),FALSE)),"CHECK")</f>
        <v>45850</v>
      </c>
      <c r="H688" s="7" t="str">
        <f>IFERROR(VLOOKUP($A688,Orders[],MATCH(H$1,Orders[#Headers],0),FALSE),"CHECK")</f>
        <v>Plant 2 Canteen</v>
      </c>
      <c r="I688">
        <f>IFERROR(VLOOKUP(OrderLines[[#This Row],[OrderID]],Orders[],MATCH(OrderLines[[#Headers],[DiscountPct]],Orders[#Headers],0),FALSE),"CHECK")</f>
        <v>0.08</v>
      </c>
      <c r="J688" t="str">
        <f>IFERROR(VLOOKUP(OrderLines[[#This Row],[OrderID]],Orders[],MATCH(OrderLines[[#Headers],[Shift]],Orders[#Headers],0),FALSE),"CHECK")</f>
        <v>Breakfast</v>
      </c>
      <c r="K688" s="11">
        <f>OrderLines[[#This Row],[Qty]] * OrderLines[[#This Row],[UnitPrice]] * (1-OrderLines[[#This Row],[DiscountPct]])</f>
        <v>209.40120000000002</v>
      </c>
      <c r="L688">
        <f>OrderLines[[#This Row],[Qty]]*OrderLines[[#This Row],[UnitCost]]</f>
        <v>96.22</v>
      </c>
    </row>
    <row r="689" spans="1:12" x14ac:dyDescent="0.25">
      <c r="A689" t="s">
        <v>304</v>
      </c>
      <c r="B689" t="s">
        <v>407</v>
      </c>
      <c r="C689">
        <v>1</v>
      </c>
      <c r="D689" s="9">
        <f>IFERROR(VLOOKUP($B689,Menu[],MATCH(D$1,Menu[#Headers],0),FALSE),"CHECK")</f>
        <v>246.09</v>
      </c>
      <c r="E689" s="9">
        <f>IFERROR(VLOOKUP($B689,Menu[],MATCH(E$1,Menu[#Headers],0),FALSE),"CHECK")</f>
        <v>112.08</v>
      </c>
      <c r="F689" t="str">
        <f>IFERROR(VLOOKUP($B689,Menu[],MATCH(F$1,Menu[#Headers],0),FALSE),"CHECK")</f>
        <v>Hot Meal</v>
      </c>
      <c r="G689" s="7">
        <f>IFERROR(INT(VLOOKUP($A689,Orders[],MATCH("OrderDateTime",Orders[#Headers],0),FALSE)),"CHECK")</f>
        <v>45850</v>
      </c>
      <c r="H689" s="7" t="str">
        <f>IFERROR(VLOOKUP($A689,Orders[],MATCH(H$1,Orders[#Headers],0),FALSE),"CHECK")</f>
        <v>Plant 2 Canteen</v>
      </c>
      <c r="I689">
        <f>IFERROR(VLOOKUP(OrderLines[[#This Row],[OrderID]],Orders[],MATCH(OrderLines[[#Headers],[DiscountPct]],Orders[#Headers],0),FALSE),"CHECK")</f>
        <v>0.08</v>
      </c>
      <c r="J689" t="str">
        <f>IFERROR(VLOOKUP(OrderLines[[#This Row],[OrderID]],Orders[],MATCH(OrderLines[[#Headers],[Shift]],Orders[#Headers],0),FALSE),"CHECK")</f>
        <v>Breakfast</v>
      </c>
      <c r="K689" s="11">
        <f>OrderLines[[#This Row],[Qty]] * OrderLines[[#This Row],[UnitPrice]] * (1-OrderLines[[#This Row],[DiscountPct]])</f>
        <v>226.40280000000001</v>
      </c>
      <c r="L689">
        <f>OrderLines[[#This Row],[Qty]]*OrderLines[[#This Row],[UnitCost]]</f>
        <v>112.08</v>
      </c>
    </row>
    <row r="690" spans="1:12" x14ac:dyDescent="0.25">
      <c r="A690" t="s">
        <v>304</v>
      </c>
      <c r="B690" t="s">
        <v>410</v>
      </c>
      <c r="C690">
        <v>1</v>
      </c>
      <c r="D690" s="9">
        <f>IFERROR(VLOOKUP($B690,Menu[],MATCH(D$1,Menu[#Headers],0),FALSE),"CHECK")</f>
        <v>20.11</v>
      </c>
      <c r="E690" s="9">
        <f>IFERROR(VLOOKUP($B690,Menu[],MATCH(E$1,Menu[#Headers],0),FALSE),"CHECK")</f>
        <v>8</v>
      </c>
      <c r="F690" t="str">
        <f>IFERROR(VLOOKUP($B690,Menu[],MATCH(F$1,Menu[#Headers],0),FALSE),"CHECK")</f>
        <v>Beverage</v>
      </c>
      <c r="G690" s="7">
        <f>IFERROR(INT(VLOOKUP($A690,Orders[],MATCH("OrderDateTime",Orders[#Headers],0),FALSE)),"CHECK")</f>
        <v>45850</v>
      </c>
      <c r="H690" s="7" t="str">
        <f>IFERROR(VLOOKUP($A690,Orders[],MATCH(H$1,Orders[#Headers],0),FALSE),"CHECK")</f>
        <v>Plant 2 Canteen</v>
      </c>
      <c r="I690">
        <f>IFERROR(VLOOKUP(OrderLines[[#This Row],[OrderID]],Orders[],MATCH(OrderLines[[#Headers],[DiscountPct]],Orders[#Headers],0),FALSE),"CHECK")</f>
        <v>0.08</v>
      </c>
      <c r="J690" t="str">
        <f>IFERROR(VLOOKUP(OrderLines[[#This Row],[OrderID]],Orders[],MATCH(OrderLines[[#Headers],[Shift]],Orders[#Headers],0),FALSE),"CHECK")</f>
        <v>Breakfast</v>
      </c>
      <c r="K690" s="11">
        <f>OrderLines[[#This Row],[Qty]] * OrderLines[[#This Row],[UnitPrice]] * (1-OrderLines[[#This Row],[DiscountPct]])</f>
        <v>18.501200000000001</v>
      </c>
      <c r="L690">
        <f>OrderLines[[#This Row],[Qty]]*OrderLines[[#This Row],[UnitCost]]</f>
        <v>8</v>
      </c>
    </row>
    <row r="691" spans="1:12" x14ac:dyDescent="0.25">
      <c r="A691" t="s">
        <v>304</v>
      </c>
      <c r="B691" t="s">
        <v>409</v>
      </c>
      <c r="C691">
        <v>3</v>
      </c>
      <c r="D691" s="9">
        <f>IFERROR(VLOOKUP($B691,Menu[],MATCH(D$1,Menu[#Headers],0),FALSE),"CHECK")</f>
        <v>28.43</v>
      </c>
      <c r="E691" s="9">
        <f>IFERROR(VLOOKUP($B691,Menu[],MATCH(E$1,Menu[#Headers],0),FALSE),"CHECK")</f>
        <v>13.89</v>
      </c>
      <c r="F691" t="str">
        <f>IFERROR(VLOOKUP($B691,Menu[],MATCH(F$1,Menu[#Headers],0),FALSE),"CHECK")</f>
        <v>Beverage</v>
      </c>
      <c r="G691" s="7">
        <f>IFERROR(INT(VLOOKUP($A691,Orders[],MATCH("OrderDateTime",Orders[#Headers],0),FALSE)),"CHECK")</f>
        <v>45850</v>
      </c>
      <c r="H691" s="7" t="str">
        <f>IFERROR(VLOOKUP($A691,Orders[],MATCH(H$1,Orders[#Headers],0),FALSE),"CHECK")</f>
        <v>Plant 2 Canteen</v>
      </c>
      <c r="I691">
        <f>IFERROR(VLOOKUP(OrderLines[[#This Row],[OrderID]],Orders[],MATCH(OrderLines[[#Headers],[DiscountPct]],Orders[#Headers],0),FALSE),"CHECK")</f>
        <v>0.08</v>
      </c>
      <c r="J691" t="str">
        <f>IFERROR(VLOOKUP(OrderLines[[#This Row],[OrderID]],Orders[],MATCH(OrderLines[[#Headers],[Shift]],Orders[#Headers],0),FALSE),"CHECK")</f>
        <v>Breakfast</v>
      </c>
      <c r="K691" s="11">
        <f>OrderLines[[#This Row],[Qty]] * OrderLines[[#This Row],[UnitPrice]] * (1-OrderLines[[#This Row],[DiscountPct]])</f>
        <v>78.466799999999992</v>
      </c>
      <c r="L691">
        <f>OrderLines[[#This Row],[Qty]]*OrderLines[[#This Row],[UnitCost]]</f>
        <v>41.67</v>
      </c>
    </row>
    <row r="692" spans="1:12" x14ac:dyDescent="0.25">
      <c r="A692" t="s">
        <v>305</v>
      </c>
      <c r="B692" t="s">
        <v>419</v>
      </c>
      <c r="C692">
        <v>1</v>
      </c>
      <c r="D692" s="9">
        <f>IFERROR(VLOOKUP($B692,Menu[],MATCH(D$1,Menu[#Headers],0),FALSE),"CHECK")</f>
        <v>50.19</v>
      </c>
      <c r="E692" s="9">
        <f>IFERROR(VLOOKUP($B692,Menu[],MATCH(E$1,Menu[#Headers],0),FALSE),"CHECK")</f>
        <v>22.61</v>
      </c>
      <c r="F692" t="str">
        <f>IFERROR(VLOOKUP($B692,Menu[],MATCH(F$1,Menu[#Headers],0),FALSE),"CHECK")</f>
        <v>Snack</v>
      </c>
      <c r="G692" s="7">
        <f>IFERROR(INT(VLOOKUP($A692,Orders[],MATCH("OrderDateTime",Orders[#Headers],0),FALSE)),"CHECK")</f>
        <v>45890</v>
      </c>
      <c r="H692" s="7" t="str">
        <f>IFERROR(VLOOKUP($A692,Orders[],MATCH(H$1,Orders[#Headers],0),FALSE),"CHECK")</f>
        <v>Head Office Café</v>
      </c>
      <c r="I692">
        <f>IFERROR(VLOOKUP(OrderLines[[#This Row],[OrderID]],Orders[],MATCH(OrderLines[[#Headers],[DiscountPct]],Orders[#Headers],0),FALSE),"CHECK")</f>
        <v>0.05</v>
      </c>
      <c r="J692" t="str">
        <f>IFERROR(VLOOKUP(OrderLines[[#This Row],[OrderID]],Orders[],MATCH(OrderLines[[#Headers],[Shift]],Orders[#Headers],0),FALSE),"CHECK")</f>
        <v>Breakfast</v>
      </c>
      <c r="K692" s="11">
        <f>OrderLines[[#This Row],[Qty]] * OrderLines[[#This Row],[UnitPrice]] * (1-OrderLines[[#This Row],[DiscountPct]])</f>
        <v>47.680499999999995</v>
      </c>
      <c r="L692">
        <f>OrderLines[[#This Row],[Qty]]*OrderLines[[#This Row],[UnitCost]]</f>
        <v>22.61</v>
      </c>
    </row>
    <row r="693" spans="1:12" x14ac:dyDescent="0.25">
      <c r="A693" t="s">
        <v>305</v>
      </c>
      <c r="B693" t="s">
        <v>415</v>
      </c>
      <c r="C693">
        <v>3</v>
      </c>
      <c r="D693" s="9">
        <f>IFERROR(VLOOKUP($B693,Menu[],MATCH(D$1,Menu[#Headers],0),FALSE),"CHECK")</f>
        <v>256.91000000000003</v>
      </c>
      <c r="E693" s="9">
        <f>IFERROR(VLOOKUP($B693,Menu[],MATCH(E$1,Menu[#Headers],0),FALSE),"CHECK")</f>
        <v>121.24</v>
      </c>
      <c r="F693" t="str">
        <f>IFERROR(VLOOKUP($B693,Menu[],MATCH(F$1,Menu[#Headers],0),FALSE),"CHECK")</f>
        <v>Hot Meal</v>
      </c>
      <c r="G693" s="7">
        <f>IFERROR(INT(VLOOKUP($A693,Orders[],MATCH("OrderDateTime",Orders[#Headers],0),FALSE)),"CHECK")</f>
        <v>45890</v>
      </c>
      <c r="H693" s="7" t="str">
        <f>IFERROR(VLOOKUP($A693,Orders[],MATCH(H$1,Orders[#Headers],0),FALSE),"CHECK")</f>
        <v>Head Office Café</v>
      </c>
      <c r="I693">
        <f>IFERROR(VLOOKUP(OrderLines[[#This Row],[OrderID]],Orders[],MATCH(OrderLines[[#Headers],[DiscountPct]],Orders[#Headers],0),FALSE),"CHECK")</f>
        <v>0.05</v>
      </c>
      <c r="J693" t="str">
        <f>IFERROR(VLOOKUP(OrderLines[[#This Row],[OrderID]],Orders[],MATCH(OrderLines[[#Headers],[Shift]],Orders[#Headers],0),FALSE),"CHECK")</f>
        <v>Breakfast</v>
      </c>
      <c r="K693" s="11">
        <f>OrderLines[[#This Row],[Qty]] * OrderLines[[#This Row],[UnitPrice]] * (1-OrderLines[[#This Row],[DiscountPct]])</f>
        <v>732.19349999999997</v>
      </c>
      <c r="L693">
        <f>OrderLines[[#This Row],[Qty]]*OrderLines[[#This Row],[UnitCost]]</f>
        <v>363.71999999999997</v>
      </c>
    </row>
    <row r="694" spans="1:12" x14ac:dyDescent="0.25">
      <c r="A694" t="s">
        <v>305</v>
      </c>
      <c r="B694" t="s">
        <v>412</v>
      </c>
      <c r="C694">
        <v>3</v>
      </c>
      <c r="D694" s="9">
        <f>IFERROR(VLOOKUP($B694,Menu[],MATCH(D$1,Menu[#Headers],0),FALSE),"CHECK")</f>
        <v>57.07</v>
      </c>
      <c r="E694" s="9">
        <f>IFERROR(VLOOKUP($B694,Menu[],MATCH(E$1,Menu[#Headers],0),FALSE),"CHECK")</f>
        <v>29.14</v>
      </c>
      <c r="F694" t="str">
        <f>IFERROR(VLOOKUP($B694,Menu[],MATCH(F$1,Menu[#Headers],0),FALSE),"CHECK")</f>
        <v>Dessert</v>
      </c>
      <c r="G694" s="7">
        <f>IFERROR(INT(VLOOKUP($A694,Orders[],MATCH("OrderDateTime",Orders[#Headers],0),FALSE)),"CHECK")</f>
        <v>45890</v>
      </c>
      <c r="H694" s="7" t="str">
        <f>IFERROR(VLOOKUP($A694,Orders[],MATCH(H$1,Orders[#Headers],0),FALSE),"CHECK")</f>
        <v>Head Office Café</v>
      </c>
      <c r="I694">
        <f>IFERROR(VLOOKUP(OrderLines[[#This Row],[OrderID]],Orders[],MATCH(OrderLines[[#Headers],[DiscountPct]],Orders[#Headers],0),FALSE),"CHECK")</f>
        <v>0.05</v>
      </c>
      <c r="J694" t="str">
        <f>IFERROR(VLOOKUP(OrderLines[[#This Row],[OrderID]],Orders[],MATCH(OrderLines[[#Headers],[Shift]],Orders[#Headers],0),FALSE),"CHECK")</f>
        <v>Breakfast</v>
      </c>
      <c r="K694" s="11">
        <f>OrderLines[[#This Row],[Qty]] * OrderLines[[#This Row],[UnitPrice]] * (1-OrderLines[[#This Row],[DiscountPct]])</f>
        <v>162.64949999999999</v>
      </c>
      <c r="L694">
        <f>OrderLines[[#This Row],[Qty]]*OrderLines[[#This Row],[UnitCost]]</f>
        <v>87.42</v>
      </c>
    </row>
    <row r="695" spans="1:12" x14ac:dyDescent="0.25">
      <c r="A695" t="s">
        <v>306</v>
      </c>
      <c r="B695" t="s">
        <v>415</v>
      </c>
      <c r="C695">
        <v>3</v>
      </c>
      <c r="D695" s="9">
        <f>IFERROR(VLOOKUP($B695,Menu[],MATCH(D$1,Menu[#Headers],0),FALSE),"CHECK")</f>
        <v>256.91000000000003</v>
      </c>
      <c r="E695" s="9">
        <f>IFERROR(VLOOKUP($B695,Menu[],MATCH(E$1,Menu[#Headers],0),FALSE),"CHECK")</f>
        <v>121.24</v>
      </c>
      <c r="F695" t="str">
        <f>IFERROR(VLOOKUP($B695,Menu[],MATCH(F$1,Menu[#Headers],0),FALSE),"CHECK")</f>
        <v>Hot Meal</v>
      </c>
      <c r="G695" s="7">
        <f>IFERROR(INT(VLOOKUP($A695,Orders[],MATCH("OrderDateTime",Orders[#Headers],0),FALSE)),"CHECK")</f>
        <v>45877</v>
      </c>
      <c r="H695" s="7" t="str">
        <f>IFERROR(VLOOKUP($A695,Orders[],MATCH(H$1,Orders[#Headers],0),FALSE),"CHECK")</f>
        <v>Head Office Café</v>
      </c>
      <c r="I695">
        <f>IFERROR(VLOOKUP(OrderLines[[#This Row],[OrderID]],Orders[],MATCH(OrderLines[[#Headers],[DiscountPct]],Orders[#Headers],0),FALSE),"CHECK")</f>
        <v>0.05</v>
      </c>
      <c r="J695" t="str">
        <f>IFERROR(VLOOKUP(OrderLines[[#This Row],[OrderID]],Orders[],MATCH(OrderLines[[#Headers],[Shift]],Orders[#Headers],0),FALSE),"CHECK")</f>
        <v>Lunch</v>
      </c>
      <c r="K695" s="11">
        <f>OrderLines[[#This Row],[Qty]] * OrderLines[[#This Row],[UnitPrice]] * (1-OrderLines[[#This Row],[DiscountPct]])</f>
        <v>732.19349999999997</v>
      </c>
      <c r="L695">
        <f>OrderLines[[#This Row],[Qty]]*OrderLines[[#This Row],[UnitCost]]</f>
        <v>363.71999999999997</v>
      </c>
    </row>
    <row r="696" spans="1:12" x14ac:dyDescent="0.25">
      <c r="A696" t="s">
        <v>306</v>
      </c>
      <c r="B696" t="s">
        <v>409</v>
      </c>
      <c r="C696">
        <v>1</v>
      </c>
      <c r="D696" s="9">
        <f>IFERROR(VLOOKUP($B696,Menu[],MATCH(D$1,Menu[#Headers],0),FALSE),"CHECK")</f>
        <v>28.43</v>
      </c>
      <c r="E696" s="9">
        <f>IFERROR(VLOOKUP($B696,Menu[],MATCH(E$1,Menu[#Headers],0),FALSE),"CHECK")</f>
        <v>13.89</v>
      </c>
      <c r="F696" t="str">
        <f>IFERROR(VLOOKUP($B696,Menu[],MATCH(F$1,Menu[#Headers],0),FALSE),"CHECK")</f>
        <v>Beverage</v>
      </c>
      <c r="G696" s="7">
        <f>IFERROR(INT(VLOOKUP($A696,Orders[],MATCH("OrderDateTime",Orders[#Headers],0),FALSE)),"CHECK")</f>
        <v>45877</v>
      </c>
      <c r="H696" s="7" t="str">
        <f>IFERROR(VLOOKUP($A696,Orders[],MATCH(H$1,Orders[#Headers],0),FALSE),"CHECK")</f>
        <v>Head Office Café</v>
      </c>
      <c r="I696">
        <f>IFERROR(VLOOKUP(OrderLines[[#This Row],[OrderID]],Orders[],MATCH(OrderLines[[#Headers],[DiscountPct]],Orders[#Headers],0),FALSE),"CHECK")</f>
        <v>0.05</v>
      </c>
      <c r="J696" t="str">
        <f>IFERROR(VLOOKUP(OrderLines[[#This Row],[OrderID]],Orders[],MATCH(OrderLines[[#Headers],[Shift]],Orders[#Headers],0),FALSE),"CHECK")</f>
        <v>Lunch</v>
      </c>
      <c r="K696" s="11">
        <f>OrderLines[[#This Row],[Qty]] * OrderLines[[#This Row],[UnitPrice]] * (1-OrderLines[[#This Row],[DiscountPct]])</f>
        <v>27.008499999999998</v>
      </c>
      <c r="L696">
        <f>OrderLines[[#This Row],[Qty]]*OrderLines[[#This Row],[UnitCost]]</f>
        <v>13.89</v>
      </c>
    </row>
    <row r="697" spans="1:12" x14ac:dyDescent="0.25">
      <c r="A697" t="s">
        <v>306</v>
      </c>
      <c r="B697" t="s">
        <v>416</v>
      </c>
      <c r="C697">
        <v>1</v>
      </c>
      <c r="D697" s="9">
        <f>IFERROR(VLOOKUP($B697,Menu[],MATCH(D$1,Menu[#Headers],0),FALSE),"CHECK")</f>
        <v>227.61</v>
      </c>
      <c r="E697" s="9">
        <f>IFERROR(VLOOKUP($B697,Menu[],MATCH(E$1,Menu[#Headers],0),FALSE),"CHECK")</f>
        <v>96.22</v>
      </c>
      <c r="F697" t="str">
        <f>IFERROR(VLOOKUP($B697,Menu[],MATCH(F$1,Menu[#Headers],0),FALSE),"CHECK")</f>
        <v>Hot Meal</v>
      </c>
      <c r="G697" s="7">
        <f>IFERROR(INT(VLOOKUP($A697,Orders[],MATCH("OrderDateTime",Orders[#Headers],0),FALSE)),"CHECK")</f>
        <v>45877</v>
      </c>
      <c r="H697" s="7" t="str">
        <f>IFERROR(VLOOKUP($A697,Orders[],MATCH(H$1,Orders[#Headers],0),FALSE),"CHECK")</f>
        <v>Head Office Café</v>
      </c>
      <c r="I697">
        <f>IFERROR(VLOOKUP(OrderLines[[#This Row],[OrderID]],Orders[],MATCH(OrderLines[[#Headers],[DiscountPct]],Orders[#Headers],0),FALSE),"CHECK")</f>
        <v>0.05</v>
      </c>
      <c r="J697" t="str">
        <f>IFERROR(VLOOKUP(OrderLines[[#This Row],[OrderID]],Orders[],MATCH(OrderLines[[#Headers],[Shift]],Orders[#Headers],0),FALSE),"CHECK")</f>
        <v>Lunch</v>
      </c>
      <c r="K697" s="11">
        <f>OrderLines[[#This Row],[Qty]] * OrderLines[[#This Row],[UnitPrice]] * (1-OrderLines[[#This Row],[DiscountPct]])</f>
        <v>216.2295</v>
      </c>
      <c r="L697">
        <f>OrderLines[[#This Row],[Qty]]*OrderLines[[#This Row],[UnitCost]]</f>
        <v>96.22</v>
      </c>
    </row>
    <row r="698" spans="1:12" x14ac:dyDescent="0.25">
      <c r="A698" t="s">
        <v>306</v>
      </c>
      <c r="B698" t="s">
        <v>408</v>
      </c>
      <c r="C698">
        <v>2</v>
      </c>
      <c r="D698" s="9">
        <f>IFERROR(VLOOKUP($B698,Menu[],MATCH(D$1,Menu[#Headers],0),FALSE),"CHECK")</f>
        <v>70.540000000000006</v>
      </c>
      <c r="E698" s="9">
        <f>IFERROR(VLOOKUP($B698,Menu[],MATCH(E$1,Menu[#Headers],0),FALSE),"CHECK")</f>
        <v>35.81</v>
      </c>
      <c r="F698" t="str">
        <f>IFERROR(VLOOKUP($B698,Menu[],MATCH(F$1,Menu[#Headers],0),FALSE),"CHECK")</f>
        <v>Snack</v>
      </c>
      <c r="G698" s="7">
        <f>IFERROR(INT(VLOOKUP($A698,Orders[],MATCH("OrderDateTime",Orders[#Headers],0),FALSE)),"CHECK")</f>
        <v>45877</v>
      </c>
      <c r="H698" s="7" t="str">
        <f>IFERROR(VLOOKUP($A698,Orders[],MATCH(H$1,Orders[#Headers],0),FALSE),"CHECK")</f>
        <v>Head Office Café</v>
      </c>
      <c r="I698">
        <f>IFERROR(VLOOKUP(OrderLines[[#This Row],[OrderID]],Orders[],MATCH(OrderLines[[#Headers],[DiscountPct]],Orders[#Headers],0),FALSE),"CHECK")</f>
        <v>0.05</v>
      </c>
      <c r="J698" t="str">
        <f>IFERROR(VLOOKUP(OrderLines[[#This Row],[OrderID]],Orders[],MATCH(OrderLines[[#Headers],[Shift]],Orders[#Headers],0),FALSE),"CHECK")</f>
        <v>Lunch</v>
      </c>
      <c r="K698" s="11">
        <f>OrderLines[[#This Row],[Qty]] * OrderLines[[#This Row],[UnitPrice]] * (1-OrderLines[[#This Row],[DiscountPct]])</f>
        <v>134.02600000000001</v>
      </c>
      <c r="L698">
        <f>OrderLines[[#This Row],[Qty]]*OrderLines[[#This Row],[UnitCost]]</f>
        <v>71.62</v>
      </c>
    </row>
    <row r="699" spans="1:12" x14ac:dyDescent="0.25">
      <c r="A699" t="s">
        <v>307</v>
      </c>
      <c r="B699" t="s">
        <v>407</v>
      </c>
      <c r="C699">
        <v>3</v>
      </c>
      <c r="D699" s="9">
        <f>IFERROR(VLOOKUP($B699,Menu[],MATCH(D$1,Menu[#Headers],0),FALSE),"CHECK")</f>
        <v>246.09</v>
      </c>
      <c r="E699" s="9">
        <f>IFERROR(VLOOKUP($B699,Menu[],MATCH(E$1,Menu[#Headers],0),FALSE),"CHECK")</f>
        <v>112.08</v>
      </c>
      <c r="F699" t="str">
        <f>IFERROR(VLOOKUP($B699,Menu[],MATCH(F$1,Menu[#Headers],0),FALSE),"CHECK")</f>
        <v>Hot Meal</v>
      </c>
      <c r="G699" s="7">
        <f>IFERROR(INT(VLOOKUP($A699,Orders[],MATCH("OrderDateTime",Orders[#Headers],0),FALSE)),"CHECK")</f>
        <v>45868</v>
      </c>
      <c r="H699" s="7" t="str">
        <f>IFERROR(VLOOKUP($A699,Orders[],MATCH(H$1,Orders[#Headers],0),FALSE),"CHECK")</f>
        <v>Plant 1 Canteen</v>
      </c>
      <c r="I699">
        <f>IFERROR(VLOOKUP(OrderLines[[#This Row],[OrderID]],Orders[],MATCH(OrderLines[[#Headers],[DiscountPct]],Orders[#Headers],0),FALSE),"CHECK")</f>
        <v>0.1</v>
      </c>
      <c r="J699" t="str">
        <f>IFERROR(VLOOKUP(OrderLines[[#This Row],[OrderID]],Orders[],MATCH(OrderLines[[#Headers],[Shift]],Orders[#Headers],0),FALSE),"CHECK")</f>
        <v>Lunch</v>
      </c>
      <c r="K699" s="11">
        <f>OrderLines[[#This Row],[Qty]] * OrderLines[[#This Row],[UnitPrice]] * (1-OrderLines[[#This Row],[DiscountPct]])</f>
        <v>664.44299999999998</v>
      </c>
      <c r="L699">
        <f>OrderLines[[#This Row],[Qty]]*OrderLines[[#This Row],[UnitCost]]</f>
        <v>336.24</v>
      </c>
    </row>
    <row r="700" spans="1:12" x14ac:dyDescent="0.25">
      <c r="A700" t="s">
        <v>307</v>
      </c>
      <c r="B700" t="s">
        <v>415</v>
      </c>
      <c r="C700">
        <v>3</v>
      </c>
      <c r="D700" s="9">
        <f>IFERROR(VLOOKUP($B700,Menu[],MATCH(D$1,Menu[#Headers],0),FALSE),"CHECK")</f>
        <v>256.91000000000003</v>
      </c>
      <c r="E700" s="9">
        <f>IFERROR(VLOOKUP($B700,Menu[],MATCH(E$1,Menu[#Headers],0),FALSE),"CHECK")</f>
        <v>121.24</v>
      </c>
      <c r="F700" t="str">
        <f>IFERROR(VLOOKUP($B700,Menu[],MATCH(F$1,Menu[#Headers],0),FALSE),"CHECK")</f>
        <v>Hot Meal</v>
      </c>
      <c r="G700" s="7">
        <f>IFERROR(INT(VLOOKUP($A700,Orders[],MATCH("OrderDateTime",Orders[#Headers],0),FALSE)),"CHECK")</f>
        <v>45868</v>
      </c>
      <c r="H700" s="7" t="str">
        <f>IFERROR(VLOOKUP($A700,Orders[],MATCH(H$1,Orders[#Headers],0),FALSE),"CHECK")</f>
        <v>Plant 1 Canteen</v>
      </c>
      <c r="I700">
        <f>IFERROR(VLOOKUP(OrderLines[[#This Row],[OrderID]],Orders[],MATCH(OrderLines[[#Headers],[DiscountPct]],Orders[#Headers],0),FALSE),"CHECK")</f>
        <v>0.1</v>
      </c>
      <c r="J700" t="str">
        <f>IFERROR(VLOOKUP(OrderLines[[#This Row],[OrderID]],Orders[],MATCH(OrderLines[[#Headers],[Shift]],Orders[#Headers],0),FALSE),"CHECK")</f>
        <v>Lunch</v>
      </c>
      <c r="K700" s="11">
        <f>OrderLines[[#This Row],[Qty]] * OrderLines[[#This Row],[UnitPrice]] * (1-OrderLines[[#This Row],[DiscountPct]])</f>
        <v>693.65700000000004</v>
      </c>
      <c r="L700">
        <f>OrderLines[[#This Row],[Qty]]*OrderLines[[#This Row],[UnitCost]]</f>
        <v>363.71999999999997</v>
      </c>
    </row>
    <row r="701" spans="1:12" x14ac:dyDescent="0.25">
      <c r="A701" t="s">
        <v>307</v>
      </c>
      <c r="B701" t="s">
        <v>408</v>
      </c>
      <c r="C701">
        <v>2</v>
      </c>
      <c r="D701" s="9">
        <f>IFERROR(VLOOKUP($B701,Menu[],MATCH(D$1,Menu[#Headers],0),FALSE),"CHECK")</f>
        <v>70.540000000000006</v>
      </c>
      <c r="E701" s="9">
        <f>IFERROR(VLOOKUP($B701,Menu[],MATCH(E$1,Menu[#Headers],0),FALSE),"CHECK")</f>
        <v>35.81</v>
      </c>
      <c r="F701" t="str">
        <f>IFERROR(VLOOKUP($B701,Menu[],MATCH(F$1,Menu[#Headers],0),FALSE),"CHECK")</f>
        <v>Snack</v>
      </c>
      <c r="G701" s="7">
        <f>IFERROR(INT(VLOOKUP($A701,Orders[],MATCH("OrderDateTime",Orders[#Headers],0),FALSE)),"CHECK")</f>
        <v>45868</v>
      </c>
      <c r="H701" s="7" t="str">
        <f>IFERROR(VLOOKUP($A701,Orders[],MATCH(H$1,Orders[#Headers],0),FALSE),"CHECK")</f>
        <v>Plant 1 Canteen</v>
      </c>
      <c r="I701">
        <f>IFERROR(VLOOKUP(OrderLines[[#This Row],[OrderID]],Orders[],MATCH(OrderLines[[#Headers],[DiscountPct]],Orders[#Headers],0),FALSE),"CHECK")</f>
        <v>0.1</v>
      </c>
      <c r="J701" t="str">
        <f>IFERROR(VLOOKUP(OrderLines[[#This Row],[OrderID]],Orders[],MATCH(OrderLines[[#Headers],[Shift]],Orders[#Headers],0),FALSE),"CHECK")</f>
        <v>Lunch</v>
      </c>
      <c r="K701" s="11">
        <f>OrderLines[[#This Row],[Qty]] * OrderLines[[#This Row],[UnitPrice]] * (1-OrderLines[[#This Row],[DiscountPct]])</f>
        <v>126.97200000000001</v>
      </c>
      <c r="L701">
        <f>OrderLines[[#This Row],[Qty]]*OrderLines[[#This Row],[UnitCost]]</f>
        <v>71.62</v>
      </c>
    </row>
    <row r="702" spans="1:12" x14ac:dyDescent="0.25">
      <c r="A702" t="s">
        <v>308</v>
      </c>
      <c r="B702" t="s">
        <v>411</v>
      </c>
      <c r="C702">
        <v>1</v>
      </c>
      <c r="D702" s="9">
        <f>IFERROR(VLOOKUP($B702,Menu[],MATCH(D$1,Menu[#Headers],0),FALSE),"CHECK")</f>
        <v>22.2</v>
      </c>
      <c r="E702" s="9">
        <f>IFERROR(VLOOKUP($B702,Menu[],MATCH(E$1,Menu[#Headers],0),FALSE),"CHECK")</f>
        <v>9.3800000000000008</v>
      </c>
      <c r="F702" t="str">
        <f>IFERROR(VLOOKUP($B702,Menu[],MATCH(F$1,Menu[#Headers],0),FALSE),"CHECK")</f>
        <v>Beverage</v>
      </c>
      <c r="G702" s="7">
        <f>IFERROR(INT(VLOOKUP($A702,Orders[],MATCH("OrderDateTime",Orders[#Headers],0),FALSE)),"CHECK")</f>
        <v>45871</v>
      </c>
      <c r="H702" s="7" t="str">
        <f>IFERROR(VLOOKUP($A702,Orders[],MATCH(H$1,Orders[#Headers],0),FALSE),"CHECK")</f>
        <v>Plant 1 Canteen</v>
      </c>
      <c r="I702">
        <f>IFERROR(VLOOKUP(OrderLines[[#This Row],[OrderID]],Orders[],MATCH(OrderLines[[#Headers],[DiscountPct]],Orders[#Headers],0),FALSE),"CHECK")</f>
        <v>0.09</v>
      </c>
      <c r="J702" t="str">
        <f>IFERROR(VLOOKUP(OrderLines[[#This Row],[OrderID]],Orders[],MATCH(OrderLines[[#Headers],[Shift]],Orders[#Headers],0),FALSE),"CHECK")</f>
        <v>Breakfast</v>
      </c>
      <c r="K702" s="11">
        <f>OrderLines[[#This Row],[Qty]] * OrderLines[[#This Row],[UnitPrice]] * (1-OrderLines[[#This Row],[DiscountPct]])</f>
        <v>20.202000000000002</v>
      </c>
      <c r="L702">
        <f>OrderLines[[#This Row],[Qty]]*OrderLines[[#This Row],[UnitCost]]</f>
        <v>9.3800000000000008</v>
      </c>
    </row>
    <row r="703" spans="1:12" x14ac:dyDescent="0.25">
      <c r="A703" t="s">
        <v>308</v>
      </c>
      <c r="B703" t="s">
        <v>403</v>
      </c>
      <c r="C703">
        <v>1</v>
      </c>
      <c r="D703" s="9">
        <f>IFERROR(VLOOKUP($B703,Menu[],MATCH(D$1,Menu[#Headers],0),FALSE),"CHECK")</f>
        <v>76.55</v>
      </c>
      <c r="E703" s="9">
        <f>IFERROR(VLOOKUP($B703,Menu[],MATCH(E$1,Menu[#Headers],0),FALSE),"CHECK")</f>
        <v>38.229999999999997</v>
      </c>
      <c r="F703" t="str">
        <f>IFERROR(VLOOKUP($B703,Menu[],MATCH(F$1,Menu[#Headers],0),FALSE),"CHECK")</f>
        <v>Dessert</v>
      </c>
      <c r="G703" s="7">
        <f>IFERROR(INT(VLOOKUP($A703,Orders[],MATCH("OrderDateTime",Orders[#Headers],0),FALSE)),"CHECK")</f>
        <v>45871</v>
      </c>
      <c r="H703" s="7" t="str">
        <f>IFERROR(VLOOKUP($A703,Orders[],MATCH(H$1,Orders[#Headers],0),FALSE),"CHECK")</f>
        <v>Plant 1 Canteen</v>
      </c>
      <c r="I703">
        <f>IFERROR(VLOOKUP(OrderLines[[#This Row],[OrderID]],Orders[],MATCH(OrderLines[[#Headers],[DiscountPct]],Orders[#Headers],0),FALSE),"CHECK")</f>
        <v>0.09</v>
      </c>
      <c r="J703" t="str">
        <f>IFERROR(VLOOKUP(OrderLines[[#This Row],[OrderID]],Orders[],MATCH(OrderLines[[#Headers],[Shift]],Orders[#Headers],0),FALSE),"CHECK")</f>
        <v>Breakfast</v>
      </c>
      <c r="K703" s="11">
        <f>OrderLines[[#This Row],[Qty]] * OrderLines[[#This Row],[UnitPrice]] * (1-OrderLines[[#This Row],[DiscountPct]])</f>
        <v>69.660499999999999</v>
      </c>
      <c r="L703">
        <f>OrderLines[[#This Row],[Qty]]*OrderLines[[#This Row],[UnitCost]]</f>
        <v>38.229999999999997</v>
      </c>
    </row>
    <row r="704" spans="1:12" x14ac:dyDescent="0.25">
      <c r="A704" t="s">
        <v>308</v>
      </c>
      <c r="B704" t="s">
        <v>413</v>
      </c>
      <c r="C704">
        <v>1</v>
      </c>
      <c r="D704" s="9">
        <f>IFERROR(VLOOKUP($B704,Menu[],MATCH(D$1,Menu[#Headers],0),FALSE),"CHECK")</f>
        <v>54.2</v>
      </c>
      <c r="E704" s="9">
        <f>IFERROR(VLOOKUP($B704,Menu[],MATCH(E$1,Menu[#Headers],0),FALSE),"CHECK")</f>
        <v>21.95</v>
      </c>
      <c r="F704" t="str">
        <f>IFERROR(VLOOKUP($B704,Menu[],MATCH(F$1,Menu[#Headers],0),FALSE),"CHECK")</f>
        <v>Dessert</v>
      </c>
      <c r="G704" s="7">
        <f>IFERROR(INT(VLOOKUP($A704,Orders[],MATCH("OrderDateTime",Orders[#Headers],0),FALSE)),"CHECK")</f>
        <v>45871</v>
      </c>
      <c r="H704" s="7" t="str">
        <f>IFERROR(VLOOKUP($A704,Orders[],MATCH(H$1,Orders[#Headers],0),FALSE),"CHECK")</f>
        <v>Plant 1 Canteen</v>
      </c>
      <c r="I704">
        <f>IFERROR(VLOOKUP(OrderLines[[#This Row],[OrderID]],Orders[],MATCH(OrderLines[[#Headers],[DiscountPct]],Orders[#Headers],0),FALSE),"CHECK")</f>
        <v>0.09</v>
      </c>
      <c r="J704" t="str">
        <f>IFERROR(VLOOKUP(OrderLines[[#This Row],[OrderID]],Orders[],MATCH(OrderLines[[#Headers],[Shift]],Orders[#Headers],0),FALSE),"CHECK")</f>
        <v>Breakfast</v>
      </c>
      <c r="K704" s="11">
        <f>OrderLines[[#This Row],[Qty]] * OrderLines[[#This Row],[UnitPrice]] * (1-OrderLines[[#This Row],[DiscountPct]])</f>
        <v>49.322000000000003</v>
      </c>
      <c r="L704">
        <f>OrderLines[[#This Row],[Qty]]*OrderLines[[#This Row],[UnitCost]]</f>
        <v>21.95</v>
      </c>
    </row>
    <row r="705" spans="1:12" x14ac:dyDescent="0.25">
      <c r="A705" t="s">
        <v>309</v>
      </c>
      <c r="B705" t="s">
        <v>417</v>
      </c>
      <c r="C705">
        <v>1</v>
      </c>
      <c r="D705" s="9">
        <f>IFERROR(VLOOKUP($B705,Menu[],MATCH(D$1,Menu[#Headers],0),FALSE),"CHECK")</f>
        <v>146.4</v>
      </c>
      <c r="E705" s="9">
        <f>IFERROR(VLOOKUP($B705,Menu[],MATCH(E$1,Menu[#Headers],0),FALSE),"CHECK")</f>
        <v>80.92</v>
      </c>
      <c r="F705" t="str">
        <f>IFERROR(VLOOKUP($B705,Menu[],MATCH(F$1,Menu[#Headers],0),FALSE),"CHECK")</f>
        <v>Hot Meal</v>
      </c>
      <c r="G705" s="7">
        <f>IFERROR(INT(VLOOKUP($A705,Orders[],MATCH("OrderDateTime",Orders[#Headers],0),FALSE)),"CHECK")</f>
        <v>45856</v>
      </c>
      <c r="H705" s="7" t="str">
        <f>IFERROR(VLOOKUP($A705,Orders[],MATCH(H$1,Orders[#Headers],0),FALSE),"CHECK")</f>
        <v>Plant 1 Canteen</v>
      </c>
      <c r="I705">
        <f>IFERROR(VLOOKUP(OrderLines[[#This Row],[OrderID]],Orders[],MATCH(OrderLines[[#Headers],[DiscountPct]],Orders[#Headers],0),FALSE),"CHECK")</f>
        <v>0.09</v>
      </c>
      <c r="J705" t="str">
        <f>IFERROR(VLOOKUP(OrderLines[[#This Row],[OrderID]],Orders[],MATCH(OrderLines[[#Headers],[Shift]],Orders[#Headers],0),FALSE),"CHECK")</f>
        <v>Breakfast</v>
      </c>
      <c r="K705" s="11">
        <f>OrderLines[[#This Row],[Qty]] * OrderLines[[#This Row],[UnitPrice]] * (1-OrderLines[[#This Row],[DiscountPct]])</f>
        <v>133.22400000000002</v>
      </c>
      <c r="L705">
        <f>OrderLines[[#This Row],[Qty]]*OrderLines[[#This Row],[UnitCost]]</f>
        <v>80.92</v>
      </c>
    </row>
    <row r="706" spans="1:12" x14ac:dyDescent="0.25">
      <c r="A706" t="s">
        <v>309</v>
      </c>
      <c r="B706" t="s">
        <v>411</v>
      </c>
      <c r="C706">
        <v>3</v>
      </c>
      <c r="D706" s="9">
        <f>IFERROR(VLOOKUP($B706,Menu[],MATCH(D$1,Menu[#Headers],0),FALSE),"CHECK")</f>
        <v>22.2</v>
      </c>
      <c r="E706" s="9">
        <f>IFERROR(VLOOKUP($B706,Menu[],MATCH(E$1,Menu[#Headers],0),FALSE),"CHECK")</f>
        <v>9.3800000000000008</v>
      </c>
      <c r="F706" t="str">
        <f>IFERROR(VLOOKUP($B706,Menu[],MATCH(F$1,Menu[#Headers],0),FALSE),"CHECK")</f>
        <v>Beverage</v>
      </c>
      <c r="G706" s="7">
        <f>IFERROR(INT(VLOOKUP($A706,Orders[],MATCH("OrderDateTime",Orders[#Headers],0),FALSE)),"CHECK")</f>
        <v>45856</v>
      </c>
      <c r="H706" s="7" t="str">
        <f>IFERROR(VLOOKUP($A706,Orders[],MATCH(H$1,Orders[#Headers],0),FALSE),"CHECK")</f>
        <v>Plant 1 Canteen</v>
      </c>
      <c r="I706">
        <f>IFERROR(VLOOKUP(OrderLines[[#This Row],[OrderID]],Orders[],MATCH(OrderLines[[#Headers],[DiscountPct]],Orders[#Headers],0),FALSE),"CHECK")</f>
        <v>0.09</v>
      </c>
      <c r="J706" t="str">
        <f>IFERROR(VLOOKUP(OrderLines[[#This Row],[OrderID]],Orders[],MATCH(OrderLines[[#Headers],[Shift]],Orders[#Headers],0),FALSE),"CHECK")</f>
        <v>Breakfast</v>
      </c>
      <c r="K706" s="11">
        <f>OrderLines[[#This Row],[Qty]] * OrderLines[[#This Row],[UnitPrice]] * (1-OrderLines[[#This Row],[DiscountPct]])</f>
        <v>60.605999999999995</v>
      </c>
      <c r="L706">
        <f>OrderLines[[#This Row],[Qty]]*OrderLines[[#This Row],[UnitCost]]</f>
        <v>28.14</v>
      </c>
    </row>
    <row r="707" spans="1:12" x14ac:dyDescent="0.25">
      <c r="A707" t="s">
        <v>309</v>
      </c>
      <c r="B707" t="s">
        <v>406</v>
      </c>
      <c r="C707">
        <v>1</v>
      </c>
      <c r="D707" s="9">
        <f>IFERROR(VLOOKUP($B707,Menu[],MATCH(D$1,Menu[#Headers],0),FALSE),"CHECK")</f>
        <v>38.06</v>
      </c>
      <c r="E707" s="9">
        <f>IFERROR(VLOOKUP($B707,Menu[],MATCH(E$1,Menu[#Headers],0),FALSE),"CHECK")</f>
        <v>19.55</v>
      </c>
      <c r="F707" t="str">
        <f>IFERROR(VLOOKUP($B707,Menu[],MATCH(F$1,Menu[#Headers],0),FALSE),"CHECK")</f>
        <v>Snack</v>
      </c>
      <c r="G707" s="7">
        <f>IFERROR(INT(VLOOKUP($A707,Orders[],MATCH("OrderDateTime",Orders[#Headers],0),FALSE)),"CHECK")</f>
        <v>45856</v>
      </c>
      <c r="H707" s="7" t="str">
        <f>IFERROR(VLOOKUP($A707,Orders[],MATCH(H$1,Orders[#Headers],0),FALSE),"CHECK")</f>
        <v>Plant 1 Canteen</v>
      </c>
      <c r="I707">
        <f>IFERROR(VLOOKUP(OrderLines[[#This Row],[OrderID]],Orders[],MATCH(OrderLines[[#Headers],[DiscountPct]],Orders[#Headers],0),FALSE),"CHECK")</f>
        <v>0.09</v>
      </c>
      <c r="J707" t="str">
        <f>IFERROR(VLOOKUP(OrderLines[[#This Row],[OrderID]],Orders[],MATCH(OrderLines[[#Headers],[Shift]],Orders[#Headers],0),FALSE),"CHECK")</f>
        <v>Breakfast</v>
      </c>
      <c r="K707" s="11">
        <f>OrderLines[[#This Row],[Qty]] * OrderLines[[#This Row],[UnitPrice]] * (1-OrderLines[[#This Row],[DiscountPct]])</f>
        <v>34.634600000000006</v>
      </c>
      <c r="L707">
        <f>OrderLines[[#This Row],[Qty]]*OrderLines[[#This Row],[UnitCost]]</f>
        <v>19.55</v>
      </c>
    </row>
    <row r="708" spans="1:12" x14ac:dyDescent="0.25">
      <c r="A708" t="s">
        <v>310</v>
      </c>
      <c r="B708" t="s">
        <v>414</v>
      </c>
      <c r="C708">
        <v>3</v>
      </c>
      <c r="D708" s="9">
        <f>IFERROR(VLOOKUP($B708,Menu[],MATCH(D$1,Menu[#Headers],0),FALSE),"CHECK")</f>
        <v>116.8</v>
      </c>
      <c r="E708" s="9">
        <f>IFERROR(VLOOKUP($B708,Menu[],MATCH(E$1,Menu[#Headers],0),FALSE),"CHECK")</f>
        <v>48.97</v>
      </c>
      <c r="F708" t="str">
        <f>IFERROR(VLOOKUP($B708,Menu[],MATCH(F$1,Menu[#Headers],0),FALSE),"CHECK")</f>
        <v>Dessert</v>
      </c>
      <c r="G708" s="7">
        <f>IFERROR(INT(VLOOKUP($A708,Orders[],MATCH("OrderDateTime",Orders[#Headers],0),FALSE)),"CHECK")</f>
        <v>45887</v>
      </c>
      <c r="H708" s="7" t="str">
        <f>IFERROR(VLOOKUP($A708,Orders[],MATCH(H$1,Orders[#Headers],0),FALSE),"CHECK")</f>
        <v>Head Office Café</v>
      </c>
      <c r="I708">
        <f>IFERROR(VLOOKUP(OrderLines[[#This Row],[OrderID]],Orders[],MATCH(OrderLines[[#Headers],[DiscountPct]],Orders[#Headers],0),FALSE),"CHECK")</f>
        <v>0.11</v>
      </c>
      <c r="J708" t="str">
        <f>IFERROR(VLOOKUP(OrderLines[[#This Row],[OrderID]],Orders[],MATCH(OrderLines[[#Headers],[Shift]],Orders[#Headers],0),FALSE),"CHECK")</f>
        <v>Dinner</v>
      </c>
      <c r="K708" s="11">
        <f>OrderLines[[#This Row],[Qty]] * OrderLines[[#This Row],[UnitPrice]] * (1-OrderLines[[#This Row],[DiscountPct]])</f>
        <v>311.85599999999999</v>
      </c>
      <c r="L708">
        <f>OrderLines[[#This Row],[Qty]]*OrderLines[[#This Row],[UnitCost]]</f>
        <v>146.91</v>
      </c>
    </row>
    <row r="709" spans="1:12" x14ac:dyDescent="0.25">
      <c r="A709" t="s">
        <v>311</v>
      </c>
      <c r="B709" t="s">
        <v>406</v>
      </c>
      <c r="C709">
        <v>1</v>
      </c>
      <c r="D709" s="9">
        <f>IFERROR(VLOOKUP($B709,Menu[],MATCH(D$1,Menu[#Headers],0),FALSE),"CHECK")</f>
        <v>38.06</v>
      </c>
      <c r="E709" s="9">
        <f>IFERROR(VLOOKUP($B709,Menu[],MATCH(E$1,Menu[#Headers],0),FALSE),"CHECK")</f>
        <v>19.55</v>
      </c>
      <c r="F709" t="str">
        <f>IFERROR(VLOOKUP($B709,Menu[],MATCH(F$1,Menu[#Headers],0),FALSE),"CHECK")</f>
        <v>Snack</v>
      </c>
      <c r="G709" s="7">
        <f>IFERROR(INT(VLOOKUP($A709,Orders[],MATCH("OrderDateTime",Orders[#Headers],0),FALSE)),"CHECK")</f>
        <v>45877</v>
      </c>
      <c r="H709" s="7" t="str">
        <f>IFERROR(VLOOKUP($A709,Orders[],MATCH(H$1,Orders[#Headers],0),FALSE),"CHECK")</f>
        <v>Head Office Café</v>
      </c>
      <c r="I709">
        <f>IFERROR(VLOOKUP(OrderLines[[#This Row],[OrderID]],Orders[],MATCH(OrderLines[[#Headers],[DiscountPct]],Orders[#Headers],0),FALSE),"CHECK")</f>
        <v>0.06</v>
      </c>
      <c r="J709" t="str">
        <f>IFERROR(VLOOKUP(OrderLines[[#This Row],[OrderID]],Orders[],MATCH(OrderLines[[#Headers],[Shift]],Orders[#Headers],0),FALSE),"CHECK")</f>
        <v>Dinner</v>
      </c>
      <c r="K709" s="11">
        <f>OrderLines[[#This Row],[Qty]] * OrderLines[[#This Row],[UnitPrice]] * (1-OrderLines[[#This Row],[DiscountPct]])</f>
        <v>35.776400000000002</v>
      </c>
      <c r="L709">
        <f>OrderLines[[#This Row],[Qty]]*OrderLines[[#This Row],[UnitCost]]</f>
        <v>19.55</v>
      </c>
    </row>
    <row r="710" spans="1:12" x14ac:dyDescent="0.25">
      <c r="A710" t="s">
        <v>311</v>
      </c>
      <c r="B710" t="s">
        <v>411</v>
      </c>
      <c r="C710">
        <v>1</v>
      </c>
      <c r="D710" s="9">
        <f>IFERROR(VLOOKUP($B710,Menu[],MATCH(D$1,Menu[#Headers],0),FALSE),"CHECK")</f>
        <v>22.2</v>
      </c>
      <c r="E710" s="9">
        <f>IFERROR(VLOOKUP($B710,Menu[],MATCH(E$1,Menu[#Headers],0),FALSE),"CHECK")</f>
        <v>9.3800000000000008</v>
      </c>
      <c r="F710" t="str">
        <f>IFERROR(VLOOKUP($B710,Menu[],MATCH(F$1,Menu[#Headers],0),FALSE),"CHECK")</f>
        <v>Beverage</v>
      </c>
      <c r="G710" s="7">
        <f>IFERROR(INT(VLOOKUP($A710,Orders[],MATCH("OrderDateTime",Orders[#Headers],0),FALSE)),"CHECK")</f>
        <v>45877</v>
      </c>
      <c r="H710" s="7" t="str">
        <f>IFERROR(VLOOKUP($A710,Orders[],MATCH(H$1,Orders[#Headers],0),FALSE),"CHECK")</f>
        <v>Head Office Café</v>
      </c>
      <c r="I710">
        <f>IFERROR(VLOOKUP(OrderLines[[#This Row],[OrderID]],Orders[],MATCH(OrderLines[[#Headers],[DiscountPct]],Orders[#Headers],0),FALSE),"CHECK")</f>
        <v>0.06</v>
      </c>
      <c r="J710" t="str">
        <f>IFERROR(VLOOKUP(OrderLines[[#This Row],[OrderID]],Orders[],MATCH(OrderLines[[#Headers],[Shift]],Orders[#Headers],0),FALSE),"CHECK")</f>
        <v>Dinner</v>
      </c>
      <c r="K710" s="11">
        <f>OrderLines[[#This Row],[Qty]] * OrderLines[[#This Row],[UnitPrice]] * (1-OrderLines[[#This Row],[DiscountPct]])</f>
        <v>20.867999999999999</v>
      </c>
      <c r="L710">
        <f>OrderLines[[#This Row],[Qty]]*OrderLines[[#This Row],[UnitCost]]</f>
        <v>9.3800000000000008</v>
      </c>
    </row>
    <row r="711" spans="1:12" x14ac:dyDescent="0.25">
      <c r="A711" t="s">
        <v>311</v>
      </c>
      <c r="B711" t="s">
        <v>419</v>
      </c>
      <c r="C711">
        <v>2</v>
      </c>
      <c r="D711" s="9">
        <f>IFERROR(VLOOKUP($B711,Menu[],MATCH(D$1,Menu[#Headers],0),FALSE),"CHECK")</f>
        <v>50.19</v>
      </c>
      <c r="E711" s="9">
        <f>IFERROR(VLOOKUP($B711,Menu[],MATCH(E$1,Menu[#Headers],0),FALSE),"CHECK")</f>
        <v>22.61</v>
      </c>
      <c r="F711" t="str">
        <f>IFERROR(VLOOKUP($B711,Menu[],MATCH(F$1,Menu[#Headers],0),FALSE),"CHECK")</f>
        <v>Snack</v>
      </c>
      <c r="G711" s="7">
        <f>IFERROR(INT(VLOOKUP($A711,Orders[],MATCH("OrderDateTime",Orders[#Headers],0),FALSE)),"CHECK")</f>
        <v>45877</v>
      </c>
      <c r="H711" s="7" t="str">
        <f>IFERROR(VLOOKUP($A711,Orders[],MATCH(H$1,Orders[#Headers],0),FALSE),"CHECK")</f>
        <v>Head Office Café</v>
      </c>
      <c r="I711">
        <f>IFERROR(VLOOKUP(OrderLines[[#This Row],[OrderID]],Orders[],MATCH(OrderLines[[#Headers],[DiscountPct]],Orders[#Headers],0),FALSE),"CHECK")</f>
        <v>0.06</v>
      </c>
      <c r="J711" t="str">
        <f>IFERROR(VLOOKUP(OrderLines[[#This Row],[OrderID]],Orders[],MATCH(OrderLines[[#Headers],[Shift]],Orders[#Headers],0),FALSE),"CHECK")</f>
        <v>Dinner</v>
      </c>
      <c r="K711" s="11">
        <f>OrderLines[[#This Row],[Qty]] * OrderLines[[#This Row],[UnitPrice]] * (1-OrderLines[[#This Row],[DiscountPct]])</f>
        <v>94.357199999999992</v>
      </c>
      <c r="L711">
        <f>OrderLines[[#This Row],[Qty]]*OrderLines[[#This Row],[UnitCost]]</f>
        <v>45.22</v>
      </c>
    </row>
    <row r="712" spans="1:12" x14ac:dyDescent="0.25">
      <c r="A712" t="s">
        <v>311</v>
      </c>
      <c r="B712" t="s">
        <v>415</v>
      </c>
      <c r="C712">
        <v>2</v>
      </c>
      <c r="D712" s="9">
        <f>IFERROR(VLOOKUP($B712,Menu[],MATCH(D$1,Menu[#Headers],0),FALSE),"CHECK")</f>
        <v>256.91000000000003</v>
      </c>
      <c r="E712" s="9">
        <f>IFERROR(VLOOKUP($B712,Menu[],MATCH(E$1,Menu[#Headers],0),FALSE),"CHECK")</f>
        <v>121.24</v>
      </c>
      <c r="F712" t="str">
        <f>IFERROR(VLOOKUP($B712,Menu[],MATCH(F$1,Menu[#Headers],0),FALSE),"CHECK")</f>
        <v>Hot Meal</v>
      </c>
      <c r="G712" s="7">
        <f>IFERROR(INT(VLOOKUP($A712,Orders[],MATCH("OrderDateTime",Orders[#Headers],0),FALSE)),"CHECK")</f>
        <v>45877</v>
      </c>
      <c r="H712" s="7" t="str">
        <f>IFERROR(VLOOKUP($A712,Orders[],MATCH(H$1,Orders[#Headers],0),FALSE),"CHECK")</f>
        <v>Head Office Café</v>
      </c>
      <c r="I712">
        <f>IFERROR(VLOOKUP(OrderLines[[#This Row],[OrderID]],Orders[],MATCH(OrderLines[[#Headers],[DiscountPct]],Orders[#Headers],0),FALSE),"CHECK")</f>
        <v>0.06</v>
      </c>
      <c r="J712" t="str">
        <f>IFERROR(VLOOKUP(OrderLines[[#This Row],[OrderID]],Orders[],MATCH(OrderLines[[#Headers],[Shift]],Orders[#Headers],0),FALSE),"CHECK")</f>
        <v>Dinner</v>
      </c>
      <c r="K712" s="11">
        <f>OrderLines[[#This Row],[Qty]] * OrderLines[[#This Row],[UnitPrice]] * (1-OrderLines[[#This Row],[DiscountPct]])</f>
        <v>482.99080000000004</v>
      </c>
      <c r="L712">
        <f>OrderLines[[#This Row],[Qty]]*OrderLines[[#This Row],[UnitCost]]</f>
        <v>242.48</v>
      </c>
    </row>
    <row r="713" spans="1:12" x14ac:dyDescent="0.25">
      <c r="A713" t="s">
        <v>312</v>
      </c>
      <c r="B713" t="s">
        <v>402</v>
      </c>
      <c r="C713">
        <v>2</v>
      </c>
      <c r="D713" s="9">
        <f>IFERROR(VLOOKUP($B713,Menu[],MATCH(D$1,Menu[#Headers],0),FALSE),"CHECK")</f>
        <v>30.34</v>
      </c>
      <c r="E713" s="9">
        <f>IFERROR(VLOOKUP($B713,Menu[],MATCH(E$1,Menu[#Headers],0),FALSE),"CHECK")</f>
        <v>14.18</v>
      </c>
      <c r="F713" t="str">
        <f>IFERROR(VLOOKUP($B713,Menu[],MATCH(F$1,Menu[#Headers],0),FALSE),"CHECK")</f>
        <v>Beverage</v>
      </c>
      <c r="G713" s="7">
        <f>IFERROR(INT(VLOOKUP($A713,Orders[],MATCH("OrderDateTime",Orders[#Headers],0),FALSE)),"CHECK")</f>
        <v>45883</v>
      </c>
      <c r="H713" s="7" t="str">
        <f>IFERROR(VLOOKUP($A713,Orders[],MATCH(H$1,Orders[#Headers],0),FALSE),"CHECK")</f>
        <v>Plant 1 Canteen</v>
      </c>
      <c r="I713">
        <f>IFERROR(VLOOKUP(OrderLines[[#This Row],[OrderID]],Orders[],MATCH(OrderLines[[#Headers],[DiscountPct]],Orders[#Headers],0),FALSE),"CHECK")</f>
        <v>0.09</v>
      </c>
      <c r="J713" t="str">
        <f>IFERROR(VLOOKUP(OrderLines[[#This Row],[OrderID]],Orders[],MATCH(OrderLines[[#Headers],[Shift]],Orders[#Headers],0),FALSE),"CHECK")</f>
        <v>Dinner</v>
      </c>
      <c r="K713" s="11">
        <f>OrderLines[[#This Row],[Qty]] * OrderLines[[#This Row],[UnitPrice]] * (1-OrderLines[[#This Row],[DiscountPct]])</f>
        <v>55.218800000000002</v>
      </c>
      <c r="L713">
        <f>OrderLines[[#This Row],[Qty]]*OrderLines[[#This Row],[UnitCost]]</f>
        <v>28.36</v>
      </c>
    </row>
    <row r="714" spans="1:12" x14ac:dyDescent="0.25">
      <c r="A714" t="s">
        <v>312</v>
      </c>
      <c r="B714" t="s">
        <v>405</v>
      </c>
      <c r="C714">
        <v>2</v>
      </c>
      <c r="D714" s="9">
        <f>IFERROR(VLOOKUP($B714,Menu[],MATCH(D$1,Menu[#Headers],0),FALSE),"CHECK")</f>
        <v>170.83</v>
      </c>
      <c r="E714" s="9">
        <f>IFERROR(VLOOKUP($B714,Menu[],MATCH(E$1,Menu[#Headers],0),FALSE),"CHECK")</f>
        <v>74.069999999999993</v>
      </c>
      <c r="F714" t="str">
        <f>IFERROR(VLOOKUP($B714,Menu[],MATCH(F$1,Menu[#Headers],0),FALSE),"CHECK")</f>
        <v>Hot Meal</v>
      </c>
      <c r="G714" s="7">
        <f>IFERROR(INT(VLOOKUP($A714,Orders[],MATCH("OrderDateTime",Orders[#Headers],0),FALSE)),"CHECK")</f>
        <v>45883</v>
      </c>
      <c r="H714" s="7" t="str">
        <f>IFERROR(VLOOKUP($A714,Orders[],MATCH(H$1,Orders[#Headers],0),FALSE),"CHECK")</f>
        <v>Plant 1 Canteen</v>
      </c>
      <c r="I714">
        <f>IFERROR(VLOOKUP(OrderLines[[#This Row],[OrderID]],Orders[],MATCH(OrderLines[[#Headers],[DiscountPct]],Orders[#Headers],0),FALSE),"CHECK")</f>
        <v>0.09</v>
      </c>
      <c r="J714" t="str">
        <f>IFERROR(VLOOKUP(OrderLines[[#This Row],[OrderID]],Orders[],MATCH(OrderLines[[#Headers],[Shift]],Orders[#Headers],0),FALSE),"CHECK")</f>
        <v>Dinner</v>
      </c>
      <c r="K714" s="11">
        <f>OrderLines[[#This Row],[Qty]] * OrderLines[[#This Row],[UnitPrice]] * (1-OrderLines[[#This Row],[DiscountPct]])</f>
        <v>310.91060000000004</v>
      </c>
      <c r="L714">
        <f>OrderLines[[#This Row],[Qty]]*OrderLines[[#This Row],[UnitCost]]</f>
        <v>148.13999999999999</v>
      </c>
    </row>
    <row r="715" spans="1:12" x14ac:dyDescent="0.25">
      <c r="A715" t="s">
        <v>312</v>
      </c>
      <c r="B715" t="s">
        <v>414</v>
      </c>
      <c r="C715">
        <v>3</v>
      </c>
      <c r="D715" s="9">
        <f>IFERROR(VLOOKUP($B715,Menu[],MATCH(D$1,Menu[#Headers],0),FALSE),"CHECK")</f>
        <v>116.8</v>
      </c>
      <c r="E715" s="9">
        <f>IFERROR(VLOOKUP($B715,Menu[],MATCH(E$1,Menu[#Headers],0),FALSE),"CHECK")</f>
        <v>48.97</v>
      </c>
      <c r="F715" t="str">
        <f>IFERROR(VLOOKUP($B715,Menu[],MATCH(F$1,Menu[#Headers],0),FALSE),"CHECK")</f>
        <v>Dessert</v>
      </c>
      <c r="G715" s="7">
        <f>IFERROR(INT(VLOOKUP($A715,Orders[],MATCH("OrderDateTime",Orders[#Headers],0),FALSE)),"CHECK")</f>
        <v>45883</v>
      </c>
      <c r="H715" s="7" t="str">
        <f>IFERROR(VLOOKUP($A715,Orders[],MATCH(H$1,Orders[#Headers],0),FALSE),"CHECK")</f>
        <v>Plant 1 Canteen</v>
      </c>
      <c r="I715">
        <f>IFERROR(VLOOKUP(OrderLines[[#This Row],[OrderID]],Orders[],MATCH(OrderLines[[#Headers],[DiscountPct]],Orders[#Headers],0),FALSE),"CHECK")</f>
        <v>0.09</v>
      </c>
      <c r="J715" t="str">
        <f>IFERROR(VLOOKUP(OrderLines[[#This Row],[OrderID]],Orders[],MATCH(OrderLines[[#Headers],[Shift]],Orders[#Headers],0),FALSE),"CHECK")</f>
        <v>Dinner</v>
      </c>
      <c r="K715" s="11">
        <f>OrderLines[[#This Row],[Qty]] * OrderLines[[#This Row],[UnitPrice]] * (1-OrderLines[[#This Row],[DiscountPct]])</f>
        <v>318.86399999999998</v>
      </c>
      <c r="L715">
        <f>OrderLines[[#This Row],[Qty]]*OrderLines[[#This Row],[UnitCost]]</f>
        <v>146.91</v>
      </c>
    </row>
    <row r="716" spans="1:12" x14ac:dyDescent="0.25">
      <c r="A716" t="s">
        <v>312</v>
      </c>
      <c r="B716" t="s">
        <v>419</v>
      </c>
      <c r="C716">
        <v>3</v>
      </c>
      <c r="D716" s="9">
        <f>IFERROR(VLOOKUP($B716,Menu[],MATCH(D$1,Menu[#Headers],0),FALSE),"CHECK")</f>
        <v>50.19</v>
      </c>
      <c r="E716" s="9">
        <f>IFERROR(VLOOKUP($B716,Menu[],MATCH(E$1,Menu[#Headers],0),FALSE),"CHECK")</f>
        <v>22.61</v>
      </c>
      <c r="F716" t="str">
        <f>IFERROR(VLOOKUP($B716,Menu[],MATCH(F$1,Menu[#Headers],0),FALSE),"CHECK")</f>
        <v>Snack</v>
      </c>
      <c r="G716" s="7">
        <f>IFERROR(INT(VLOOKUP($A716,Orders[],MATCH("OrderDateTime",Orders[#Headers],0),FALSE)),"CHECK")</f>
        <v>45883</v>
      </c>
      <c r="H716" s="7" t="str">
        <f>IFERROR(VLOOKUP($A716,Orders[],MATCH(H$1,Orders[#Headers],0),FALSE),"CHECK")</f>
        <v>Plant 1 Canteen</v>
      </c>
      <c r="I716">
        <f>IFERROR(VLOOKUP(OrderLines[[#This Row],[OrderID]],Orders[],MATCH(OrderLines[[#Headers],[DiscountPct]],Orders[#Headers],0),FALSE),"CHECK")</f>
        <v>0.09</v>
      </c>
      <c r="J716" t="str">
        <f>IFERROR(VLOOKUP(OrderLines[[#This Row],[OrderID]],Orders[],MATCH(OrderLines[[#Headers],[Shift]],Orders[#Headers],0),FALSE),"CHECK")</f>
        <v>Dinner</v>
      </c>
      <c r="K716" s="11">
        <f>OrderLines[[#This Row],[Qty]] * OrderLines[[#This Row],[UnitPrice]] * (1-OrderLines[[#This Row],[DiscountPct]])</f>
        <v>137.0187</v>
      </c>
      <c r="L716">
        <f>OrderLines[[#This Row],[Qty]]*OrderLines[[#This Row],[UnitCost]]</f>
        <v>67.83</v>
      </c>
    </row>
    <row r="717" spans="1:12" x14ac:dyDescent="0.25">
      <c r="A717" t="s">
        <v>313</v>
      </c>
      <c r="B717" t="s">
        <v>406</v>
      </c>
      <c r="C717">
        <v>1</v>
      </c>
      <c r="D717" s="9">
        <f>IFERROR(VLOOKUP($B717,Menu[],MATCH(D$1,Menu[#Headers],0),FALSE),"CHECK")</f>
        <v>38.06</v>
      </c>
      <c r="E717" s="9">
        <f>IFERROR(VLOOKUP($B717,Menu[],MATCH(E$1,Menu[#Headers],0),FALSE),"CHECK")</f>
        <v>19.55</v>
      </c>
      <c r="F717" t="str">
        <f>IFERROR(VLOOKUP($B717,Menu[],MATCH(F$1,Menu[#Headers],0),FALSE),"CHECK")</f>
        <v>Snack</v>
      </c>
      <c r="G717" s="7">
        <f>IFERROR(INT(VLOOKUP($A717,Orders[],MATCH("OrderDateTime",Orders[#Headers],0),FALSE)),"CHECK")</f>
        <v>45894</v>
      </c>
      <c r="H717" s="7" t="str">
        <f>IFERROR(VLOOKUP($A717,Orders[],MATCH(H$1,Orders[#Headers],0),FALSE),"CHECK")</f>
        <v>Plant 2 Canteen</v>
      </c>
      <c r="I717">
        <f>IFERROR(VLOOKUP(OrderLines[[#This Row],[OrderID]],Orders[],MATCH(OrderLines[[#Headers],[DiscountPct]],Orders[#Headers],0),FALSE),"CHECK")</f>
        <v>0.05</v>
      </c>
      <c r="J717" t="str">
        <f>IFERROR(VLOOKUP(OrderLines[[#This Row],[OrderID]],Orders[],MATCH(OrderLines[[#Headers],[Shift]],Orders[#Headers],0),FALSE),"CHECK")</f>
        <v>Dinner</v>
      </c>
      <c r="K717" s="11">
        <f>OrderLines[[#This Row],[Qty]] * OrderLines[[#This Row],[UnitPrice]] * (1-OrderLines[[#This Row],[DiscountPct]])</f>
        <v>36.157000000000004</v>
      </c>
      <c r="L717">
        <f>OrderLines[[#This Row],[Qty]]*OrderLines[[#This Row],[UnitCost]]</f>
        <v>19.55</v>
      </c>
    </row>
    <row r="718" spans="1:12" x14ac:dyDescent="0.25">
      <c r="A718" t="s">
        <v>313</v>
      </c>
      <c r="B718" t="s">
        <v>410</v>
      </c>
      <c r="C718">
        <v>2</v>
      </c>
      <c r="D718" s="9">
        <f>IFERROR(VLOOKUP($B718,Menu[],MATCH(D$1,Menu[#Headers],0),FALSE),"CHECK")</f>
        <v>20.11</v>
      </c>
      <c r="E718" s="9">
        <f>IFERROR(VLOOKUP($B718,Menu[],MATCH(E$1,Menu[#Headers],0),FALSE),"CHECK")</f>
        <v>8</v>
      </c>
      <c r="F718" t="str">
        <f>IFERROR(VLOOKUP($B718,Menu[],MATCH(F$1,Menu[#Headers],0),FALSE),"CHECK")</f>
        <v>Beverage</v>
      </c>
      <c r="G718" s="7">
        <f>IFERROR(INT(VLOOKUP($A718,Orders[],MATCH("OrderDateTime",Orders[#Headers],0),FALSE)),"CHECK")</f>
        <v>45894</v>
      </c>
      <c r="H718" s="7" t="str">
        <f>IFERROR(VLOOKUP($A718,Orders[],MATCH(H$1,Orders[#Headers],0),FALSE),"CHECK")</f>
        <v>Plant 2 Canteen</v>
      </c>
      <c r="I718">
        <f>IFERROR(VLOOKUP(OrderLines[[#This Row],[OrderID]],Orders[],MATCH(OrderLines[[#Headers],[DiscountPct]],Orders[#Headers],0),FALSE),"CHECK")</f>
        <v>0.05</v>
      </c>
      <c r="J718" t="str">
        <f>IFERROR(VLOOKUP(OrderLines[[#This Row],[OrderID]],Orders[],MATCH(OrderLines[[#Headers],[Shift]],Orders[#Headers],0),FALSE),"CHECK")</f>
        <v>Dinner</v>
      </c>
      <c r="K718" s="11">
        <f>OrderLines[[#This Row],[Qty]] * OrderLines[[#This Row],[UnitPrice]] * (1-OrderLines[[#This Row],[DiscountPct]])</f>
        <v>38.208999999999996</v>
      </c>
      <c r="L718">
        <f>OrderLines[[#This Row],[Qty]]*OrderLines[[#This Row],[UnitCost]]</f>
        <v>16</v>
      </c>
    </row>
    <row r="719" spans="1:12" x14ac:dyDescent="0.25">
      <c r="A719" t="s">
        <v>313</v>
      </c>
      <c r="B719" t="s">
        <v>414</v>
      </c>
      <c r="C719">
        <v>3</v>
      </c>
      <c r="D719" s="9">
        <f>IFERROR(VLOOKUP($B719,Menu[],MATCH(D$1,Menu[#Headers],0),FALSE),"CHECK")</f>
        <v>116.8</v>
      </c>
      <c r="E719" s="9">
        <f>IFERROR(VLOOKUP($B719,Menu[],MATCH(E$1,Menu[#Headers],0),FALSE),"CHECK")</f>
        <v>48.97</v>
      </c>
      <c r="F719" t="str">
        <f>IFERROR(VLOOKUP($B719,Menu[],MATCH(F$1,Menu[#Headers],0),FALSE),"CHECK")</f>
        <v>Dessert</v>
      </c>
      <c r="G719" s="7">
        <f>IFERROR(INT(VLOOKUP($A719,Orders[],MATCH("OrderDateTime",Orders[#Headers],0),FALSE)),"CHECK")</f>
        <v>45894</v>
      </c>
      <c r="H719" s="7" t="str">
        <f>IFERROR(VLOOKUP($A719,Orders[],MATCH(H$1,Orders[#Headers],0),FALSE),"CHECK")</f>
        <v>Plant 2 Canteen</v>
      </c>
      <c r="I719">
        <f>IFERROR(VLOOKUP(OrderLines[[#This Row],[OrderID]],Orders[],MATCH(OrderLines[[#Headers],[DiscountPct]],Orders[#Headers],0),FALSE),"CHECK")</f>
        <v>0.05</v>
      </c>
      <c r="J719" t="str">
        <f>IFERROR(VLOOKUP(OrderLines[[#This Row],[OrderID]],Orders[],MATCH(OrderLines[[#Headers],[Shift]],Orders[#Headers],0),FALSE),"CHECK")</f>
        <v>Dinner</v>
      </c>
      <c r="K719" s="11">
        <f>OrderLines[[#This Row],[Qty]] * OrderLines[[#This Row],[UnitPrice]] * (1-OrderLines[[#This Row],[DiscountPct]])</f>
        <v>332.87999999999994</v>
      </c>
      <c r="L719">
        <f>OrderLines[[#This Row],[Qty]]*OrderLines[[#This Row],[UnitCost]]</f>
        <v>146.91</v>
      </c>
    </row>
    <row r="720" spans="1:12" x14ac:dyDescent="0.25">
      <c r="A720" t="s">
        <v>314</v>
      </c>
      <c r="B720" t="s">
        <v>406</v>
      </c>
      <c r="C720">
        <v>1</v>
      </c>
      <c r="D720" s="9">
        <f>IFERROR(VLOOKUP($B720,Menu[],MATCH(D$1,Menu[#Headers],0),FALSE),"CHECK")</f>
        <v>38.06</v>
      </c>
      <c r="E720" s="9">
        <f>IFERROR(VLOOKUP($B720,Menu[],MATCH(E$1,Menu[#Headers],0),FALSE),"CHECK")</f>
        <v>19.55</v>
      </c>
      <c r="F720" t="str">
        <f>IFERROR(VLOOKUP($B720,Menu[],MATCH(F$1,Menu[#Headers],0),FALSE),"CHECK")</f>
        <v>Snack</v>
      </c>
      <c r="G720" s="7">
        <f>IFERROR(INT(VLOOKUP($A720,Orders[],MATCH("OrderDateTime",Orders[#Headers],0),FALSE)),"CHECK")</f>
        <v>45867</v>
      </c>
      <c r="H720" s="7" t="str">
        <f>IFERROR(VLOOKUP($A720,Orders[],MATCH(H$1,Orders[#Headers],0),FALSE),"CHECK")</f>
        <v>Plant 1 Canteen</v>
      </c>
      <c r="I720">
        <f>IFERROR(VLOOKUP(OrderLines[[#This Row],[OrderID]],Orders[],MATCH(OrderLines[[#Headers],[DiscountPct]],Orders[#Headers],0),FALSE),"CHECK")</f>
        <v>7.0000000000000007E-2</v>
      </c>
      <c r="J720" t="str">
        <f>IFERROR(VLOOKUP(OrderLines[[#This Row],[OrderID]],Orders[],MATCH(OrderLines[[#Headers],[Shift]],Orders[#Headers],0),FALSE),"CHECK")</f>
        <v>Breakfast</v>
      </c>
      <c r="K720" s="11">
        <f>OrderLines[[#This Row],[Qty]] * OrderLines[[#This Row],[UnitPrice]] * (1-OrderLines[[#This Row],[DiscountPct]])</f>
        <v>35.395800000000001</v>
      </c>
      <c r="L720">
        <f>OrderLines[[#This Row],[Qty]]*OrderLines[[#This Row],[UnitCost]]</f>
        <v>19.55</v>
      </c>
    </row>
    <row r="721" spans="1:12" x14ac:dyDescent="0.25">
      <c r="A721" t="s">
        <v>314</v>
      </c>
      <c r="B721" t="s">
        <v>418</v>
      </c>
      <c r="C721">
        <v>1</v>
      </c>
      <c r="D721" s="9">
        <f>IFERROR(VLOOKUP($B721,Menu[],MATCH(D$1,Menu[#Headers],0),FALSE),"CHECK")</f>
        <v>39.950000000000003</v>
      </c>
      <c r="E721" s="9">
        <f>IFERROR(VLOOKUP($B721,Menu[],MATCH(E$1,Menu[#Headers],0),FALSE),"CHECK")</f>
        <v>15.51</v>
      </c>
      <c r="F721" t="str">
        <f>IFERROR(VLOOKUP($B721,Menu[],MATCH(F$1,Menu[#Headers],0),FALSE),"CHECK")</f>
        <v>Snack</v>
      </c>
      <c r="G721" s="7">
        <f>IFERROR(INT(VLOOKUP($A721,Orders[],MATCH("OrderDateTime",Orders[#Headers],0),FALSE)),"CHECK")</f>
        <v>45867</v>
      </c>
      <c r="H721" s="7" t="str">
        <f>IFERROR(VLOOKUP($A721,Orders[],MATCH(H$1,Orders[#Headers],0),FALSE),"CHECK")</f>
        <v>Plant 1 Canteen</v>
      </c>
      <c r="I721">
        <f>IFERROR(VLOOKUP(OrderLines[[#This Row],[OrderID]],Orders[],MATCH(OrderLines[[#Headers],[DiscountPct]],Orders[#Headers],0),FALSE),"CHECK")</f>
        <v>7.0000000000000007E-2</v>
      </c>
      <c r="J721" t="str">
        <f>IFERROR(VLOOKUP(OrderLines[[#This Row],[OrderID]],Orders[],MATCH(OrderLines[[#Headers],[Shift]],Orders[#Headers],0),FALSE),"CHECK")</f>
        <v>Breakfast</v>
      </c>
      <c r="K721" s="11">
        <f>OrderLines[[#This Row],[Qty]] * OrderLines[[#This Row],[UnitPrice]] * (1-OrderLines[[#This Row],[DiscountPct]])</f>
        <v>37.153500000000001</v>
      </c>
      <c r="L721">
        <f>OrderLines[[#This Row],[Qty]]*OrderLines[[#This Row],[UnitCost]]</f>
        <v>15.51</v>
      </c>
    </row>
    <row r="722" spans="1:12" x14ac:dyDescent="0.25">
      <c r="A722" t="s">
        <v>315</v>
      </c>
      <c r="B722" t="s">
        <v>405</v>
      </c>
      <c r="C722">
        <v>1</v>
      </c>
      <c r="D722" s="9">
        <f>IFERROR(VLOOKUP($B722,Menu[],MATCH(D$1,Menu[#Headers],0),FALSE),"CHECK")</f>
        <v>170.83</v>
      </c>
      <c r="E722" s="9">
        <f>IFERROR(VLOOKUP($B722,Menu[],MATCH(E$1,Menu[#Headers],0),FALSE),"CHECK")</f>
        <v>74.069999999999993</v>
      </c>
      <c r="F722" t="str">
        <f>IFERROR(VLOOKUP($B722,Menu[],MATCH(F$1,Menu[#Headers],0),FALSE),"CHECK")</f>
        <v>Hot Meal</v>
      </c>
      <c r="G722" s="7">
        <f>IFERROR(INT(VLOOKUP($A722,Orders[],MATCH("OrderDateTime",Orders[#Headers],0),FALSE)),"CHECK")</f>
        <v>45855</v>
      </c>
      <c r="H722" s="7" t="str">
        <f>IFERROR(VLOOKUP($A722,Orders[],MATCH(H$1,Orders[#Headers],0),FALSE),"CHECK")</f>
        <v>Head Office Café</v>
      </c>
      <c r="I722">
        <f>IFERROR(VLOOKUP(OrderLines[[#This Row],[OrderID]],Orders[],MATCH(OrderLines[[#Headers],[DiscountPct]],Orders[#Headers],0),FALSE),"CHECK")</f>
        <v>0.05</v>
      </c>
      <c r="J722" t="str">
        <f>IFERROR(VLOOKUP(OrderLines[[#This Row],[OrderID]],Orders[],MATCH(OrderLines[[#Headers],[Shift]],Orders[#Headers],0),FALSE),"CHECK")</f>
        <v>Dinner</v>
      </c>
      <c r="K722" s="11">
        <f>OrderLines[[#This Row],[Qty]] * OrderLines[[#This Row],[UnitPrice]] * (1-OrderLines[[#This Row],[DiscountPct]])</f>
        <v>162.2885</v>
      </c>
      <c r="L722">
        <f>OrderLines[[#This Row],[Qty]]*OrderLines[[#This Row],[UnitCost]]</f>
        <v>74.069999999999993</v>
      </c>
    </row>
    <row r="723" spans="1:12" x14ac:dyDescent="0.25">
      <c r="A723" t="s">
        <v>315</v>
      </c>
      <c r="B723" t="s">
        <v>402</v>
      </c>
      <c r="C723">
        <v>1</v>
      </c>
      <c r="D723" s="9">
        <f>IFERROR(VLOOKUP($B723,Menu[],MATCH(D$1,Menu[#Headers],0),FALSE),"CHECK")</f>
        <v>30.34</v>
      </c>
      <c r="E723" s="9">
        <f>IFERROR(VLOOKUP($B723,Menu[],MATCH(E$1,Menu[#Headers],0),FALSE),"CHECK")</f>
        <v>14.18</v>
      </c>
      <c r="F723" t="str">
        <f>IFERROR(VLOOKUP($B723,Menu[],MATCH(F$1,Menu[#Headers],0),FALSE),"CHECK")</f>
        <v>Beverage</v>
      </c>
      <c r="G723" s="7">
        <f>IFERROR(INT(VLOOKUP($A723,Orders[],MATCH("OrderDateTime",Orders[#Headers],0),FALSE)),"CHECK")</f>
        <v>45855</v>
      </c>
      <c r="H723" s="7" t="str">
        <f>IFERROR(VLOOKUP($A723,Orders[],MATCH(H$1,Orders[#Headers],0),FALSE),"CHECK")</f>
        <v>Head Office Café</v>
      </c>
      <c r="I723">
        <f>IFERROR(VLOOKUP(OrderLines[[#This Row],[OrderID]],Orders[],MATCH(OrderLines[[#Headers],[DiscountPct]],Orders[#Headers],0),FALSE),"CHECK")</f>
        <v>0.05</v>
      </c>
      <c r="J723" t="str">
        <f>IFERROR(VLOOKUP(OrderLines[[#This Row],[OrderID]],Orders[],MATCH(OrderLines[[#Headers],[Shift]],Orders[#Headers],0),FALSE),"CHECK")</f>
        <v>Dinner</v>
      </c>
      <c r="K723" s="11">
        <f>OrderLines[[#This Row],[Qty]] * OrderLines[[#This Row],[UnitPrice]] * (1-OrderLines[[#This Row],[DiscountPct]])</f>
        <v>28.822999999999997</v>
      </c>
      <c r="L723">
        <f>OrderLines[[#This Row],[Qty]]*OrderLines[[#This Row],[UnitCost]]</f>
        <v>14.18</v>
      </c>
    </row>
    <row r="724" spans="1:12" x14ac:dyDescent="0.25">
      <c r="A724" t="s">
        <v>315</v>
      </c>
      <c r="B724" t="s">
        <v>414</v>
      </c>
      <c r="C724">
        <v>2</v>
      </c>
      <c r="D724" s="9">
        <f>IFERROR(VLOOKUP($B724,Menu[],MATCH(D$1,Menu[#Headers],0),FALSE),"CHECK")</f>
        <v>116.8</v>
      </c>
      <c r="E724" s="9">
        <f>IFERROR(VLOOKUP($B724,Menu[],MATCH(E$1,Menu[#Headers],0),FALSE),"CHECK")</f>
        <v>48.97</v>
      </c>
      <c r="F724" t="str">
        <f>IFERROR(VLOOKUP($B724,Menu[],MATCH(F$1,Menu[#Headers],0),FALSE),"CHECK")</f>
        <v>Dessert</v>
      </c>
      <c r="G724" s="7">
        <f>IFERROR(INT(VLOOKUP($A724,Orders[],MATCH("OrderDateTime",Orders[#Headers],0),FALSE)),"CHECK")</f>
        <v>45855</v>
      </c>
      <c r="H724" s="7" t="str">
        <f>IFERROR(VLOOKUP($A724,Orders[],MATCH(H$1,Orders[#Headers],0),FALSE),"CHECK")</f>
        <v>Head Office Café</v>
      </c>
      <c r="I724">
        <f>IFERROR(VLOOKUP(OrderLines[[#This Row],[OrderID]],Orders[],MATCH(OrderLines[[#Headers],[DiscountPct]],Orders[#Headers],0),FALSE),"CHECK")</f>
        <v>0.05</v>
      </c>
      <c r="J724" t="str">
        <f>IFERROR(VLOOKUP(OrderLines[[#This Row],[OrderID]],Orders[],MATCH(OrderLines[[#Headers],[Shift]],Orders[#Headers],0),FALSE),"CHECK")</f>
        <v>Dinner</v>
      </c>
      <c r="K724" s="11">
        <f>OrderLines[[#This Row],[Qty]] * OrderLines[[#This Row],[UnitPrice]] * (1-OrderLines[[#This Row],[DiscountPct]])</f>
        <v>221.92</v>
      </c>
      <c r="L724">
        <f>OrderLines[[#This Row],[Qty]]*OrderLines[[#This Row],[UnitCost]]</f>
        <v>97.94</v>
      </c>
    </row>
    <row r="725" spans="1:12" x14ac:dyDescent="0.25">
      <c r="A725" t="s">
        <v>316</v>
      </c>
      <c r="B725" t="s">
        <v>402</v>
      </c>
      <c r="C725">
        <v>1</v>
      </c>
      <c r="D725" s="9">
        <f>IFERROR(VLOOKUP($B725,Menu[],MATCH(D$1,Menu[#Headers],0),FALSE),"CHECK")</f>
        <v>30.34</v>
      </c>
      <c r="E725" s="9">
        <f>IFERROR(VLOOKUP($B725,Menu[],MATCH(E$1,Menu[#Headers],0),FALSE),"CHECK")</f>
        <v>14.18</v>
      </c>
      <c r="F725" t="str">
        <f>IFERROR(VLOOKUP($B725,Menu[],MATCH(F$1,Menu[#Headers],0),FALSE),"CHECK")</f>
        <v>Beverage</v>
      </c>
      <c r="G725" s="7">
        <f>IFERROR(INT(VLOOKUP($A725,Orders[],MATCH("OrderDateTime",Orders[#Headers],0),FALSE)),"CHECK")</f>
        <v>45847</v>
      </c>
      <c r="H725" s="7" t="str">
        <f>IFERROR(VLOOKUP($A725,Orders[],MATCH(H$1,Orders[#Headers],0),FALSE),"CHECK")</f>
        <v>Plant 2 Canteen</v>
      </c>
      <c r="I725">
        <f>IFERROR(VLOOKUP(OrderLines[[#This Row],[OrderID]],Orders[],MATCH(OrderLines[[#Headers],[DiscountPct]],Orders[#Headers],0),FALSE),"CHECK")</f>
        <v>0.06</v>
      </c>
      <c r="J725" t="str">
        <f>IFERROR(VLOOKUP(OrderLines[[#This Row],[OrderID]],Orders[],MATCH(OrderLines[[#Headers],[Shift]],Orders[#Headers],0),FALSE),"CHECK")</f>
        <v>Dinner</v>
      </c>
      <c r="K725" s="11">
        <f>OrderLines[[#This Row],[Qty]] * OrderLines[[#This Row],[UnitPrice]] * (1-OrderLines[[#This Row],[DiscountPct]])</f>
        <v>28.519599999999997</v>
      </c>
      <c r="L725">
        <f>OrderLines[[#This Row],[Qty]]*OrderLines[[#This Row],[UnitCost]]</f>
        <v>14.18</v>
      </c>
    </row>
    <row r="726" spans="1:12" x14ac:dyDescent="0.25">
      <c r="A726" t="s">
        <v>317</v>
      </c>
      <c r="B726" t="s">
        <v>409</v>
      </c>
      <c r="C726">
        <v>1</v>
      </c>
      <c r="D726" s="9">
        <f>IFERROR(VLOOKUP($B726,Menu[],MATCH(D$1,Menu[#Headers],0),FALSE),"CHECK")</f>
        <v>28.43</v>
      </c>
      <c r="E726" s="9">
        <f>IFERROR(VLOOKUP($B726,Menu[],MATCH(E$1,Menu[#Headers],0),FALSE),"CHECK")</f>
        <v>13.89</v>
      </c>
      <c r="F726" t="str">
        <f>IFERROR(VLOOKUP($B726,Menu[],MATCH(F$1,Menu[#Headers],0),FALSE),"CHECK")</f>
        <v>Beverage</v>
      </c>
      <c r="G726" s="7">
        <f>IFERROR(INT(VLOOKUP($A726,Orders[],MATCH("OrderDateTime",Orders[#Headers],0),FALSE)),"CHECK")</f>
        <v>45896</v>
      </c>
      <c r="H726" s="7" t="str">
        <f>IFERROR(VLOOKUP($A726,Orders[],MATCH(H$1,Orders[#Headers],0),FALSE),"CHECK")</f>
        <v>Plant 2 Canteen</v>
      </c>
      <c r="I726">
        <f>IFERROR(VLOOKUP(OrderLines[[#This Row],[OrderID]],Orders[],MATCH(OrderLines[[#Headers],[DiscountPct]],Orders[#Headers],0),FALSE),"CHECK")</f>
        <v>0.08</v>
      </c>
      <c r="J726" t="str">
        <f>IFERROR(VLOOKUP(OrderLines[[#This Row],[OrderID]],Orders[],MATCH(OrderLines[[#Headers],[Shift]],Orders[#Headers],0),FALSE),"CHECK")</f>
        <v>Breakfast</v>
      </c>
      <c r="K726" s="11">
        <f>OrderLines[[#This Row],[Qty]] * OrderLines[[#This Row],[UnitPrice]] * (1-OrderLines[[#This Row],[DiscountPct]])</f>
        <v>26.1556</v>
      </c>
      <c r="L726">
        <f>OrderLines[[#This Row],[Qty]]*OrderLines[[#This Row],[UnitCost]]</f>
        <v>13.89</v>
      </c>
    </row>
    <row r="727" spans="1:12" x14ac:dyDescent="0.25">
      <c r="A727" t="s">
        <v>317</v>
      </c>
      <c r="B727" t="s">
        <v>402</v>
      </c>
      <c r="C727">
        <v>3</v>
      </c>
      <c r="D727" s="9">
        <f>IFERROR(VLOOKUP($B727,Menu[],MATCH(D$1,Menu[#Headers],0),FALSE),"CHECK")</f>
        <v>30.34</v>
      </c>
      <c r="E727" s="9">
        <f>IFERROR(VLOOKUP($B727,Menu[],MATCH(E$1,Menu[#Headers],0),FALSE),"CHECK")</f>
        <v>14.18</v>
      </c>
      <c r="F727" t="str">
        <f>IFERROR(VLOOKUP($B727,Menu[],MATCH(F$1,Menu[#Headers],0),FALSE),"CHECK")</f>
        <v>Beverage</v>
      </c>
      <c r="G727" s="7">
        <f>IFERROR(INT(VLOOKUP($A727,Orders[],MATCH("OrderDateTime",Orders[#Headers],0),FALSE)),"CHECK")</f>
        <v>45896</v>
      </c>
      <c r="H727" s="7" t="str">
        <f>IFERROR(VLOOKUP($A727,Orders[],MATCH(H$1,Orders[#Headers],0),FALSE),"CHECK")</f>
        <v>Plant 2 Canteen</v>
      </c>
      <c r="I727">
        <f>IFERROR(VLOOKUP(OrderLines[[#This Row],[OrderID]],Orders[],MATCH(OrderLines[[#Headers],[DiscountPct]],Orders[#Headers],0),FALSE),"CHECK")</f>
        <v>0.08</v>
      </c>
      <c r="J727" t="str">
        <f>IFERROR(VLOOKUP(OrderLines[[#This Row],[OrderID]],Orders[],MATCH(OrderLines[[#Headers],[Shift]],Orders[#Headers],0),FALSE),"CHECK")</f>
        <v>Breakfast</v>
      </c>
      <c r="K727" s="11">
        <f>OrderLines[[#This Row],[Qty]] * OrderLines[[#This Row],[UnitPrice]] * (1-OrderLines[[#This Row],[DiscountPct]])</f>
        <v>83.738399999999999</v>
      </c>
      <c r="L727">
        <f>OrderLines[[#This Row],[Qty]]*OrderLines[[#This Row],[UnitCost]]</f>
        <v>42.54</v>
      </c>
    </row>
    <row r="728" spans="1:12" x14ac:dyDescent="0.25">
      <c r="A728" t="s">
        <v>317</v>
      </c>
      <c r="B728" t="s">
        <v>405</v>
      </c>
      <c r="C728">
        <v>1</v>
      </c>
      <c r="D728" s="9">
        <f>IFERROR(VLOOKUP($B728,Menu[],MATCH(D$1,Menu[#Headers],0),FALSE),"CHECK")</f>
        <v>170.83</v>
      </c>
      <c r="E728" s="9">
        <f>IFERROR(VLOOKUP($B728,Menu[],MATCH(E$1,Menu[#Headers],0),FALSE),"CHECK")</f>
        <v>74.069999999999993</v>
      </c>
      <c r="F728" t="str">
        <f>IFERROR(VLOOKUP($B728,Menu[],MATCH(F$1,Menu[#Headers],0),FALSE),"CHECK")</f>
        <v>Hot Meal</v>
      </c>
      <c r="G728" s="7">
        <f>IFERROR(INT(VLOOKUP($A728,Orders[],MATCH("OrderDateTime",Orders[#Headers],0),FALSE)),"CHECK")</f>
        <v>45896</v>
      </c>
      <c r="H728" s="7" t="str">
        <f>IFERROR(VLOOKUP($A728,Orders[],MATCH(H$1,Orders[#Headers],0),FALSE),"CHECK")</f>
        <v>Plant 2 Canteen</v>
      </c>
      <c r="I728">
        <f>IFERROR(VLOOKUP(OrderLines[[#This Row],[OrderID]],Orders[],MATCH(OrderLines[[#Headers],[DiscountPct]],Orders[#Headers],0),FALSE),"CHECK")</f>
        <v>0.08</v>
      </c>
      <c r="J728" t="str">
        <f>IFERROR(VLOOKUP(OrderLines[[#This Row],[OrderID]],Orders[],MATCH(OrderLines[[#Headers],[Shift]],Orders[#Headers],0),FALSE),"CHECK")</f>
        <v>Breakfast</v>
      </c>
      <c r="K728" s="11">
        <f>OrderLines[[#This Row],[Qty]] * OrderLines[[#This Row],[UnitPrice]] * (1-OrderLines[[#This Row],[DiscountPct]])</f>
        <v>157.16360000000003</v>
      </c>
      <c r="L728">
        <f>OrderLines[[#This Row],[Qty]]*OrderLines[[#This Row],[UnitCost]]</f>
        <v>74.069999999999993</v>
      </c>
    </row>
    <row r="729" spans="1:12" x14ac:dyDescent="0.25">
      <c r="A729" t="s">
        <v>318</v>
      </c>
      <c r="B729" t="s">
        <v>402</v>
      </c>
      <c r="C729">
        <v>1</v>
      </c>
      <c r="D729" s="9">
        <f>IFERROR(VLOOKUP($B729,Menu[],MATCH(D$1,Menu[#Headers],0),FALSE),"CHECK")</f>
        <v>30.34</v>
      </c>
      <c r="E729" s="9">
        <f>IFERROR(VLOOKUP($B729,Menu[],MATCH(E$1,Menu[#Headers],0),FALSE),"CHECK")</f>
        <v>14.18</v>
      </c>
      <c r="F729" t="str">
        <f>IFERROR(VLOOKUP($B729,Menu[],MATCH(F$1,Menu[#Headers],0),FALSE),"CHECK")</f>
        <v>Beverage</v>
      </c>
      <c r="G729" s="7">
        <f>IFERROR(INT(VLOOKUP($A729,Orders[],MATCH("OrderDateTime",Orders[#Headers],0),FALSE)),"CHECK")</f>
        <v>45869</v>
      </c>
      <c r="H729" s="7" t="str">
        <f>IFERROR(VLOOKUP($A729,Orders[],MATCH(H$1,Orders[#Headers],0),FALSE),"CHECK")</f>
        <v>Head Office Café</v>
      </c>
      <c r="I729">
        <f>IFERROR(VLOOKUP(OrderLines[[#This Row],[OrderID]],Orders[],MATCH(OrderLines[[#Headers],[DiscountPct]],Orders[#Headers],0),FALSE),"CHECK")</f>
        <v>0.03</v>
      </c>
      <c r="J729" t="str">
        <f>IFERROR(VLOOKUP(OrderLines[[#This Row],[OrderID]],Orders[],MATCH(OrderLines[[#Headers],[Shift]],Orders[#Headers],0),FALSE),"CHECK")</f>
        <v>Breakfast</v>
      </c>
      <c r="K729" s="11">
        <f>OrderLines[[#This Row],[Qty]] * OrderLines[[#This Row],[UnitPrice]] * (1-OrderLines[[#This Row],[DiscountPct]])</f>
        <v>29.4298</v>
      </c>
      <c r="L729">
        <f>OrderLines[[#This Row],[Qty]]*OrderLines[[#This Row],[UnitCost]]</f>
        <v>14.18</v>
      </c>
    </row>
    <row r="730" spans="1:12" x14ac:dyDescent="0.25">
      <c r="A730" t="s">
        <v>319</v>
      </c>
      <c r="B730" t="s">
        <v>418</v>
      </c>
      <c r="C730">
        <v>2</v>
      </c>
      <c r="D730" s="9">
        <f>IFERROR(VLOOKUP($B730,Menu[],MATCH(D$1,Menu[#Headers],0),FALSE),"CHECK")</f>
        <v>39.950000000000003</v>
      </c>
      <c r="E730" s="9">
        <f>IFERROR(VLOOKUP($B730,Menu[],MATCH(E$1,Menu[#Headers],0),FALSE),"CHECK")</f>
        <v>15.51</v>
      </c>
      <c r="F730" t="str">
        <f>IFERROR(VLOOKUP($B730,Menu[],MATCH(F$1,Menu[#Headers],0),FALSE),"CHECK")</f>
        <v>Snack</v>
      </c>
      <c r="G730" s="7">
        <f>IFERROR(INT(VLOOKUP($A730,Orders[],MATCH("OrderDateTime",Orders[#Headers],0),FALSE)),"CHECK")</f>
        <v>45855</v>
      </c>
      <c r="H730" s="7" t="str">
        <f>IFERROR(VLOOKUP($A730,Orders[],MATCH(H$1,Orders[#Headers],0),FALSE),"CHECK")</f>
        <v>Plant 1 Canteen</v>
      </c>
      <c r="I730">
        <f>IFERROR(VLOOKUP(OrderLines[[#This Row],[OrderID]],Orders[],MATCH(OrderLines[[#Headers],[DiscountPct]],Orders[#Headers],0),FALSE),"CHECK")</f>
        <v>0.14000000000000001</v>
      </c>
      <c r="J730" t="str">
        <f>IFERROR(VLOOKUP(OrderLines[[#This Row],[OrderID]],Orders[],MATCH(OrderLines[[#Headers],[Shift]],Orders[#Headers],0),FALSE),"CHECK")</f>
        <v>Lunch</v>
      </c>
      <c r="K730" s="11">
        <f>OrderLines[[#This Row],[Qty]] * OrderLines[[#This Row],[UnitPrice]] * (1-OrderLines[[#This Row],[DiscountPct]])</f>
        <v>68.713999999999999</v>
      </c>
      <c r="L730">
        <f>OrderLines[[#This Row],[Qty]]*OrderLines[[#This Row],[UnitCost]]</f>
        <v>31.02</v>
      </c>
    </row>
    <row r="731" spans="1:12" x14ac:dyDescent="0.25">
      <c r="A731" t="s">
        <v>319</v>
      </c>
      <c r="B731" t="s">
        <v>408</v>
      </c>
      <c r="C731">
        <v>3</v>
      </c>
      <c r="D731" s="9">
        <f>IFERROR(VLOOKUP($B731,Menu[],MATCH(D$1,Menu[#Headers],0),FALSE),"CHECK")</f>
        <v>70.540000000000006</v>
      </c>
      <c r="E731" s="9">
        <f>IFERROR(VLOOKUP($B731,Menu[],MATCH(E$1,Menu[#Headers],0),FALSE),"CHECK")</f>
        <v>35.81</v>
      </c>
      <c r="F731" t="str">
        <f>IFERROR(VLOOKUP($B731,Menu[],MATCH(F$1,Menu[#Headers],0),FALSE),"CHECK")</f>
        <v>Snack</v>
      </c>
      <c r="G731" s="7">
        <f>IFERROR(INT(VLOOKUP($A731,Orders[],MATCH("OrderDateTime",Orders[#Headers],0),FALSE)),"CHECK")</f>
        <v>45855</v>
      </c>
      <c r="H731" s="7" t="str">
        <f>IFERROR(VLOOKUP($A731,Orders[],MATCH(H$1,Orders[#Headers],0),FALSE),"CHECK")</f>
        <v>Plant 1 Canteen</v>
      </c>
      <c r="I731">
        <f>IFERROR(VLOOKUP(OrderLines[[#This Row],[OrderID]],Orders[],MATCH(OrderLines[[#Headers],[DiscountPct]],Orders[#Headers],0),FALSE),"CHECK")</f>
        <v>0.14000000000000001</v>
      </c>
      <c r="J731" t="str">
        <f>IFERROR(VLOOKUP(OrderLines[[#This Row],[OrderID]],Orders[],MATCH(OrderLines[[#Headers],[Shift]],Orders[#Headers],0),FALSE),"CHECK")</f>
        <v>Lunch</v>
      </c>
      <c r="K731" s="11">
        <f>OrderLines[[#This Row],[Qty]] * OrderLines[[#This Row],[UnitPrice]] * (1-OrderLines[[#This Row],[DiscountPct]])</f>
        <v>181.9932</v>
      </c>
      <c r="L731">
        <f>OrderLines[[#This Row],[Qty]]*OrderLines[[#This Row],[UnitCost]]</f>
        <v>107.43</v>
      </c>
    </row>
    <row r="732" spans="1:12" x14ac:dyDescent="0.25">
      <c r="A732" t="s">
        <v>319</v>
      </c>
      <c r="B732" t="s">
        <v>402</v>
      </c>
      <c r="C732">
        <v>1</v>
      </c>
      <c r="D732" s="9">
        <f>IFERROR(VLOOKUP($B732,Menu[],MATCH(D$1,Menu[#Headers],0),FALSE),"CHECK")</f>
        <v>30.34</v>
      </c>
      <c r="E732" s="9">
        <f>IFERROR(VLOOKUP($B732,Menu[],MATCH(E$1,Menu[#Headers],0),FALSE),"CHECK")</f>
        <v>14.18</v>
      </c>
      <c r="F732" t="str">
        <f>IFERROR(VLOOKUP($B732,Menu[],MATCH(F$1,Menu[#Headers],0),FALSE),"CHECK")</f>
        <v>Beverage</v>
      </c>
      <c r="G732" s="7">
        <f>IFERROR(INT(VLOOKUP($A732,Orders[],MATCH("OrderDateTime",Orders[#Headers],0),FALSE)),"CHECK")</f>
        <v>45855</v>
      </c>
      <c r="H732" s="7" t="str">
        <f>IFERROR(VLOOKUP($A732,Orders[],MATCH(H$1,Orders[#Headers],0),FALSE),"CHECK")</f>
        <v>Plant 1 Canteen</v>
      </c>
      <c r="I732">
        <f>IFERROR(VLOOKUP(OrderLines[[#This Row],[OrderID]],Orders[],MATCH(OrderLines[[#Headers],[DiscountPct]],Orders[#Headers],0),FALSE),"CHECK")</f>
        <v>0.14000000000000001</v>
      </c>
      <c r="J732" t="str">
        <f>IFERROR(VLOOKUP(OrderLines[[#This Row],[OrderID]],Orders[],MATCH(OrderLines[[#Headers],[Shift]],Orders[#Headers],0),FALSE),"CHECK")</f>
        <v>Lunch</v>
      </c>
      <c r="K732" s="11">
        <f>OrderLines[[#This Row],[Qty]] * OrderLines[[#This Row],[UnitPrice]] * (1-OrderLines[[#This Row],[DiscountPct]])</f>
        <v>26.092399999999998</v>
      </c>
      <c r="L732">
        <f>OrderLines[[#This Row],[Qty]]*OrderLines[[#This Row],[UnitCost]]</f>
        <v>14.18</v>
      </c>
    </row>
    <row r="733" spans="1:12" x14ac:dyDescent="0.25">
      <c r="A733" t="s">
        <v>320</v>
      </c>
      <c r="B733" t="s">
        <v>416</v>
      </c>
      <c r="C733">
        <v>3</v>
      </c>
      <c r="D733" s="9">
        <f>IFERROR(VLOOKUP($B733,Menu[],MATCH(D$1,Menu[#Headers],0),FALSE),"CHECK")</f>
        <v>227.61</v>
      </c>
      <c r="E733" s="9">
        <f>IFERROR(VLOOKUP($B733,Menu[],MATCH(E$1,Menu[#Headers],0),FALSE),"CHECK")</f>
        <v>96.22</v>
      </c>
      <c r="F733" t="str">
        <f>IFERROR(VLOOKUP($B733,Menu[],MATCH(F$1,Menu[#Headers],0),FALSE),"CHECK")</f>
        <v>Hot Meal</v>
      </c>
      <c r="G733" s="7">
        <f>IFERROR(INT(VLOOKUP($A733,Orders[],MATCH("OrderDateTime",Orders[#Headers],0),FALSE)),"CHECK")</f>
        <v>45890</v>
      </c>
      <c r="H733" s="7" t="str">
        <f>IFERROR(VLOOKUP($A733,Orders[],MATCH(H$1,Orders[#Headers],0),FALSE),"CHECK")</f>
        <v>Head Office Café</v>
      </c>
      <c r="I733">
        <f>IFERROR(VLOOKUP(OrderLines[[#This Row],[OrderID]],Orders[],MATCH(OrderLines[[#Headers],[DiscountPct]],Orders[#Headers],0),FALSE),"CHECK")</f>
        <v>0.02</v>
      </c>
      <c r="J733" t="str">
        <f>IFERROR(VLOOKUP(OrderLines[[#This Row],[OrderID]],Orders[],MATCH(OrderLines[[#Headers],[Shift]],Orders[#Headers],0),FALSE),"CHECK")</f>
        <v>Dinner</v>
      </c>
      <c r="K733" s="11">
        <f>OrderLines[[#This Row],[Qty]] * OrderLines[[#This Row],[UnitPrice]] * (1-OrderLines[[#This Row],[DiscountPct]])</f>
        <v>669.17340000000002</v>
      </c>
      <c r="L733">
        <f>OrderLines[[#This Row],[Qty]]*OrderLines[[#This Row],[UnitCost]]</f>
        <v>288.65999999999997</v>
      </c>
    </row>
    <row r="734" spans="1:12" x14ac:dyDescent="0.25">
      <c r="A734" t="s">
        <v>320</v>
      </c>
      <c r="B734" t="s">
        <v>418</v>
      </c>
      <c r="C734">
        <v>2</v>
      </c>
      <c r="D734" s="9">
        <f>IFERROR(VLOOKUP($B734,Menu[],MATCH(D$1,Menu[#Headers],0),FALSE),"CHECK")</f>
        <v>39.950000000000003</v>
      </c>
      <c r="E734" s="9">
        <f>IFERROR(VLOOKUP($B734,Menu[],MATCH(E$1,Menu[#Headers],0),FALSE),"CHECK")</f>
        <v>15.51</v>
      </c>
      <c r="F734" t="str">
        <f>IFERROR(VLOOKUP($B734,Menu[],MATCH(F$1,Menu[#Headers],0),FALSE),"CHECK")</f>
        <v>Snack</v>
      </c>
      <c r="G734" s="7">
        <f>IFERROR(INT(VLOOKUP($A734,Orders[],MATCH("OrderDateTime",Orders[#Headers],0),FALSE)),"CHECK")</f>
        <v>45890</v>
      </c>
      <c r="H734" s="7" t="str">
        <f>IFERROR(VLOOKUP($A734,Orders[],MATCH(H$1,Orders[#Headers],0),FALSE),"CHECK")</f>
        <v>Head Office Café</v>
      </c>
      <c r="I734">
        <f>IFERROR(VLOOKUP(OrderLines[[#This Row],[OrderID]],Orders[],MATCH(OrderLines[[#Headers],[DiscountPct]],Orders[#Headers],0),FALSE),"CHECK")</f>
        <v>0.02</v>
      </c>
      <c r="J734" t="str">
        <f>IFERROR(VLOOKUP(OrderLines[[#This Row],[OrderID]],Orders[],MATCH(OrderLines[[#Headers],[Shift]],Orders[#Headers],0),FALSE),"CHECK")</f>
        <v>Dinner</v>
      </c>
      <c r="K734" s="11">
        <f>OrderLines[[#This Row],[Qty]] * OrderLines[[#This Row],[UnitPrice]] * (1-OrderLines[[#This Row],[DiscountPct]])</f>
        <v>78.302000000000007</v>
      </c>
      <c r="L734">
        <f>OrderLines[[#This Row],[Qty]]*OrderLines[[#This Row],[UnitCost]]</f>
        <v>31.02</v>
      </c>
    </row>
    <row r="735" spans="1:12" x14ac:dyDescent="0.25">
      <c r="A735" t="s">
        <v>320</v>
      </c>
      <c r="B735" t="s">
        <v>405</v>
      </c>
      <c r="C735">
        <v>2</v>
      </c>
      <c r="D735" s="9">
        <f>IFERROR(VLOOKUP($B735,Menu[],MATCH(D$1,Menu[#Headers],0),FALSE),"CHECK")</f>
        <v>170.83</v>
      </c>
      <c r="E735" s="9">
        <f>IFERROR(VLOOKUP($B735,Menu[],MATCH(E$1,Menu[#Headers],0),FALSE),"CHECK")</f>
        <v>74.069999999999993</v>
      </c>
      <c r="F735" t="str">
        <f>IFERROR(VLOOKUP($B735,Menu[],MATCH(F$1,Menu[#Headers],0),FALSE),"CHECK")</f>
        <v>Hot Meal</v>
      </c>
      <c r="G735" s="7">
        <f>IFERROR(INT(VLOOKUP($A735,Orders[],MATCH("OrderDateTime",Orders[#Headers],0),FALSE)),"CHECK")</f>
        <v>45890</v>
      </c>
      <c r="H735" s="7" t="str">
        <f>IFERROR(VLOOKUP($A735,Orders[],MATCH(H$1,Orders[#Headers],0),FALSE),"CHECK")</f>
        <v>Head Office Café</v>
      </c>
      <c r="I735">
        <f>IFERROR(VLOOKUP(OrderLines[[#This Row],[OrderID]],Orders[],MATCH(OrderLines[[#Headers],[DiscountPct]],Orders[#Headers],0),FALSE),"CHECK")</f>
        <v>0.02</v>
      </c>
      <c r="J735" t="str">
        <f>IFERROR(VLOOKUP(OrderLines[[#This Row],[OrderID]],Orders[],MATCH(OrderLines[[#Headers],[Shift]],Orders[#Headers],0),FALSE),"CHECK")</f>
        <v>Dinner</v>
      </c>
      <c r="K735" s="11">
        <f>OrderLines[[#This Row],[Qty]] * OrderLines[[#This Row],[UnitPrice]] * (1-OrderLines[[#This Row],[DiscountPct]])</f>
        <v>334.82679999999999</v>
      </c>
      <c r="L735">
        <f>OrderLines[[#This Row],[Qty]]*OrderLines[[#This Row],[UnitCost]]</f>
        <v>148.13999999999999</v>
      </c>
    </row>
    <row r="736" spans="1:12" x14ac:dyDescent="0.25">
      <c r="A736" t="s">
        <v>320</v>
      </c>
      <c r="B736" t="s">
        <v>402</v>
      </c>
      <c r="C736">
        <v>1</v>
      </c>
      <c r="D736" s="9">
        <f>IFERROR(VLOOKUP($B736,Menu[],MATCH(D$1,Menu[#Headers],0),FALSE),"CHECK")</f>
        <v>30.34</v>
      </c>
      <c r="E736" s="9">
        <f>IFERROR(VLOOKUP($B736,Menu[],MATCH(E$1,Menu[#Headers],0),FALSE),"CHECK")</f>
        <v>14.18</v>
      </c>
      <c r="F736" t="str">
        <f>IFERROR(VLOOKUP($B736,Menu[],MATCH(F$1,Menu[#Headers],0),FALSE),"CHECK")</f>
        <v>Beverage</v>
      </c>
      <c r="G736" s="7">
        <f>IFERROR(INT(VLOOKUP($A736,Orders[],MATCH("OrderDateTime",Orders[#Headers],0),FALSE)),"CHECK")</f>
        <v>45890</v>
      </c>
      <c r="H736" s="7" t="str">
        <f>IFERROR(VLOOKUP($A736,Orders[],MATCH(H$1,Orders[#Headers],0),FALSE),"CHECK")</f>
        <v>Head Office Café</v>
      </c>
      <c r="I736">
        <f>IFERROR(VLOOKUP(OrderLines[[#This Row],[OrderID]],Orders[],MATCH(OrderLines[[#Headers],[DiscountPct]],Orders[#Headers],0),FALSE),"CHECK")</f>
        <v>0.02</v>
      </c>
      <c r="J736" t="str">
        <f>IFERROR(VLOOKUP(OrderLines[[#This Row],[OrderID]],Orders[],MATCH(OrderLines[[#Headers],[Shift]],Orders[#Headers],0),FALSE),"CHECK")</f>
        <v>Dinner</v>
      </c>
      <c r="K736" s="11">
        <f>OrderLines[[#This Row],[Qty]] * OrderLines[[#This Row],[UnitPrice]] * (1-OrderLines[[#This Row],[DiscountPct]])</f>
        <v>29.7332</v>
      </c>
      <c r="L736">
        <f>OrderLines[[#This Row],[Qty]]*OrderLines[[#This Row],[UnitCost]]</f>
        <v>14.18</v>
      </c>
    </row>
    <row r="737" spans="1:12" x14ac:dyDescent="0.25">
      <c r="A737" t="s">
        <v>321</v>
      </c>
      <c r="B737" t="s">
        <v>403</v>
      </c>
      <c r="C737">
        <v>1</v>
      </c>
      <c r="D737" s="9">
        <f>IFERROR(VLOOKUP($B737,Menu[],MATCH(D$1,Menu[#Headers],0),FALSE),"CHECK")</f>
        <v>76.55</v>
      </c>
      <c r="E737" s="9">
        <f>IFERROR(VLOOKUP($B737,Menu[],MATCH(E$1,Menu[#Headers],0),FALSE),"CHECK")</f>
        <v>38.229999999999997</v>
      </c>
      <c r="F737" t="str">
        <f>IFERROR(VLOOKUP($B737,Menu[],MATCH(F$1,Menu[#Headers],0),FALSE),"CHECK")</f>
        <v>Dessert</v>
      </c>
      <c r="G737" s="7">
        <f>IFERROR(INT(VLOOKUP($A737,Orders[],MATCH("OrderDateTime",Orders[#Headers],0),FALSE)),"CHECK")</f>
        <v>45853</v>
      </c>
      <c r="H737" s="7" t="str">
        <f>IFERROR(VLOOKUP($A737,Orders[],MATCH(H$1,Orders[#Headers],0),FALSE),"CHECK")</f>
        <v>Plant 1 Canteen</v>
      </c>
      <c r="I737">
        <f>IFERROR(VLOOKUP(OrderLines[[#This Row],[OrderID]],Orders[],MATCH(OrderLines[[#Headers],[DiscountPct]],Orders[#Headers],0),FALSE),"CHECK")</f>
        <v>0.01</v>
      </c>
      <c r="J737" t="str">
        <f>IFERROR(VLOOKUP(OrderLines[[#This Row],[OrderID]],Orders[],MATCH(OrderLines[[#Headers],[Shift]],Orders[#Headers],0),FALSE),"CHECK")</f>
        <v>Lunch</v>
      </c>
      <c r="K737" s="11">
        <f>OrderLines[[#This Row],[Qty]] * OrderLines[[#This Row],[UnitPrice]] * (1-OrderLines[[#This Row],[DiscountPct]])</f>
        <v>75.784499999999994</v>
      </c>
      <c r="L737">
        <f>OrderLines[[#This Row],[Qty]]*OrderLines[[#This Row],[UnitCost]]</f>
        <v>38.229999999999997</v>
      </c>
    </row>
    <row r="738" spans="1:12" x14ac:dyDescent="0.25">
      <c r="A738" t="s">
        <v>321</v>
      </c>
      <c r="B738" t="s">
        <v>419</v>
      </c>
      <c r="C738">
        <v>3</v>
      </c>
      <c r="D738" s="9">
        <f>IFERROR(VLOOKUP($B738,Menu[],MATCH(D$1,Menu[#Headers],0),FALSE),"CHECK")</f>
        <v>50.19</v>
      </c>
      <c r="E738" s="9">
        <f>IFERROR(VLOOKUP($B738,Menu[],MATCH(E$1,Menu[#Headers],0),FALSE),"CHECK")</f>
        <v>22.61</v>
      </c>
      <c r="F738" t="str">
        <f>IFERROR(VLOOKUP($B738,Menu[],MATCH(F$1,Menu[#Headers],0),FALSE),"CHECK")</f>
        <v>Snack</v>
      </c>
      <c r="G738" s="7">
        <f>IFERROR(INT(VLOOKUP($A738,Orders[],MATCH("OrderDateTime",Orders[#Headers],0),FALSE)),"CHECK")</f>
        <v>45853</v>
      </c>
      <c r="H738" s="7" t="str">
        <f>IFERROR(VLOOKUP($A738,Orders[],MATCH(H$1,Orders[#Headers],0),FALSE),"CHECK")</f>
        <v>Plant 1 Canteen</v>
      </c>
      <c r="I738">
        <f>IFERROR(VLOOKUP(OrderLines[[#This Row],[OrderID]],Orders[],MATCH(OrderLines[[#Headers],[DiscountPct]],Orders[#Headers],0),FALSE),"CHECK")</f>
        <v>0.01</v>
      </c>
      <c r="J738" t="str">
        <f>IFERROR(VLOOKUP(OrderLines[[#This Row],[OrderID]],Orders[],MATCH(OrderLines[[#Headers],[Shift]],Orders[#Headers],0),FALSE),"CHECK")</f>
        <v>Lunch</v>
      </c>
      <c r="K738" s="11">
        <f>OrderLines[[#This Row],[Qty]] * OrderLines[[#This Row],[UnitPrice]] * (1-OrderLines[[#This Row],[DiscountPct]])</f>
        <v>149.0643</v>
      </c>
      <c r="L738">
        <f>OrderLines[[#This Row],[Qty]]*OrderLines[[#This Row],[UnitCost]]</f>
        <v>67.83</v>
      </c>
    </row>
    <row r="739" spans="1:12" x14ac:dyDescent="0.25">
      <c r="A739" t="s">
        <v>321</v>
      </c>
      <c r="B739" t="s">
        <v>401</v>
      </c>
      <c r="C739">
        <v>2</v>
      </c>
      <c r="D739" s="9">
        <f>IFERROR(VLOOKUP($B739,Menu[],MATCH(D$1,Menu[#Headers],0),FALSE),"CHECK")</f>
        <v>52.45</v>
      </c>
      <c r="E739" s="9">
        <f>IFERROR(VLOOKUP($B739,Menu[],MATCH(E$1,Menu[#Headers],0),FALSE),"CHECK")</f>
        <v>25.8</v>
      </c>
      <c r="F739" t="str">
        <f>IFERROR(VLOOKUP($B739,Menu[],MATCH(F$1,Menu[#Headers],0),FALSE),"CHECK")</f>
        <v>Snack</v>
      </c>
      <c r="G739" s="7">
        <f>IFERROR(INT(VLOOKUP($A739,Orders[],MATCH("OrderDateTime",Orders[#Headers],0),FALSE)),"CHECK")</f>
        <v>45853</v>
      </c>
      <c r="H739" s="7" t="str">
        <f>IFERROR(VLOOKUP($A739,Orders[],MATCH(H$1,Orders[#Headers],0),FALSE),"CHECK")</f>
        <v>Plant 1 Canteen</v>
      </c>
      <c r="I739">
        <f>IFERROR(VLOOKUP(OrderLines[[#This Row],[OrderID]],Orders[],MATCH(OrderLines[[#Headers],[DiscountPct]],Orders[#Headers],0),FALSE),"CHECK")</f>
        <v>0.01</v>
      </c>
      <c r="J739" t="str">
        <f>IFERROR(VLOOKUP(OrderLines[[#This Row],[OrderID]],Orders[],MATCH(OrderLines[[#Headers],[Shift]],Orders[#Headers],0),FALSE),"CHECK")</f>
        <v>Lunch</v>
      </c>
      <c r="K739" s="11">
        <f>OrderLines[[#This Row],[Qty]] * OrderLines[[#This Row],[UnitPrice]] * (1-OrderLines[[#This Row],[DiscountPct]])</f>
        <v>103.851</v>
      </c>
      <c r="L739">
        <f>OrderLines[[#This Row],[Qty]]*OrderLines[[#This Row],[UnitCost]]</f>
        <v>51.6</v>
      </c>
    </row>
    <row r="740" spans="1:12" x14ac:dyDescent="0.25">
      <c r="A740" t="s">
        <v>322</v>
      </c>
      <c r="B740" t="s">
        <v>413</v>
      </c>
      <c r="C740">
        <v>1</v>
      </c>
      <c r="D740" s="9">
        <f>IFERROR(VLOOKUP($B740,Menu[],MATCH(D$1,Menu[#Headers],0),FALSE),"CHECK")</f>
        <v>54.2</v>
      </c>
      <c r="E740" s="9">
        <f>IFERROR(VLOOKUP($B740,Menu[],MATCH(E$1,Menu[#Headers],0),FALSE),"CHECK")</f>
        <v>21.95</v>
      </c>
      <c r="F740" t="str">
        <f>IFERROR(VLOOKUP($B740,Menu[],MATCH(F$1,Menu[#Headers],0),FALSE),"CHECK")</f>
        <v>Dessert</v>
      </c>
      <c r="G740" s="7">
        <f>IFERROR(INT(VLOOKUP($A740,Orders[],MATCH("OrderDateTime",Orders[#Headers],0),FALSE)),"CHECK")</f>
        <v>45858</v>
      </c>
      <c r="H740" s="7" t="str">
        <f>IFERROR(VLOOKUP($A740,Orders[],MATCH(H$1,Orders[#Headers],0),FALSE),"CHECK")</f>
        <v>Plant 1 Canteen</v>
      </c>
      <c r="I740">
        <f>IFERROR(VLOOKUP(OrderLines[[#This Row],[OrderID]],Orders[],MATCH(OrderLines[[#Headers],[DiscountPct]],Orders[#Headers],0),FALSE),"CHECK")</f>
        <v>0.11</v>
      </c>
      <c r="J740" t="str">
        <f>IFERROR(VLOOKUP(OrderLines[[#This Row],[OrderID]],Orders[],MATCH(OrderLines[[#Headers],[Shift]],Orders[#Headers],0),FALSE),"CHECK")</f>
        <v>Breakfast</v>
      </c>
      <c r="K740" s="11">
        <f>OrderLines[[#This Row],[Qty]] * OrderLines[[#This Row],[UnitPrice]] * (1-OrderLines[[#This Row],[DiscountPct]])</f>
        <v>48.238000000000007</v>
      </c>
      <c r="L740">
        <f>OrderLines[[#This Row],[Qty]]*OrderLines[[#This Row],[UnitCost]]</f>
        <v>21.95</v>
      </c>
    </row>
    <row r="741" spans="1:12" x14ac:dyDescent="0.25">
      <c r="A741" t="s">
        <v>322</v>
      </c>
      <c r="B741" t="s">
        <v>401</v>
      </c>
      <c r="C741">
        <v>1</v>
      </c>
      <c r="D741" s="9">
        <f>IFERROR(VLOOKUP($B741,Menu[],MATCH(D$1,Menu[#Headers],0),FALSE),"CHECK")</f>
        <v>52.45</v>
      </c>
      <c r="E741" s="9">
        <f>IFERROR(VLOOKUP($B741,Menu[],MATCH(E$1,Menu[#Headers],0),FALSE),"CHECK")</f>
        <v>25.8</v>
      </c>
      <c r="F741" t="str">
        <f>IFERROR(VLOOKUP($B741,Menu[],MATCH(F$1,Menu[#Headers],0),FALSE),"CHECK")</f>
        <v>Snack</v>
      </c>
      <c r="G741" s="7">
        <f>IFERROR(INT(VLOOKUP($A741,Orders[],MATCH("OrderDateTime",Orders[#Headers],0),FALSE)),"CHECK")</f>
        <v>45858</v>
      </c>
      <c r="H741" s="7" t="str">
        <f>IFERROR(VLOOKUP($A741,Orders[],MATCH(H$1,Orders[#Headers],0),FALSE),"CHECK")</f>
        <v>Plant 1 Canteen</v>
      </c>
      <c r="I741">
        <f>IFERROR(VLOOKUP(OrderLines[[#This Row],[OrderID]],Orders[],MATCH(OrderLines[[#Headers],[DiscountPct]],Orders[#Headers],0),FALSE),"CHECK")</f>
        <v>0.11</v>
      </c>
      <c r="J741" t="str">
        <f>IFERROR(VLOOKUP(OrderLines[[#This Row],[OrderID]],Orders[],MATCH(OrderLines[[#Headers],[Shift]],Orders[#Headers],0),FALSE),"CHECK")</f>
        <v>Breakfast</v>
      </c>
      <c r="K741" s="11">
        <f>OrderLines[[#This Row],[Qty]] * OrderLines[[#This Row],[UnitPrice]] * (1-OrderLines[[#This Row],[DiscountPct]])</f>
        <v>46.680500000000002</v>
      </c>
      <c r="L741">
        <f>OrderLines[[#This Row],[Qty]]*OrderLines[[#This Row],[UnitCost]]</f>
        <v>25.8</v>
      </c>
    </row>
    <row r="742" spans="1:12" x14ac:dyDescent="0.25">
      <c r="A742" t="s">
        <v>322</v>
      </c>
      <c r="B742" t="s">
        <v>405</v>
      </c>
      <c r="C742">
        <v>1</v>
      </c>
      <c r="D742" s="9">
        <f>IFERROR(VLOOKUP($B742,Menu[],MATCH(D$1,Menu[#Headers],0),FALSE),"CHECK")</f>
        <v>170.83</v>
      </c>
      <c r="E742" s="9">
        <f>IFERROR(VLOOKUP($B742,Menu[],MATCH(E$1,Menu[#Headers],0),FALSE),"CHECK")</f>
        <v>74.069999999999993</v>
      </c>
      <c r="F742" t="str">
        <f>IFERROR(VLOOKUP($B742,Menu[],MATCH(F$1,Menu[#Headers],0),FALSE),"CHECK")</f>
        <v>Hot Meal</v>
      </c>
      <c r="G742" s="7">
        <f>IFERROR(INT(VLOOKUP($A742,Orders[],MATCH("OrderDateTime",Orders[#Headers],0),FALSE)),"CHECK")</f>
        <v>45858</v>
      </c>
      <c r="H742" s="7" t="str">
        <f>IFERROR(VLOOKUP($A742,Orders[],MATCH(H$1,Orders[#Headers],0),FALSE),"CHECK")</f>
        <v>Plant 1 Canteen</v>
      </c>
      <c r="I742">
        <f>IFERROR(VLOOKUP(OrderLines[[#This Row],[OrderID]],Orders[],MATCH(OrderLines[[#Headers],[DiscountPct]],Orders[#Headers],0),FALSE),"CHECK")</f>
        <v>0.11</v>
      </c>
      <c r="J742" t="str">
        <f>IFERROR(VLOOKUP(OrderLines[[#This Row],[OrderID]],Orders[],MATCH(OrderLines[[#Headers],[Shift]],Orders[#Headers],0),FALSE),"CHECK")</f>
        <v>Breakfast</v>
      </c>
      <c r="K742" s="11">
        <f>OrderLines[[#This Row],[Qty]] * OrderLines[[#This Row],[UnitPrice]] * (1-OrderLines[[#This Row],[DiscountPct]])</f>
        <v>152.03870000000001</v>
      </c>
      <c r="L742">
        <f>OrderLines[[#This Row],[Qty]]*OrderLines[[#This Row],[UnitCost]]</f>
        <v>74.069999999999993</v>
      </c>
    </row>
    <row r="743" spans="1:12" x14ac:dyDescent="0.25">
      <c r="A743" t="s">
        <v>322</v>
      </c>
      <c r="B743" t="s">
        <v>419</v>
      </c>
      <c r="C743">
        <v>3</v>
      </c>
      <c r="D743" s="9">
        <f>IFERROR(VLOOKUP($B743,Menu[],MATCH(D$1,Menu[#Headers],0),FALSE),"CHECK")</f>
        <v>50.19</v>
      </c>
      <c r="E743" s="9">
        <f>IFERROR(VLOOKUP($B743,Menu[],MATCH(E$1,Menu[#Headers],0),FALSE),"CHECK")</f>
        <v>22.61</v>
      </c>
      <c r="F743" t="str">
        <f>IFERROR(VLOOKUP($B743,Menu[],MATCH(F$1,Menu[#Headers],0),FALSE),"CHECK")</f>
        <v>Snack</v>
      </c>
      <c r="G743" s="7">
        <f>IFERROR(INT(VLOOKUP($A743,Orders[],MATCH("OrderDateTime",Orders[#Headers],0),FALSE)),"CHECK")</f>
        <v>45858</v>
      </c>
      <c r="H743" s="7" t="str">
        <f>IFERROR(VLOOKUP($A743,Orders[],MATCH(H$1,Orders[#Headers],0),FALSE),"CHECK")</f>
        <v>Plant 1 Canteen</v>
      </c>
      <c r="I743">
        <f>IFERROR(VLOOKUP(OrderLines[[#This Row],[OrderID]],Orders[],MATCH(OrderLines[[#Headers],[DiscountPct]],Orders[#Headers],0),FALSE),"CHECK")</f>
        <v>0.11</v>
      </c>
      <c r="J743" t="str">
        <f>IFERROR(VLOOKUP(OrderLines[[#This Row],[OrderID]],Orders[],MATCH(OrderLines[[#Headers],[Shift]],Orders[#Headers],0),FALSE),"CHECK")</f>
        <v>Breakfast</v>
      </c>
      <c r="K743" s="11">
        <f>OrderLines[[#This Row],[Qty]] * OrderLines[[#This Row],[UnitPrice]] * (1-OrderLines[[#This Row],[DiscountPct]])</f>
        <v>134.00729999999999</v>
      </c>
      <c r="L743">
        <f>OrderLines[[#This Row],[Qty]]*OrderLines[[#This Row],[UnitCost]]</f>
        <v>67.83</v>
      </c>
    </row>
    <row r="744" spans="1:12" x14ac:dyDescent="0.25">
      <c r="A744" t="s">
        <v>323</v>
      </c>
      <c r="B744" t="s">
        <v>403</v>
      </c>
      <c r="C744">
        <v>2</v>
      </c>
      <c r="D744" s="9">
        <f>IFERROR(VLOOKUP($B744,Menu[],MATCH(D$1,Menu[#Headers],0),FALSE),"CHECK")</f>
        <v>76.55</v>
      </c>
      <c r="E744" s="9">
        <f>IFERROR(VLOOKUP($B744,Menu[],MATCH(E$1,Menu[#Headers],0),FALSE),"CHECK")</f>
        <v>38.229999999999997</v>
      </c>
      <c r="F744" t="str">
        <f>IFERROR(VLOOKUP($B744,Menu[],MATCH(F$1,Menu[#Headers],0),FALSE),"CHECK")</f>
        <v>Dessert</v>
      </c>
      <c r="G744" s="7">
        <f>IFERROR(INT(VLOOKUP($A744,Orders[],MATCH("OrderDateTime",Orders[#Headers],0),FALSE)),"CHECK")</f>
        <v>45856</v>
      </c>
      <c r="H744" s="7" t="str">
        <f>IFERROR(VLOOKUP($A744,Orders[],MATCH(H$1,Orders[#Headers],0),FALSE),"CHECK")</f>
        <v>Head Office Café</v>
      </c>
      <c r="I744">
        <f>IFERROR(VLOOKUP(OrderLines[[#This Row],[OrderID]],Orders[],MATCH(OrderLines[[#Headers],[DiscountPct]],Orders[#Headers],0),FALSE),"CHECK")</f>
        <v>0.09</v>
      </c>
      <c r="J744" t="str">
        <f>IFERROR(VLOOKUP(OrderLines[[#This Row],[OrderID]],Orders[],MATCH(OrderLines[[#Headers],[Shift]],Orders[#Headers],0),FALSE),"CHECK")</f>
        <v>Breakfast</v>
      </c>
      <c r="K744" s="11">
        <f>OrderLines[[#This Row],[Qty]] * OrderLines[[#This Row],[UnitPrice]] * (1-OrderLines[[#This Row],[DiscountPct]])</f>
        <v>139.321</v>
      </c>
      <c r="L744">
        <f>OrderLines[[#This Row],[Qty]]*OrderLines[[#This Row],[UnitCost]]</f>
        <v>76.459999999999994</v>
      </c>
    </row>
    <row r="745" spans="1:12" x14ac:dyDescent="0.25">
      <c r="A745" t="s">
        <v>323</v>
      </c>
      <c r="B745" t="s">
        <v>405</v>
      </c>
      <c r="C745">
        <v>1</v>
      </c>
      <c r="D745" s="9">
        <f>IFERROR(VLOOKUP($B745,Menu[],MATCH(D$1,Menu[#Headers],0),FALSE),"CHECK")</f>
        <v>170.83</v>
      </c>
      <c r="E745" s="9">
        <f>IFERROR(VLOOKUP($B745,Menu[],MATCH(E$1,Menu[#Headers],0),FALSE),"CHECK")</f>
        <v>74.069999999999993</v>
      </c>
      <c r="F745" t="str">
        <f>IFERROR(VLOOKUP($B745,Menu[],MATCH(F$1,Menu[#Headers],0),FALSE),"CHECK")</f>
        <v>Hot Meal</v>
      </c>
      <c r="G745" s="7">
        <f>IFERROR(INT(VLOOKUP($A745,Orders[],MATCH("OrderDateTime",Orders[#Headers],0),FALSE)),"CHECK")</f>
        <v>45856</v>
      </c>
      <c r="H745" s="7" t="str">
        <f>IFERROR(VLOOKUP($A745,Orders[],MATCH(H$1,Orders[#Headers],0),FALSE),"CHECK")</f>
        <v>Head Office Café</v>
      </c>
      <c r="I745">
        <f>IFERROR(VLOOKUP(OrderLines[[#This Row],[OrderID]],Orders[],MATCH(OrderLines[[#Headers],[DiscountPct]],Orders[#Headers],0),FALSE),"CHECK")</f>
        <v>0.09</v>
      </c>
      <c r="J745" t="str">
        <f>IFERROR(VLOOKUP(OrderLines[[#This Row],[OrderID]],Orders[],MATCH(OrderLines[[#Headers],[Shift]],Orders[#Headers],0),FALSE),"CHECK")</f>
        <v>Breakfast</v>
      </c>
      <c r="K745" s="11">
        <f>OrderLines[[#This Row],[Qty]] * OrderLines[[#This Row],[UnitPrice]] * (1-OrderLines[[#This Row],[DiscountPct]])</f>
        <v>155.45530000000002</v>
      </c>
      <c r="L745">
        <f>OrderLines[[#This Row],[Qty]]*OrderLines[[#This Row],[UnitCost]]</f>
        <v>74.069999999999993</v>
      </c>
    </row>
    <row r="746" spans="1:12" x14ac:dyDescent="0.25">
      <c r="A746" t="s">
        <v>324</v>
      </c>
      <c r="B746" t="s">
        <v>417</v>
      </c>
      <c r="C746">
        <v>1</v>
      </c>
      <c r="D746" s="9">
        <f>IFERROR(VLOOKUP($B746,Menu[],MATCH(D$1,Menu[#Headers],0),FALSE),"CHECK")</f>
        <v>146.4</v>
      </c>
      <c r="E746" s="9">
        <f>IFERROR(VLOOKUP($B746,Menu[],MATCH(E$1,Menu[#Headers],0),FALSE),"CHECK")</f>
        <v>80.92</v>
      </c>
      <c r="F746" t="str">
        <f>IFERROR(VLOOKUP($B746,Menu[],MATCH(F$1,Menu[#Headers],0),FALSE),"CHECK")</f>
        <v>Hot Meal</v>
      </c>
      <c r="G746" s="7">
        <f>IFERROR(INT(VLOOKUP($A746,Orders[],MATCH("OrderDateTime",Orders[#Headers],0),FALSE)),"CHECK")</f>
        <v>45894</v>
      </c>
      <c r="H746" s="7" t="str">
        <f>IFERROR(VLOOKUP($A746,Orders[],MATCH(H$1,Orders[#Headers],0),FALSE),"CHECK")</f>
        <v>Head Office Café</v>
      </c>
      <c r="I746">
        <f>IFERROR(VLOOKUP(OrderLines[[#This Row],[OrderID]],Orders[],MATCH(OrderLines[[#Headers],[DiscountPct]],Orders[#Headers],0),FALSE),"CHECK")</f>
        <v>0.08</v>
      </c>
      <c r="J746" t="str">
        <f>IFERROR(VLOOKUP(OrderLines[[#This Row],[OrderID]],Orders[],MATCH(OrderLines[[#Headers],[Shift]],Orders[#Headers],0),FALSE),"CHECK")</f>
        <v>Breakfast</v>
      </c>
      <c r="K746" s="11">
        <f>OrderLines[[#This Row],[Qty]] * OrderLines[[#This Row],[UnitPrice]] * (1-OrderLines[[#This Row],[DiscountPct]])</f>
        <v>134.68800000000002</v>
      </c>
      <c r="L746">
        <f>OrderLines[[#This Row],[Qty]]*OrderLines[[#This Row],[UnitCost]]</f>
        <v>80.92</v>
      </c>
    </row>
    <row r="747" spans="1:12" x14ac:dyDescent="0.25">
      <c r="A747" t="s">
        <v>324</v>
      </c>
      <c r="B747" t="s">
        <v>415</v>
      </c>
      <c r="C747">
        <v>1</v>
      </c>
      <c r="D747" s="9">
        <f>IFERROR(VLOOKUP($B747,Menu[],MATCH(D$1,Menu[#Headers],0),FALSE),"CHECK")</f>
        <v>256.91000000000003</v>
      </c>
      <c r="E747" s="9">
        <f>IFERROR(VLOOKUP($B747,Menu[],MATCH(E$1,Menu[#Headers],0),FALSE),"CHECK")</f>
        <v>121.24</v>
      </c>
      <c r="F747" t="str">
        <f>IFERROR(VLOOKUP($B747,Menu[],MATCH(F$1,Menu[#Headers],0),FALSE),"CHECK")</f>
        <v>Hot Meal</v>
      </c>
      <c r="G747" s="7">
        <f>IFERROR(INT(VLOOKUP($A747,Orders[],MATCH("OrderDateTime",Orders[#Headers],0),FALSE)),"CHECK")</f>
        <v>45894</v>
      </c>
      <c r="H747" s="7" t="str">
        <f>IFERROR(VLOOKUP($A747,Orders[],MATCH(H$1,Orders[#Headers],0),FALSE),"CHECK")</f>
        <v>Head Office Café</v>
      </c>
      <c r="I747">
        <f>IFERROR(VLOOKUP(OrderLines[[#This Row],[OrderID]],Orders[],MATCH(OrderLines[[#Headers],[DiscountPct]],Orders[#Headers],0),FALSE),"CHECK")</f>
        <v>0.08</v>
      </c>
      <c r="J747" t="str">
        <f>IFERROR(VLOOKUP(OrderLines[[#This Row],[OrderID]],Orders[],MATCH(OrderLines[[#Headers],[Shift]],Orders[#Headers],0),FALSE),"CHECK")</f>
        <v>Breakfast</v>
      </c>
      <c r="K747" s="11">
        <f>OrderLines[[#This Row],[Qty]] * OrderLines[[#This Row],[UnitPrice]] * (1-OrderLines[[#This Row],[DiscountPct]])</f>
        <v>236.35720000000003</v>
      </c>
      <c r="L747">
        <f>OrderLines[[#This Row],[Qty]]*OrderLines[[#This Row],[UnitCost]]</f>
        <v>121.24</v>
      </c>
    </row>
    <row r="748" spans="1:12" x14ac:dyDescent="0.25">
      <c r="A748" t="s">
        <v>325</v>
      </c>
      <c r="B748" t="s">
        <v>405</v>
      </c>
      <c r="C748">
        <v>1</v>
      </c>
      <c r="D748" s="9">
        <f>IFERROR(VLOOKUP($B748,Menu[],MATCH(D$1,Menu[#Headers],0),FALSE),"CHECK")</f>
        <v>170.83</v>
      </c>
      <c r="E748" s="9">
        <f>IFERROR(VLOOKUP($B748,Menu[],MATCH(E$1,Menu[#Headers],0),FALSE),"CHECK")</f>
        <v>74.069999999999993</v>
      </c>
      <c r="F748" t="str">
        <f>IFERROR(VLOOKUP($B748,Menu[],MATCH(F$1,Menu[#Headers],0),FALSE),"CHECK")</f>
        <v>Hot Meal</v>
      </c>
      <c r="G748" s="7">
        <f>IFERROR(INT(VLOOKUP($A748,Orders[],MATCH("OrderDateTime",Orders[#Headers],0),FALSE)),"CHECK")</f>
        <v>45869</v>
      </c>
      <c r="H748" s="7" t="str">
        <f>IFERROR(VLOOKUP($A748,Orders[],MATCH(H$1,Orders[#Headers],0),FALSE),"CHECK")</f>
        <v>Plant 1 Canteen</v>
      </c>
      <c r="I748">
        <f>IFERROR(VLOOKUP(OrderLines[[#This Row],[OrderID]],Orders[],MATCH(OrderLines[[#Headers],[DiscountPct]],Orders[#Headers],0),FALSE),"CHECK")</f>
        <v>0.09</v>
      </c>
      <c r="J748" t="str">
        <f>IFERROR(VLOOKUP(OrderLines[[#This Row],[OrderID]],Orders[],MATCH(OrderLines[[#Headers],[Shift]],Orders[#Headers],0),FALSE),"CHECK")</f>
        <v>Dinner</v>
      </c>
      <c r="K748" s="11">
        <f>OrderLines[[#This Row],[Qty]] * OrderLines[[#This Row],[UnitPrice]] * (1-OrderLines[[#This Row],[DiscountPct]])</f>
        <v>155.45530000000002</v>
      </c>
      <c r="L748">
        <f>OrderLines[[#This Row],[Qty]]*OrderLines[[#This Row],[UnitCost]]</f>
        <v>74.069999999999993</v>
      </c>
    </row>
    <row r="749" spans="1:12" x14ac:dyDescent="0.25">
      <c r="A749" t="s">
        <v>325</v>
      </c>
      <c r="B749" t="s">
        <v>401</v>
      </c>
      <c r="C749">
        <v>2</v>
      </c>
      <c r="D749" s="9">
        <f>IFERROR(VLOOKUP($B749,Menu[],MATCH(D$1,Menu[#Headers],0),FALSE),"CHECK")</f>
        <v>52.45</v>
      </c>
      <c r="E749" s="9">
        <f>IFERROR(VLOOKUP($B749,Menu[],MATCH(E$1,Menu[#Headers],0),FALSE),"CHECK")</f>
        <v>25.8</v>
      </c>
      <c r="F749" t="str">
        <f>IFERROR(VLOOKUP($B749,Menu[],MATCH(F$1,Menu[#Headers],0),FALSE),"CHECK")</f>
        <v>Snack</v>
      </c>
      <c r="G749" s="7">
        <f>IFERROR(INT(VLOOKUP($A749,Orders[],MATCH("OrderDateTime",Orders[#Headers],0),FALSE)),"CHECK")</f>
        <v>45869</v>
      </c>
      <c r="H749" s="7" t="str">
        <f>IFERROR(VLOOKUP($A749,Orders[],MATCH(H$1,Orders[#Headers],0),FALSE),"CHECK")</f>
        <v>Plant 1 Canteen</v>
      </c>
      <c r="I749">
        <f>IFERROR(VLOOKUP(OrderLines[[#This Row],[OrderID]],Orders[],MATCH(OrderLines[[#Headers],[DiscountPct]],Orders[#Headers],0),FALSE),"CHECK")</f>
        <v>0.09</v>
      </c>
      <c r="J749" t="str">
        <f>IFERROR(VLOOKUP(OrderLines[[#This Row],[OrderID]],Orders[],MATCH(OrderLines[[#Headers],[Shift]],Orders[#Headers],0),FALSE),"CHECK")</f>
        <v>Dinner</v>
      </c>
      <c r="K749" s="11">
        <f>OrderLines[[#This Row],[Qty]] * OrderLines[[#This Row],[UnitPrice]] * (1-OrderLines[[#This Row],[DiscountPct]])</f>
        <v>95.459000000000003</v>
      </c>
      <c r="L749">
        <f>OrderLines[[#This Row],[Qty]]*OrderLines[[#This Row],[UnitCost]]</f>
        <v>51.6</v>
      </c>
    </row>
    <row r="750" spans="1:12" x14ac:dyDescent="0.25">
      <c r="A750" t="s">
        <v>325</v>
      </c>
      <c r="B750" t="s">
        <v>411</v>
      </c>
      <c r="C750">
        <v>2</v>
      </c>
      <c r="D750" s="9">
        <f>IFERROR(VLOOKUP($B750,Menu[],MATCH(D$1,Menu[#Headers],0),FALSE),"CHECK")</f>
        <v>22.2</v>
      </c>
      <c r="E750" s="9">
        <f>IFERROR(VLOOKUP($B750,Menu[],MATCH(E$1,Menu[#Headers],0),FALSE),"CHECK")</f>
        <v>9.3800000000000008</v>
      </c>
      <c r="F750" t="str">
        <f>IFERROR(VLOOKUP($B750,Menu[],MATCH(F$1,Menu[#Headers],0),FALSE),"CHECK")</f>
        <v>Beverage</v>
      </c>
      <c r="G750" s="7">
        <f>IFERROR(INT(VLOOKUP($A750,Orders[],MATCH("OrderDateTime",Orders[#Headers],0),FALSE)),"CHECK")</f>
        <v>45869</v>
      </c>
      <c r="H750" s="7" t="str">
        <f>IFERROR(VLOOKUP($A750,Orders[],MATCH(H$1,Orders[#Headers],0),FALSE),"CHECK")</f>
        <v>Plant 1 Canteen</v>
      </c>
      <c r="I750">
        <f>IFERROR(VLOOKUP(OrderLines[[#This Row],[OrderID]],Orders[],MATCH(OrderLines[[#Headers],[DiscountPct]],Orders[#Headers],0),FALSE),"CHECK")</f>
        <v>0.09</v>
      </c>
      <c r="J750" t="str">
        <f>IFERROR(VLOOKUP(OrderLines[[#This Row],[OrderID]],Orders[],MATCH(OrderLines[[#Headers],[Shift]],Orders[#Headers],0),FALSE),"CHECK")</f>
        <v>Dinner</v>
      </c>
      <c r="K750" s="11">
        <f>OrderLines[[#This Row],[Qty]] * OrderLines[[#This Row],[UnitPrice]] * (1-OrderLines[[#This Row],[DiscountPct]])</f>
        <v>40.404000000000003</v>
      </c>
      <c r="L750">
        <f>OrderLines[[#This Row],[Qty]]*OrderLines[[#This Row],[UnitCost]]</f>
        <v>18.760000000000002</v>
      </c>
    </row>
    <row r="751" spans="1:12" x14ac:dyDescent="0.25">
      <c r="A751" t="s">
        <v>326</v>
      </c>
      <c r="B751" t="s">
        <v>408</v>
      </c>
      <c r="C751">
        <v>3</v>
      </c>
      <c r="D751" s="9">
        <f>IFERROR(VLOOKUP($B751,Menu[],MATCH(D$1,Menu[#Headers],0),FALSE),"CHECK")</f>
        <v>70.540000000000006</v>
      </c>
      <c r="E751" s="9">
        <f>IFERROR(VLOOKUP($B751,Menu[],MATCH(E$1,Menu[#Headers],0),FALSE),"CHECK")</f>
        <v>35.81</v>
      </c>
      <c r="F751" t="str">
        <f>IFERROR(VLOOKUP($B751,Menu[],MATCH(F$1,Menu[#Headers],0),FALSE),"CHECK")</f>
        <v>Snack</v>
      </c>
      <c r="G751" s="7">
        <f>IFERROR(INT(VLOOKUP($A751,Orders[],MATCH("OrderDateTime",Orders[#Headers],0),FALSE)),"CHECK")</f>
        <v>45882</v>
      </c>
      <c r="H751" s="7" t="str">
        <f>IFERROR(VLOOKUP($A751,Orders[],MATCH(H$1,Orders[#Headers],0),FALSE),"CHECK")</f>
        <v>Head Office Café</v>
      </c>
      <c r="I751">
        <f>IFERROR(VLOOKUP(OrderLines[[#This Row],[OrderID]],Orders[],MATCH(OrderLines[[#Headers],[DiscountPct]],Orders[#Headers],0),FALSE),"CHECK")</f>
        <v>0.06</v>
      </c>
      <c r="J751" t="str">
        <f>IFERROR(VLOOKUP(OrderLines[[#This Row],[OrderID]],Orders[],MATCH(OrderLines[[#Headers],[Shift]],Orders[#Headers],0),FALSE),"CHECK")</f>
        <v>Breakfast</v>
      </c>
      <c r="K751" s="11">
        <f>OrderLines[[#This Row],[Qty]] * OrderLines[[#This Row],[UnitPrice]] * (1-OrderLines[[#This Row],[DiscountPct]])</f>
        <v>198.9228</v>
      </c>
      <c r="L751">
        <f>OrderLines[[#This Row],[Qty]]*OrderLines[[#This Row],[UnitCost]]</f>
        <v>107.43</v>
      </c>
    </row>
    <row r="752" spans="1:12" x14ac:dyDescent="0.25">
      <c r="A752" t="s">
        <v>326</v>
      </c>
      <c r="B752" t="s">
        <v>410</v>
      </c>
      <c r="C752">
        <v>1</v>
      </c>
      <c r="D752" s="9">
        <f>IFERROR(VLOOKUP($B752,Menu[],MATCH(D$1,Menu[#Headers],0),FALSE),"CHECK")</f>
        <v>20.11</v>
      </c>
      <c r="E752" s="9">
        <f>IFERROR(VLOOKUP($B752,Menu[],MATCH(E$1,Menu[#Headers],0),FALSE),"CHECK")</f>
        <v>8</v>
      </c>
      <c r="F752" t="str">
        <f>IFERROR(VLOOKUP($B752,Menu[],MATCH(F$1,Menu[#Headers],0),FALSE),"CHECK")</f>
        <v>Beverage</v>
      </c>
      <c r="G752" s="7">
        <f>IFERROR(INT(VLOOKUP($A752,Orders[],MATCH("OrderDateTime",Orders[#Headers],0),FALSE)),"CHECK")</f>
        <v>45882</v>
      </c>
      <c r="H752" s="7" t="str">
        <f>IFERROR(VLOOKUP($A752,Orders[],MATCH(H$1,Orders[#Headers],0),FALSE),"CHECK")</f>
        <v>Head Office Café</v>
      </c>
      <c r="I752">
        <f>IFERROR(VLOOKUP(OrderLines[[#This Row],[OrderID]],Orders[],MATCH(OrderLines[[#Headers],[DiscountPct]],Orders[#Headers],0),FALSE),"CHECK")</f>
        <v>0.06</v>
      </c>
      <c r="J752" t="str">
        <f>IFERROR(VLOOKUP(OrderLines[[#This Row],[OrderID]],Orders[],MATCH(OrderLines[[#Headers],[Shift]],Orders[#Headers],0),FALSE),"CHECK")</f>
        <v>Breakfast</v>
      </c>
      <c r="K752" s="11">
        <f>OrderLines[[#This Row],[Qty]] * OrderLines[[#This Row],[UnitPrice]] * (1-OrderLines[[#This Row],[DiscountPct]])</f>
        <v>18.903399999999998</v>
      </c>
      <c r="L752">
        <f>OrderLines[[#This Row],[Qty]]*OrderLines[[#This Row],[UnitCost]]</f>
        <v>8</v>
      </c>
    </row>
    <row r="753" spans="1:12" x14ac:dyDescent="0.25">
      <c r="A753" t="s">
        <v>326</v>
      </c>
      <c r="B753" t="s">
        <v>403</v>
      </c>
      <c r="C753">
        <v>1</v>
      </c>
      <c r="D753" s="9">
        <f>IFERROR(VLOOKUP($B753,Menu[],MATCH(D$1,Menu[#Headers],0),FALSE),"CHECK")</f>
        <v>76.55</v>
      </c>
      <c r="E753" s="9">
        <f>IFERROR(VLOOKUP($B753,Menu[],MATCH(E$1,Menu[#Headers],0),FALSE),"CHECK")</f>
        <v>38.229999999999997</v>
      </c>
      <c r="F753" t="str">
        <f>IFERROR(VLOOKUP($B753,Menu[],MATCH(F$1,Menu[#Headers],0),FALSE),"CHECK")</f>
        <v>Dessert</v>
      </c>
      <c r="G753" s="7">
        <f>IFERROR(INT(VLOOKUP($A753,Orders[],MATCH("OrderDateTime",Orders[#Headers],0),FALSE)),"CHECK")</f>
        <v>45882</v>
      </c>
      <c r="H753" s="7" t="str">
        <f>IFERROR(VLOOKUP($A753,Orders[],MATCH(H$1,Orders[#Headers],0),FALSE),"CHECK")</f>
        <v>Head Office Café</v>
      </c>
      <c r="I753">
        <f>IFERROR(VLOOKUP(OrderLines[[#This Row],[OrderID]],Orders[],MATCH(OrderLines[[#Headers],[DiscountPct]],Orders[#Headers],0),FALSE),"CHECK")</f>
        <v>0.06</v>
      </c>
      <c r="J753" t="str">
        <f>IFERROR(VLOOKUP(OrderLines[[#This Row],[OrderID]],Orders[],MATCH(OrderLines[[#Headers],[Shift]],Orders[#Headers],0),FALSE),"CHECK")</f>
        <v>Breakfast</v>
      </c>
      <c r="K753" s="11">
        <f>OrderLines[[#This Row],[Qty]] * OrderLines[[#This Row],[UnitPrice]] * (1-OrderLines[[#This Row],[DiscountPct]])</f>
        <v>71.956999999999994</v>
      </c>
      <c r="L753">
        <f>OrderLines[[#This Row],[Qty]]*OrderLines[[#This Row],[UnitCost]]</f>
        <v>38.229999999999997</v>
      </c>
    </row>
    <row r="754" spans="1:12" x14ac:dyDescent="0.25">
      <c r="A754" t="s">
        <v>327</v>
      </c>
      <c r="B754" t="s">
        <v>404</v>
      </c>
      <c r="C754">
        <v>1</v>
      </c>
      <c r="D754" s="9">
        <f>IFERROR(VLOOKUP($B754,Menu[],MATCH(D$1,Menu[#Headers],0),FALSE),"CHECK")</f>
        <v>32.979999999999997</v>
      </c>
      <c r="E754" s="9">
        <f>IFERROR(VLOOKUP($B754,Menu[],MATCH(E$1,Menu[#Headers],0),FALSE),"CHECK")</f>
        <v>11.84</v>
      </c>
      <c r="F754" t="str">
        <f>IFERROR(VLOOKUP($B754,Menu[],MATCH(F$1,Menu[#Headers],0),FALSE),"CHECK")</f>
        <v>Beverage</v>
      </c>
      <c r="G754" s="7">
        <f>IFERROR(INT(VLOOKUP($A754,Orders[],MATCH("OrderDateTime",Orders[#Headers],0),FALSE)),"CHECK")</f>
        <v>45873</v>
      </c>
      <c r="H754" s="7" t="str">
        <f>IFERROR(VLOOKUP($A754,Orders[],MATCH(H$1,Orders[#Headers],0),FALSE),"CHECK")</f>
        <v>Head Office Café</v>
      </c>
      <c r="I754">
        <f>IFERROR(VLOOKUP(OrderLines[[#This Row],[OrderID]],Orders[],MATCH(OrderLines[[#Headers],[DiscountPct]],Orders[#Headers],0),FALSE),"CHECK")</f>
        <v>0.02</v>
      </c>
      <c r="J754" t="str">
        <f>IFERROR(VLOOKUP(OrderLines[[#This Row],[OrderID]],Orders[],MATCH(OrderLines[[#Headers],[Shift]],Orders[#Headers],0),FALSE),"CHECK")</f>
        <v>Breakfast</v>
      </c>
      <c r="K754" s="11">
        <f>OrderLines[[#This Row],[Qty]] * OrderLines[[#This Row],[UnitPrice]] * (1-OrderLines[[#This Row],[DiscountPct]])</f>
        <v>32.320399999999999</v>
      </c>
      <c r="L754">
        <f>OrderLines[[#This Row],[Qty]]*OrderLines[[#This Row],[UnitCost]]</f>
        <v>11.84</v>
      </c>
    </row>
    <row r="755" spans="1:12" x14ac:dyDescent="0.25">
      <c r="A755" t="s">
        <v>327</v>
      </c>
      <c r="B755" t="s">
        <v>410</v>
      </c>
      <c r="C755">
        <v>1</v>
      </c>
      <c r="D755" s="9">
        <f>IFERROR(VLOOKUP($B755,Menu[],MATCH(D$1,Menu[#Headers],0),FALSE),"CHECK")</f>
        <v>20.11</v>
      </c>
      <c r="E755" s="9">
        <f>IFERROR(VLOOKUP($B755,Menu[],MATCH(E$1,Menu[#Headers],0),FALSE),"CHECK")</f>
        <v>8</v>
      </c>
      <c r="F755" t="str">
        <f>IFERROR(VLOOKUP($B755,Menu[],MATCH(F$1,Menu[#Headers],0),FALSE),"CHECK")</f>
        <v>Beverage</v>
      </c>
      <c r="G755" s="7">
        <f>IFERROR(INT(VLOOKUP($A755,Orders[],MATCH("OrderDateTime",Orders[#Headers],0),FALSE)),"CHECK")</f>
        <v>45873</v>
      </c>
      <c r="H755" s="7" t="str">
        <f>IFERROR(VLOOKUP($A755,Orders[],MATCH(H$1,Orders[#Headers],0),FALSE),"CHECK")</f>
        <v>Head Office Café</v>
      </c>
      <c r="I755">
        <f>IFERROR(VLOOKUP(OrderLines[[#This Row],[OrderID]],Orders[],MATCH(OrderLines[[#Headers],[DiscountPct]],Orders[#Headers],0),FALSE),"CHECK")</f>
        <v>0.02</v>
      </c>
      <c r="J755" t="str">
        <f>IFERROR(VLOOKUP(OrderLines[[#This Row],[OrderID]],Orders[],MATCH(OrderLines[[#Headers],[Shift]],Orders[#Headers],0),FALSE),"CHECK")</f>
        <v>Breakfast</v>
      </c>
      <c r="K755" s="11">
        <f>OrderLines[[#This Row],[Qty]] * OrderLines[[#This Row],[UnitPrice]] * (1-OrderLines[[#This Row],[DiscountPct]])</f>
        <v>19.707799999999999</v>
      </c>
      <c r="L755">
        <f>OrderLines[[#This Row],[Qty]]*OrderLines[[#This Row],[UnitCost]]</f>
        <v>8</v>
      </c>
    </row>
    <row r="756" spans="1:12" x14ac:dyDescent="0.25">
      <c r="A756" t="s">
        <v>328</v>
      </c>
      <c r="B756" t="s">
        <v>415</v>
      </c>
      <c r="C756">
        <v>2</v>
      </c>
      <c r="D756" s="9">
        <f>IFERROR(VLOOKUP($B756,Menu[],MATCH(D$1,Menu[#Headers],0),FALSE),"CHECK")</f>
        <v>256.91000000000003</v>
      </c>
      <c r="E756" s="9">
        <f>IFERROR(VLOOKUP($B756,Menu[],MATCH(E$1,Menu[#Headers],0),FALSE),"CHECK")</f>
        <v>121.24</v>
      </c>
      <c r="F756" t="str">
        <f>IFERROR(VLOOKUP($B756,Menu[],MATCH(F$1,Menu[#Headers],0),FALSE),"CHECK")</f>
        <v>Hot Meal</v>
      </c>
      <c r="G756" s="7">
        <f>IFERROR(INT(VLOOKUP($A756,Orders[],MATCH("OrderDateTime",Orders[#Headers],0),FALSE)),"CHECK")</f>
        <v>45883</v>
      </c>
      <c r="H756" s="7" t="str">
        <f>IFERROR(VLOOKUP($A756,Orders[],MATCH(H$1,Orders[#Headers],0),FALSE),"CHECK")</f>
        <v>Plant 1 Canteen</v>
      </c>
      <c r="I756">
        <f>IFERROR(VLOOKUP(OrderLines[[#This Row],[OrderID]],Orders[],MATCH(OrderLines[[#Headers],[DiscountPct]],Orders[#Headers],0),FALSE),"CHECK")</f>
        <v>0.06</v>
      </c>
      <c r="J756" t="str">
        <f>IFERROR(VLOOKUP(OrderLines[[#This Row],[OrderID]],Orders[],MATCH(OrderLines[[#Headers],[Shift]],Orders[#Headers],0),FALSE),"CHECK")</f>
        <v>Breakfast</v>
      </c>
      <c r="K756" s="11">
        <f>OrderLines[[#This Row],[Qty]] * OrderLines[[#This Row],[UnitPrice]] * (1-OrderLines[[#This Row],[DiscountPct]])</f>
        <v>482.99080000000004</v>
      </c>
      <c r="L756">
        <f>OrderLines[[#This Row],[Qty]]*OrderLines[[#This Row],[UnitCost]]</f>
        <v>242.48</v>
      </c>
    </row>
    <row r="757" spans="1:12" x14ac:dyDescent="0.25">
      <c r="A757" t="s">
        <v>329</v>
      </c>
      <c r="B757" t="s">
        <v>410</v>
      </c>
      <c r="C757">
        <v>1</v>
      </c>
      <c r="D757" s="9">
        <f>IFERROR(VLOOKUP($B757,Menu[],MATCH(D$1,Menu[#Headers],0),FALSE),"CHECK")</f>
        <v>20.11</v>
      </c>
      <c r="E757" s="9">
        <f>IFERROR(VLOOKUP($B757,Menu[],MATCH(E$1,Menu[#Headers],0),FALSE),"CHECK")</f>
        <v>8</v>
      </c>
      <c r="F757" t="str">
        <f>IFERROR(VLOOKUP($B757,Menu[],MATCH(F$1,Menu[#Headers],0),FALSE),"CHECK")</f>
        <v>Beverage</v>
      </c>
      <c r="G757" s="7">
        <f>IFERROR(INT(VLOOKUP($A757,Orders[],MATCH("OrderDateTime",Orders[#Headers],0),FALSE)),"CHECK")</f>
        <v>45846</v>
      </c>
      <c r="H757" s="7" t="str">
        <f>IFERROR(VLOOKUP($A757,Orders[],MATCH(H$1,Orders[#Headers],0),FALSE),"CHECK")</f>
        <v>Head Office Café</v>
      </c>
      <c r="I757">
        <f>IFERROR(VLOOKUP(OrderLines[[#This Row],[OrderID]],Orders[],MATCH(OrderLines[[#Headers],[DiscountPct]],Orders[#Headers],0),FALSE),"CHECK")</f>
        <v>0.03</v>
      </c>
      <c r="J757" t="str">
        <f>IFERROR(VLOOKUP(OrderLines[[#This Row],[OrderID]],Orders[],MATCH(OrderLines[[#Headers],[Shift]],Orders[#Headers],0),FALSE),"CHECK")</f>
        <v>Dinner</v>
      </c>
      <c r="K757" s="11">
        <f>OrderLines[[#This Row],[Qty]] * OrderLines[[#This Row],[UnitPrice]] * (1-OrderLines[[#This Row],[DiscountPct]])</f>
        <v>19.506699999999999</v>
      </c>
      <c r="L757">
        <f>OrderLines[[#This Row],[Qty]]*OrderLines[[#This Row],[UnitCost]]</f>
        <v>8</v>
      </c>
    </row>
    <row r="758" spans="1:12" x14ac:dyDescent="0.25">
      <c r="A758" t="s">
        <v>329</v>
      </c>
      <c r="B758" t="s">
        <v>402</v>
      </c>
      <c r="C758">
        <v>2</v>
      </c>
      <c r="D758" s="9">
        <f>IFERROR(VLOOKUP($B758,Menu[],MATCH(D$1,Menu[#Headers],0),FALSE),"CHECK")</f>
        <v>30.34</v>
      </c>
      <c r="E758" s="9">
        <f>IFERROR(VLOOKUP($B758,Menu[],MATCH(E$1,Menu[#Headers],0),FALSE),"CHECK")</f>
        <v>14.18</v>
      </c>
      <c r="F758" t="str">
        <f>IFERROR(VLOOKUP($B758,Menu[],MATCH(F$1,Menu[#Headers],0),FALSE),"CHECK")</f>
        <v>Beverage</v>
      </c>
      <c r="G758" s="7">
        <f>IFERROR(INT(VLOOKUP($A758,Orders[],MATCH("OrderDateTime",Orders[#Headers],0),FALSE)),"CHECK")</f>
        <v>45846</v>
      </c>
      <c r="H758" s="7" t="str">
        <f>IFERROR(VLOOKUP($A758,Orders[],MATCH(H$1,Orders[#Headers],0),FALSE),"CHECK")</f>
        <v>Head Office Café</v>
      </c>
      <c r="I758">
        <f>IFERROR(VLOOKUP(OrderLines[[#This Row],[OrderID]],Orders[],MATCH(OrderLines[[#Headers],[DiscountPct]],Orders[#Headers],0),FALSE),"CHECK")</f>
        <v>0.03</v>
      </c>
      <c r="J758" t="str">
        <f>IFERROR(VLOOKUP(OrderLines[[#This Row],[OrderID]],Orders[],MATCH(OrderLines[[#Headers],[Shift]],Orders[#Headers],0),FALSE),"CHECK")</f>
        <v>Dinner</v>
      </c>
      <c r="K758" s="11">
        <f>OrderLines[[#This Row],[Qty]] * OrderLines[[#This Row],[UnitPrice]] * (1-OrderLines[[#This Row],[DiscountPct]])</f>
        <v>58.8596</v>
      </c>
      <c r="L758">
        <f>OrderLines[[#This Row],[Qty]]*OrderLines[[#This Row],[UnitCost]]</f>
        <v>28.36</v>
      </c>
    </row>
    <row r="759" spans="1:12" x14ac:dyDescent="0.25">
      <c r="A759" t="s">
        <v>330</v>
      </c>
      <c r="B759" t="s">
        <v>416</v>
      </c>
      <c r="C759">
        <v>2</v>
      </c>
      <c r="D759" s="9">
        <f>IFERROR(VLOOKUP($B759,Menu[],MATCH(D$1,Menu[#Headers],0),FALSE),"CHECK")</f>
        <v>227.61</v>
      </c>
      <c r="E759" s="9">
        <f>IFERROR(VLOOKUP($B759,Menu[],MATCH(E$1,Menu[#Headers],0),FALSE),"CHECK")</f>
        <v>96.22</v>
      </c>
      <c r="F759" t="str">
        <f>IFERROR(VLOOKUP($B759,Menu[],MATCH(F$1,Menu[#Headers],0),FALSE),"CHECK")</f>
        <v>Hot Meal</v>
      </c>
      <c r="G759" s="7">
        <f>IFERROR(INT(VLOOKUP($A759,Orders[],MATCH("OrderDateTime",Orders[#Headers],0),FALSE)),"CHECK")</f>
        <v>45876</v>
      </c>
      <c r="H759" s="7" t="str">
        <f>IFERROR(VLOOKUP($A759,Orders[],MATCH(H$1,Orders[#Headers],0),FALSE),"CHECK")</f>
        <v>Plant 2 Canteen</v>
      </c>
      <c r="I759">
        <f>IFERROR(VLOOKUP(OrderLines[[#This Row],[OrderID]],Orders[],MATCH(OrderLines[[#Headers],[DiscountPct]],Orders[#Headers],0),FALSE),"CHECK")</f>
        <v>0.1</v>
      </c>
      <c r="J759" t="str">
        <f>IFERROR(VLOOKUP(OrderLines[[#This Row],[OrderID]],Orders[],MATCH(OrderLines[[#Headers],[Shift]],Orders[#Headers],0),FALSE),"CHECK")</f>
        <v>Lunch</v>
      </c>
      <c r="K759" s="11">
        <f>OrderLines[[#This Row],[Qty]] * OrderLines[[#This Row],[UnitPrice]] * (1-OrderLines[[#This Row],[DiscountPct]])</f>
        <v>409.69800000000004</v>
      </c>
      <c r="L759">
        <f>OrderLines[[#This Row],[Qty]]*OrderLines[[#This Row],[UnitCost]]</f>
        <v>192.44</v>
      </c>
    </row>
    <row r="760" spans="1:12" x14ac:dyDescent="0.25">
      <c r="A760" t="s">
        <v>330</v>
      </c>
      <c r="B760" t="s">
        <v>402</v>
      </c>
      <c r="C760">
        <v>2</v>
      </c>
      <c r="D760" s="9">
        <f>IFERROR(VLOOKUP($B760,Menu[],MATCH(D$1,Menu[#Headers],0),FALSE),"CHECK")</f>
        <v>30.34</v>
      </c>
      <c r="E760" s="9">
        <f>IFERROR(VLOOKUP($B760,Menu[],MATCH(E$1,Menu[#Headers],0),FALSE),"CHECK")</f>
        <v>14.18</v>
      </c>
      <c r="F760" t="str">
        <f>IFERROR(VLOOKUP($B760,Menu[],MATCH(F$1,Menu[#Headers],0),FALSE),"CHECK")</f>
        <v>Beverage</v>
      </c>
      <c r="G760" s="7">
        <f>IFERROR(INT(VLOOKUP($A760,Orders[],MATCH("OrderDateTime",Orders[#Headers],0),FALSE)),"CHECK")</f>
        <v>45876</v>
      </c>
      <c r="H760" s="7" t="str">
        <f>IFERROR(VLOOKUP($A760,Orders[],MATCH(H$1,Orders[#Headers],0),FALSE),"CHECK")</f>
        <v>Plant 2 Canteen</v>
      </c>
      <c r="I760">
        <f>IFERROR(VLOOKUP(OrderLines[[#This Row],[OrderID]],Orders[],MATCH(OrderLines[[#Headers],[DiscountPct]],Orders[#Headers],0),FALSE),"CHECK")</f>
        <v>0.1</v>
      </c>
      <c r="J760" t="str">
        <f>IFERROR(VLOOKUP(OrderLines[[#This Row],[OrderID]],Orders[],MATCH(OrderLines[[#Headers],[Shift]],Orders[#Headers],0),FALSE),"CHECK")</f>
        <v>Lunch</v>
      </c>
      <c r="K760" s="11">
        <f>OrderLines[[#This Row],[Qty]] * OrderLines[[#This Row],[UnitPrice]] * (1-OrderLines[[#This Row],[DiscountPct]])</f>
        <v>54.612000000000002</v>
      </c>
      <c r="L760">
        <f>OrderLines[[#This Row],[Qty]]*OrderLines[[#This Row],[UnitCost]]</f>
        <v>28.36</v>
      </c>
    </row>
    <row r="761" spans="1:12" x14ac:dyDescent="0.25">
      <c r="A761" t="s">
        <v>331</v>
      </c>
      <c r="B761" t="s">
        <v>409</v>
      </c>
      <c r="C761">
        <v>2</v>
      </c>
      <c r="D761" s="9">
        <f>IFERROR(VLOOKUP($B761,Menu[],MATCH(D$1,Menu[#Headers],0),FALSE),"CHECK")</f>
        <v>28.43</v>
      </c>
      <c r="E761" s="9">
        <f>IFERROR(VLOOKUP($B761,Menu[],MATCH(E$1,Menu[#Headers],0),FALSE),"CHECK")</f>
        <v>13.89</v>
      </c>
      <c r="F761" t="str">
        <f>IFERROR(VLOOKUP($B761,Menu[],MATCH(F$1,Menu[#Headers],0),FALSE),"CHECK")</f>
        <v>Beverage</v>
      </c>
      <c r="G761" s="7">
        <f>IFERROR(INT(VLOOKUP($A761,Orders[],MATCH("OrderDateTime",Orders[#Headers],0),FALSE)),"CHECK")</f>
        <v>45882</v>
      </c>
      <c r="H761" s="7" t="str">
        <f>IFERROR(VLOOKUP($A761,Orders[],MATCH(H$1,Orders[#Headers],0),FALSE),"CHECK")</f>
        <v>Head Office Café</v>
      </c>
      <c r="I761">
        <f>IFERROR(VLOOKUP(OrderLines[[#This Row],[OrderID]],Orders[],MATCH(OrderLines[[#Headers],[DiscountPct]],Orders[#Headers],0),FALSE),"CHECK")</f>
        <v>0.05</v>
      </c>
      <c r="J761" t="str">
        <f>IFERROR(VLOOKUP(OrderLines[[#This Row],[OrderID]],Orders[],MATCH(OrderLines[[#Headers],[Shift]],Orders[#Headers],0),FALSE),"CHECK")</f>
        <v>Dinner</v>
      </c>
      <c r="K761" s="11">
        <f>OrderLines[[#This Row],[Qty]] * OrderLines[[#This Row],[UnitPrice]] * (1-OrderLines[[#This Row],[DiscountPct]])</f>
        <v>54.016999999999996</v>
      </c>
      <c r="L761">
        <f>OrderLines[[#This Row],[Qty]]*OrderLines[[#This Row],[UnitCost]]</f>
        <v>27.78</v>
      </c>
    </row>
    <row r="762" spans="1:12" x14ac:dyDescent="0.25">
      <c r="A762" t="s">
        <v>332</v>
      </c>
      <c r="B762" t="s">
        <v>412</v>
      </c>
      <c r="C762">
        <v>1</v>
      </c>
      <c r="D762" s="9">
        <f>IFERROR(VLOOKUP($B762,Menu[],MATCH(D$1,Menu[#Headers],0),FALSE),"CHECK")</f>
        <v>57.07</v>
      </c>
      <c r="E762" s="9">
        <f>IFERROR(VLOOKUP($B762,Menu[],MATCH(E$1,Menu[#Headers],0),FALSE),"CHECK")</f>
        <v>29.14</v>
      </c>
      <c r="F762" t="str">
        <f>IFERROR(VLOOKUP($B762,Menu[],MATCH(F$1,Menu[#Headers],0),FALSE),"CHECK")</f>
        <v>Dessert</v>
      </c>
      <c r="G762" s="7">
        <f>IFERROR(INT(VLOOKUP($A762,Orders[],MATCH("OrderDateTime",Orders[#Headers],0),FALSE)),"CHECK")</f>
        <v>45897</v>
      </c>
      <c r="H762" s="7" t="str">
        <f>IFERROR(VLOOKUP($A762,Orders[],MATCH(H$1,Orders[#Headers],0),FALSE),"CHECK")</f>
        <v>Plant 2 Canteen</v>
      </c>
      <c r="I762">
        <f>IFERROR(VLOOKUP(OrderLines[[#This Row],[OrderID]],Orders[],MATCH(OrderLines[[#Headers],[DiscountPct]],Orders[#Headers],0),FALSE),"CHECK")</f>
        <v>0.03</v>
      </c>
      <c r="J762" t="str">
        <f>IFERROR(VLOOKUP(OrderLines[[#This Row],[OrderID]],Orders[],MATCH(OrderLines[[#Headers],[Shift]],Orders[#Headers],0),FALSE),"CHECK")</f>
        <v>Dinner</v>
      </c>
      <c r="K762" s="11">
        <f>OrderLines[[#This Row],[Qty]] * OrderLines[[#This Row],[UnitPrice]] * (1-OrderLines[[#This Row],[DiscountPct]])</f>
        <v>55.357900000000001</v>
      </c>
      <c r="L762">
        <f>OrderLines[[#This Row],[Qty]]*OrderLines[[#This Row],[UnitCost]]</f>
        <v>29.14</v>
      </c>
    </row>
    <row r="763" spans="1:12" x14ac:dyDescent="0.25">
      <c r="A763" t="s">
        <v>332</v>
      </c>
      <c r="B763" t="s">
        <v>411</v>
      </c>
      <c r="C763">
        <v>1</v>
      </c>
      <c r="D763" s="9">
        <f>IFERROR(VLOOKUP($B763,Menu[],MATCH(D$1,Menu[#Headers],0),FALSE),"CHECK")</f>
        <v>22.2</v>
      </c>
      <c r="E763" s="9">
        <f>IFERROR(VLOOKUP($B763,Menu[],MATCH(E$1,Menu[#Headers],0),FALSE),"CHECK")</f>
        <v>9.3800000000000008</v>
      </c>
      <c r="F763" t="str">
        <f>IFERROR(VLOOKUP($B763,Menu[],MATCH(F$1,Menu[#Headers],0),FALSE),"CHECK")</f>
        <v>Beverage</v>
      </c>
      <c r="G763" s="7">
        <f>IFERROR(INT(VLOOKUP($A763,Orders[],MATCH("OrderDateTime",Orders[#Headers],0),FALSE)),"CHECK")</f>
        <v>45897</v>
      </c>
      <c r="H763" s="7" t="str">
        <f>IFERROR(VLOOKUP($A763,Orders[],MATCH(H$1,Orders[#Headers],0),FALSE),"CHECK")</f>
        <v>Plant 2 Canteen</v>
      </c>
      <c r="I763">
        <f>IFERROR(VLOOKUP(OrderLines[[#This Row],[OrderID]],Orders[],MATCH(OrderLines[[#Headers],[DiscountPct]],Orders[#Headers],0),FALSE),"CHECK")</f>
        <v>0.03</v>
      </c>
      <c r="J763" t="str">
        <f>IFERROR(VLOOKUP(OrderLines[[#This Row],[OrderID]],Orders[],MATCH(OrderLines[[#Headers],[Shift]],Orders[#Headers],0),FALSE),"CHECK")</f>
        <v>Dinner</v>
      </c>
      <c r="K763" s="11">
        <f>OrderLines[[#This Row],[Qty]] * OrderLines[[#This Row],[UnitPrice]] * (1-OrderLines[[#This Row],[DiscountPct]])</f>
        <v>21.533999999999999</v>
      </c>
      <c r="L763">
        <f>OrderLines[[#This Row],[Qty]]*OrderLines[[#This Row],[UnitCost]]</f>
        <v>9.3800000000000008</v>
      </c>
    </row>
    <row r="764" spans="1:12" x14ac:dyDescent="0.25">
      <c r="A764" t="s">
        <v>333</v>
      </c>
      <c r="B764" t="s">
        <v>419</v>
      </c>
      <c r="C764">
        <v>1</v>
      </c>
      <c r="D764" s="9">
        <f>IFERROR(VLOOKUP($B764,Menu[],MATCH(D$1,Menu[#Headers],0),FALSE),"CHECK")</f>
        <v>50.19</v>
      </c>
      <c r="E764" s="9">
        <f>IFERROR(VLOOKUP($B764,Menu[],MATCH(E$1,Menu[#Headers],0),FALSE),"CHECK")</f>
        <v>22.61</v>
      </c>
      <c r="F764" t="str">
        <f>IFERROR(VLOOKUP($B764,Menu[],MATCH(F$1,Menu[#Headers],0),FALSE),"CHECK")</f>
        <v>Snack</v>
      </c>
      <c r="G764" s="7">
        <f>IFERROR(INT(VLOOKUP($A764,Orders[],MATCH("OrderDateTime",Orders[#Headers],0),FALSE)),"CHECK")</f>
        <v>45882</v>
      </c>
      <c r="H764" s="7" t="str">
        <f>IFERROR(VLOOKUP($A764,Orders[],MATCH(H$1,Orders[#Headers],0),FALSE),"CHECK")</f>
        <v>Plant 1 Canteen</v>
      </c>
      <c r="I764">
        <f>IFERROR(VLOOKUP(OrderLines[[#This Row],[OrderID]],Orders[],MATCH(OrderLines[[#Headers],[DiscountPct]],Orders[#Headers],0),FALSE),"CHECK")</f>
        <v>0.05</v>
      </c>
      <c r="J764" t="str">
        <f>IFERROR(VLOOKUP(OrderLines[[#This Row],[OrderID]],Orders[],MATCH(OrderLines[[#Headers],[Shift]],Orders[#Headers],0),FALSE),"CHECK")</f>
        <v>Dinner</v>
      </c>
      <c r="K764" s="11">
        <f>OrderLines[[#This Row],[Qty]] * OrderLines[[#This Row],[UnitPrice]] * (1-OrderLines[[#This Row],[DiscountPct]])</f>
        <v>47.680499999999995</v>
      </c>
      <c r="L764">
        <f>OrderLines[[#This Row],[Qty]]*OrderLines[[#This Row],[UnitCost]]</f>
        <v>22.61</v>
      </c>
    </row>
    <row r="765" spans="1:12" x14ac:dyDescent="0.25">
      <c r="A765" t="s">
        <v>333</v>
      </c>
      <c r="B765" t="s">
        <v>418</v>
      </c>
      <c r="C765">
        <v>3</v>
      </c>
      <c r="D765" s="9">
        <f>IFERROR(VLOOKUP($B765,Menu[],MATCH(D$1,Menu[#Headers],0),FALSE),"CHECK")</f>
        <v>39.950000000000003</v>
      </c>
      <c r="E765" s="9">
        <f>IFERROR(VLOOKUP($B765,Menu[],MATCH(E$1,Menu[#Headers],0),FALSE),"CHECK")</f>
        <v>15.51</v>
      </c>
      <c r="F765" t="str">
        <f>IFERROR(VLOOKUP($B765,Menu[],MATCH(F$1,Menu[#Headers],0),FALSE),"CHECK")</f>
        <v>Snack</v>
      </c>
      <c r="G765" s="7">
        <f>IFERROR(INT(VLOOKUP($A765,Orders[],MATCH("OrderDateTime",Orders[#Headers],0),FALSE)),"CHECK")</f>
        <v>45882</v>
      </c>
      <c r="H765" s="7" t="str">
        <f>IFERROR(VLOOKUP($A765,Orders[],MATCH(H$1,Orders[#Headers],0),FALSE),"CHECK")</f>
        <v>Plant 1 Canteen</v>
      </c>
      <c r="I765">
        <f>IFERROR(VLOOKUP(OrderLines[[#This Row],[OrderID]],Orders[],MATCH(OrderLines[[#Headers],[DiscountPct]],Orders[#Headers],0),FALSE),"CHECK")</f>
        <v>0.05</v>
      </c>
      <c r="J765" t="str">
        <f>IFERROR(VLOOKUP(OrderLines[[#This Row],[OrderID]],Orders[],MATCH(OrderLines[[#Headers],[Shift]],Orders[#Headers],0),FALSE),"CHECK")</f>
        <v>Dinner</v>
      </c>
      <c r="K765" s="11">
        <f>OrderLines[[#This Row],[Qty]] * OrderLines[[#This Row],[UnitPrice]] * (1-OrderLines[[#This Row],[DiscountPct]])</f>
        <v>113.8575</v>
      </c>
      <c r="L765">
        <f>OrderLines[[#This Row],[Qty]]*OrderLines[[#This Row],[UnitCost]]</f>
        <v>46.53</v>
      </c>
    </row>
    <row r="766" spans="1:12" x14ac:dyDescent="0.25">
      <c r="A766" t="s">
        <v>334</v>
      </c>
      <c r="B766" t="s">
        <v>408</v>
      </c>
      <c r="C766">
        <v>3</v>
      </c>
      <c r="D766" s="9">
        <f>IFERROR(VLOOKUP($B766,Menu[],MATCH(D$1,Menu[#Headers],0),FALSE),"CHECK")</f>
        <v>70.540000000000006</v>
      </c>
      <c r="E766" s="9">
        <f>IFERROR(VLOOKUP($B766,Menu[],MATCH(E$1,Menu[#Headers],0),FALSE),"CHECK")</f>
        <v>35.81</v>
      </c>
      <c r="F766" t="str">
        <f>IFERROR(VLOOKUP($B766,Menu[],MATCH(F$1,Menu[#Headers],0),FALSE),"CHECK")</f>
        <v>Snack</v>
      </c>
      <c r="G766" s="7">
        <f>IFERROR(INT(VLOOKUP($A766,Orders[],MATCH("OrderDateTime",Orders[#Headers],0),FALSE)),"CHECK")</f>
        <v>45888</v>
      </c>
      <c r="H766" s="7" t="str">
        <f>IFERROR(VLOOKUP($A766,Orders[],MATCH(H$1,Orders[#Headers],0),FALSE),"CHECK")</f>
        <v>Head Office Café</v>
      </c>
      <c r="I766">
        <f>IFERROR(VLOOKUP(OrderLines[[#This Row],[OrderID]],Orders[],MATCH(OrderLines[[#Headers],[DiscountPct]],Orders[#Headers],0),FALSE),"CHECK")</f>
        <v>0.08</v>
      </c>
      <c r="J766" t="str">
        <f>IFERROR(VLOOKUP(OrderLines[[#This Row],[OrderID]],Orders[],MATCH(OrderLines[[#Headers],[Shift]],Orders[#Headers],0),FALSE),"CHECK")</f>
        <v>Breakfast</v>
      </c>
      <c r="K766" s="11">
        <f>OrderLines[[#This Row],[Qty]] * OrderLines[[#This Row],[UnitPrice]] * (1-OrderLines[[#This Row],[DiscountPct]])</f>
        <v>194.69040000000001</v>
      </c>
      <c r="L766">
        <f>OrderLines[[#This Row],[Qty]]*OrderLines[[#This Row],[UnitCost]]</f>
        <v>107.43</v>
      </c>
    </row>
    <row r="767" spans="1:12" x14ac:dyDescent="0.25">
      <c r="A767" t="s">
        <v>335</v>
      </c>
      <c r="B767" t="s">
        <v>415</v>
      </c>
      <c r="C767">
        <v>1</v>
      </c>
      <c r="D767" s="9">
        <f>IFERROR(VLOOKUP($B767,Menu[],MATCH(D$1,Menu[#Headers],0),FALSE),"CHECK")</f>
        <v>256.91000000000003</v>
      </c>
      <c r="E767" s="9">
        <f>IFERROR(VLOOKUP($B767,Menu[],MATCH(E$1,Menu[#Headers],0),FALSE),"CHECK")</f>
        <v>121.24</v>
      </c>
      <c r="F767" t="str">
        <f>IFERROR(VLOOKUP($B767,Menu[],MATCH(F$1,Menu[#Headers],0),FALSE),"CHECK")</f>
        <v>Hot Meal</v>
      </c>
      <c r="G767" s="7">
        <f>IFERROR(INT(VLOOKUP($A767,Orders[],MATCH("OrderDateTime",Orders[#Headers],0),FALSE)),"CHECK")</f>
        <v>45881</v>
      </c>
      <c r="H767" s="7" t="str">
        <f>IFERROR(VLOOKUP($A767,Orders[],MATCH(H$1,Orders[#Headers],0),FALSE),"CHECK")</f>
        <v>Plant 2 Canteen</v>
      </c>
      <c r="I767">
        <f>IFERROR(VLOOKUP(OrderLines[[#This Row],[OrderID]],Orders[],MATCH(OrderLines[[#Headers],[DiscountPct]],Orders[#Headers],0),FALSE),"CHECK")</f>
        <v>0.04</v>
      </c>
      <c r="J767" t="str">
        <f>IFERROR(VLOOKUP(OrderLines[[#This Row],[OrderID]],Orders[],MATCH(OrderLines[[#Headers],[Shift]],Orders[#Headers],0),FALSE),"CHECK")</f>
        <v>Dinner</v>
      </c>
      <c r="K767" s="11">
        <f>OrderLines[[#This Row],[Qty]] * OrderLines[[#This Row],[UnitPrice]] * (1-OrderLines[[#This Row],[DiscountPct]])</f>
        <v>246.6336</v>
      </c>
      <c r="L767">
        <f>OrderLines[[#This Row],[Qty]]*OrderLines[[#This Row],[UnitCost]]</f>
        <v>121.24</v>
      </c>
    </row>
    <row r="768" spans="1:12" x14ac:dyDescent="0.25">
      <c r="A768" t="s">
        <v>336</v>
      </c>
      <c r="B768" t="s">
        <v>406</v>
      </c>
      <c r="C768">
        <v>1</v>
      </c>
      <c r="D768" s="9">
        <f>IFERROR(VLOOKUP($B768,Menu[],MATCH(D$1,Menu[#Headers],0),FALSE),"CHECK")</f>
        <v>38.06</v>
      </c>
      <c r="E768" s="9">
        <f>IFERROR(VLOOKUP($B768,Menu[],MATCH(E$1,Menu[#Headers],0),FALSE),"CHECK")</f>
        <v>19.55</v>
      </c>
      <c r="F768" t="str">
        <f>IFERROR(VLOOKUP($B768,Menu[],MATCH(F$1,Menu[#Headers],0),FALSE),"CHECK")</f>
        <v>Snack</v>
      </c>
      <c r="G768" s="7">
        <f>IFERROR(INT(VLOOKUP($A768,Orders[],MATCH("OrderDateTime",Orders[#Headers],0),FALSE)),"CHECK")</f>
        <v>45874</v>
      </c>
      <c r="H768" s="7" t="str">
        <f>IFERROR(VLOOKUP($A768,Orders[],MATCH(H$1,Orders[#Headers],0),FALSE),"CHECK")</f>
        <v>Plant 2 Canteen</v>
      </c>
      <c r="I768">
        <f>IFERROR(VLOOKUP(OrderLines[[#This Row],[OrderID]],Orders[],MATCH(OrderLines[[#Headers],[DiscountPct]],Orders[#Headers],0),FALSE),"CHECK")</f>
        <v>0.03</v>
      </c>
      <c r="J768" t="str">
        <f>IFERROR(VLOOKUP(OrderLines[[#This Row],[OrderID]],Orders[],MATCH(OrderLines[[#Headers],[Shift]],Orders[#Headers],0),FALSE),"CHECK")</f>
        <v>Lunch</v>
      </c>
      <c r="K768" s="11">
        <f>OrderLines[[#This Row],[Qty]] * OrderLines[[#This Row],[UnitPrice]] * (1-OrderLines[[#This Row],[DiscountPct]])</f>
        <v>36.918199999999999</v>
      </c>
      <c r="L768">
        <f>OrderLines[[#This Row],[Qty]]*OrderLines[[#This Row],[UnitCost]]</f>
        <v>19.55</v>
      </c>
    </row>
    <row r="769" spans="1:12" x14ac:dyDescent="0.25">
      <c r="A769" t="s">
        <v>336</v>
      </c>
      <c r="B769" t="s">
        <v>414</v>
      </c>
      <c r="C769">
        <v>1</v>
      </c>
      <c r="D769" s="9">
        <f>IFERROR(VLOOKUP($B769,Menu[],MATCH(D$1,Menu[#Headers],0),FALSE),"CHECK")</f>
        <v>116.8</v>
      </c>
      <c r="E769" s="9">
        <f>IFERROR(VLOOKUP($B769,Menu[],MATCH(E$1,Menu[#Headers],0),FALSE),"CHECK")</f>
        <v>48.97</v>
      </c>
      <c r="F769" t="str">
        <f>IFERROR(VLOOKUP($B769,Menu[],MATCH(F$1,Menu[#Headers],0),FALSE),"CHECK")</f>
        <v>Dessert</v>
      </c>
      <c r="G769" s="7">
        <f>IFERROR(INT(VLOOKUP($A769,Orders[],MATCH("OrderDateTime",Orders[#Headers],0),FALSE)),"CHECK")</f>
        <v>45874</v>
      </c>
      <c r="H769" s="7" t="str">
        <f>IFERROR(VLOOKUP($A769,Orders[],MATCH(H$1,Orders[#Headers],0),FALSE),"CHECK")</f>
        <v>Plant 2 Canteen</v>
      </c>
      <c r="I769">
        <f>IFERROR(VLOOKUP(OrderLines[[#This Row],[OrderID]],Orders[],MATCH(OrderLines[[#Headers],[DiscountPct]],Orders[#Headers],0),FALSE),"CHECK")</f>
        <v>0.03</v>
      </c>
      <c r="J769" t="str">
        <f>IFERROR(VLOOKUP(OrderLines[[#This Row],[OrderID]],Orders[],MATCH(OrderLines[[#Headers],[Shift]],Orders[#Headers],0),FALSE),"CHECK")</f>
        <v>Lunch</v>
      </c>
      <c r="K769" s="11">
        <f>OrderLines[[#This Row],[Qty]] * OrderLines[[#This Row],[UnitPrice]] * (1-OrderLines[[#This Row],[DiscountPct]])</f>
        <v>113.29599999999999</v>
      </c>
      <c r="L769">
        <f>OrderLines[[#This Row],[Qty]]*OrderLines[[#This Row],[UnitCost]]</f>
        <v>48.97</v>
      </c>
    </row>
    <row r="770" spans="1:12" x14ac:dyDescent="0.25">
      <c r="A770" t="s">
        <v>336</v>
      </c>
      <c r="B770" t="s">
        <v>417</v>
      </c>
      <c r="C770">
        <v>2</v>
      </c>
      <c r="D770" s="9">
        <f>IFERROR(VLOOKUP($B770,Menu[],MATCH(D$1,Menu[#Headers],0),FALSE),"CHECK")</f>
        <v>146.4</v>
      </c>
      <c r="E770" s="9">
        <f>IFERROR(VLOOKUP($B770,Menu[],MATCH(E$1,Menu[#Headers],0),FALSE),"CHECK")</f>
        <v>80.92</v>
      </c>
      <c r="F770" t="str">
        <f>IFERROR(VLOOKUP($B770,Menu[],MATCH(F$1,Menu[#Headers],0),FALSE),"CHECK")</f>
        <v>Hot Meal</v>
      </c>
      <c r="G770" s="7">
        <f>IFERROR(INT(VLOOKUP($A770,Orders[],MATCH("OrderDateTime",Orders[#Headers],0),FALSE)),"CHECK")</f>
        <v>45874</v>
      </c>
      <c r="H770" s="7" t="str">
        <f>IFERROR(VLOOKUP($A770,Orders[],MATCH(H$1,Orders[#Headers],0),FALSE),"CHECK")</f>
        <v>Plant 2 Canteen</v>
      </c>
      <c r="I770">
        <f>IFERROR(VLOOKUP(OrderLines[[#This Row],[OrderID]],Orders[],MATCH(OrderLines[[#Headers],[DiscountPct]],Orders[#Headers],0),FALSE),"CHECK")</f>
        <v>0.03</v>
      </c>
      <c r="J770" t="str">
        <f>IFERROR(VLOOKUP(OrderLines[[#This Row],[OrderID]],Orders[],MATCH(OrderLines[[#Headers],[Shift]],Orders[#Headers],0),FALSE),"CHECK")</f>
        <v>Lunch</v>
      </c>
      <c r="K770" s="11">
        <f>OrderLines[[#This Row],[Qty]] * OrderLines[[#This Row],[UnitPrice]] * (1-OrderLines[[#This Row],[DiscountPct]])</f>
        <v>284.01600000000002</v>
      </c>
      <c r="L770">
        <f>OrderLines[[#This Row],[Qty]]*OrderLines[[#This Row],[UnitCost]]</f>
        <v>161.84</v>
      </c>
    </row>
    <row r="771" spans="1:12" x14ac:dyDescent="0.25">
      <c r="A771" t="s">
        <v>336</v>
      </c>
      <c r="B771" t="s">
        <v>410</v>
      </c>
      <c r="C771">
        <v>1</v>
      </c>
      <c r="D771" s="9">
        <f>IFERROR(VLOOKUP($B771,Menu[],MATCH(D$1,Menu[#Headers],0),FALSE),"CHECK")</f>
        <v>20.11</v>
      </c>
      <c r="E771" s="9">
        <f>IFERROR(VLOOKUP($B771,Menu[],MATCH(E$1,Menu[#Headers],0),FALSE),"CHECK")</f>
        <v>8</v>
      </c>
      <c r="F771" t="str">
        <f>IFERROR(VLOOKUP($B771,Menu[],MATCH(F$1,Menu[#Headers],0),FALSE),"CHECK")</f>
        <v>Beverage</v>
      </c>
      <c r="G771" s="7">
        <f>IFERROR(INT(VLOOKUP($A771,Orders[],MATCH("OrderDateTime",Orders[#Headers],0),FALSE)),"CHECK")</f>
        <v>45874</v>
      </c>
      <c r="H771" s="7" t="str">
        <f>IFERROR(VLOOKUP($A771,Orders[],MATCH(H$1,Orders[#Headers],0),FALSE),"CHECK")</f>
        <v>Plant 2 Canteen</v>
      </c>
      <c r="I771">
        <f>IFERROR(VLOOKUP(OrderLines[[#This Row],[OrderID]],Orders[],MATCH(OrderLines[[#Headers],[DiscountPct]],Orders[#Headers],0),FALSE),"CHECK")</f>
        <v>0.03</v>
      </c>
      <c r="J771" t="str">
        <f>IFERROR(VLOOKUP(OrderLines[[#This Row],[OrderID]],Orders[],MATCH(OrderLines[[#Headers],[Shift]],Orders[#Headers],0),FALSE),"CHECK")</f>
        <v>Lunch</v>
      </c>
      <c r="K771" s="11">
        <f>OrderLines[[#This Row],[Qty]] * OrderLines[[#This Row],[UnitPrice]] * (1-OrderLines[[#This Row],[DiscountPct]])</f>
        <v>19.506699999999999</v>
      </c>
      <c r="L771">
        <f>OrderLines[[#This Row],[Qty]]*OrderLines[[#This Row],[UnitCost]]</f>
        <v>8</v>
      </c>
    </row>
    <row r="772" spans="1:12" x14ac:dyDescent="0.25">
      <c r="A772" t="s">
        <v>337</v>
      </c>
      <c r="B772" t="s">
        <v>413</v>
      </c>
      <c r="C772">
        <v>1</v>
      </c>
      <c r="D772" s="9">
        <f>IFERROR(VLOOKUP($B772,Menu[],MATCH(D$1,Menu[#Headers],0),FALSE),"CHECK")</f>
        <v>54.2</v>
      </c>
      <c r="E772" s="9">
        <f>IFERROR(VLOOKUP($B772,Menu[],MATCH(E$1,Menu[#Headers],0),FALSE),"CHECK")</f>
        <v>21.95</v>
      </c>
      <c r="F772" t="str">
        <f>IFERROR(VLOOKUP($B772,Menu[],MATCH(F$1,Menu[#Headers],0),FALSE),"CHECK")</f>
        <v>Dessert</v>
      </c>
      <c r="G772" s="7">
        <f>IFERROR(INT(VLOOKUP($A772,Orders[],MATCH("OrderDateTime",Orders[#Headers],0),FALSE)),"CHECK")</f>
        <v>45872</v>
      </c>
      <c r="H772" s="7" t="str">
        <f>IFERROR(VLOOKUP($A772,Orders[],MATCH(H$1,Orders[#Headers],0),FALSE),"CHECK")</f>
        <v>Head Office Café</v>
      </c>
      <c r="I772">
        <f>IFERROR(VLOOKUP(OrderLines[[#This Row],[OrderID]],Orders[],MATCH(OrderLines[[#Headers],[DiscountPct]],Orders[#Headers],0),FALSE),"CHECK")</f>
        <v>7.0000000000000007E-2</v>
      </c>
      <c r="J772" t="str">
        <f>IFERROR(VLOOKUP(OrderLines[[#This Row],[OrderID]],Orders[],MATCH(OrderLines[[#Headers],[Shift]],Orders[#Headers],0),FALSE),"CHECK")</f>
        <v>Breakfast</v>
      </c>
      <c r="K772" s="11">
        <f>OrderLines[[#This Row],[Qty]] * OrderLines[[#This Row],[UnitPrice]] * (1-OrderLines[[#This Row],[DiscountPct]])</f>
        <v>50.405999999999999</v>
      </c>
      <c r="L772">
        <f>OrderLines[[#This Row],[Qty]]*OrderLines[[#This Row],[UnitCost]]</f>
        <v>21.95</v>
      </c>
    </row>
    <row r="773" spans="1:12" x14ac:dyDescent="0.25">
      <c r="A773" t="s">
        <v>337</v>
      </c>
      <c r="B773" t="s">
        <v>407</v>
      </c>
      <c r="C773">
        <v>1</v>
      </c>
      <c r="D773" s="9">
        <f>IFERROR(VLOOKUP($B773,Menu[],MATCH(D$1,Menu[#Headers],0),FALSE),"CHECK")</f>
        <v>246.09</v>
      </c>
      <c r="E773" s="9">
        <f>IFERROR(VLOOKUP($B773,Menu[],MATCH(E$1,Menu[#Headers],0),FALSE),"CHECK")</f>
        <v>112.08</v>
      </c>
      <c r="F773" t="str">
        <f>IFERROR(VLOOKUP($B773,Menu[],MATCH(F$1,Menu[#Headers],0),FALSE),"CHECK")</f>
        <v>Hot Meal</v>
      </c>
      <c r="G773" s="7">
        <f>IFERROR(INT(VLOOKUP($A773,Orders[],MATCH("OrderDateTime",Orders[#Headers],0),FALSE)),"CHECK")</f>
        <v>45872</v>
      </c>
      <c r="H773" s="7" t="str">
        <f>IFERROR(VLOOKUP($A773,Orders[],MATCH(H$1,Orders[#Headers],0),FALSE),"CHECK")</f>
        <v>Head Office Café</v>
      </c>
      <c r="I773">
        <f>IFERROR(VLOOKUP(OrderLines[[#This Row],[OrderID]],Orders[],MATCH(OrderLines[[#Headers],[DiscountPct]],Orders[#Headers],0),FALSE),"CHECK")</f>
        <v>7.0000000000000007E-2</v>
      </c>
      <c r="J773" t="str">
        <f>IFERROR(VLOOKUP(OrderLines[[#This Row],[OrderID]],Orders[],MATCH(OrderLines[[#Headers],[Shift]],Orders[#Headers],0),FALSE),"CHECK")</f>
        <v>Breakfast</v>
      </c>
      <c r="K773" s="11">
        <f>OrderLines[[#This Row],[Qty]] * OrderLines[[#This Row],[UnitPrice]] * (1-OrderLines[[#This Row],[DiscountPct]])</f>
        <v>228.86369999999999</v>
      </c>
      <c r="L773">
        <f>OrderLines[[#This Row],[Qty]]*OrderLines[[#This Row],[UnitCost]]</f>
        <v>112.08</v>
      </c>
    </row>
    <row r="774" spans="1:12" x14ac:dyDescent="0.25">
      <c r="A774" t="s">
        <v>337</v>
      </c>
      <c r="B774" t="s">
        <v>401</v>
      </c>
      <c r="C774">
        <v>2</v>
      </c>
      <c r="D774" s="9">
        <f>IFERROR(VLOOKUP($B774,Menu[],MATCH(D$1,Menu[#Headers],0),FALSE),"CHECK")</f>
        <v>52.45</v>
      </c>
      <c r="E774" s="9">
        <f>IFERROR(VLOOKUP($B774,Menu[],MATCH(E$1,Menu[#Headers],0),FALSE),"CHECK")</f>
        <v>25.8</v>
      </c>
      <c r="F774" t="str">
        <f>IFERROR(VLOOKUP($B774,Menu[],MATCH(F$1,Menu[#Headers],0),FALSE),"CHECK")</f>
        <v>Snack</v>
      </c>
      <c r="G774" s="7">
        <f>IFERROR(INT(VLOOKUP($A774,Orders[],MATCH("OrderDateTime",Orders[#Headers],0),FALSE)),"CHECK")</f>
        <v>45872</v>
      </c>
      <c r="H774" s="7" t="str">
        <f>IFERROR(VLOOKUP($A774,Orders[],MATCH(H$1,Orders[#Headers],0),FALSE),"CHECK")</f>
        <v>Head Office Café</v>
      </c>
      <c r="I774">
        <f>IFERROR(VLOOKUP(OrderLines[[#This Row],[OrderID]],Orders[],MATCH(OrderLines[[#Headers],[DiscountPct]],Orders[#Headers],0),FALSE),"CHECK")</f>
        <v>7.0000000000000007E-2</v>
      </c>
      <c r="J774" t="str">
        <f>IFERROR(VLOOKUP(OrderLines[[#This Row],[OrderID]],Orders[],MATCH(OrderLines[[#Headers],[Shift]],Orders[#Headers],0),FALSE),"CHECK")</f>
        <v>Breakfast</v>
      </c>
      <c r="K774" s="11">
        <f>OrderLines[[#This Row],[Qty]] * OrderLines[[#This Row],[UnitPrice]] * (1-OrderLines[[#This Row],[DiscountPct]])</f>
        <v>97.557000000000002</v>
      </c>
      <c r="L774">
        <f>OrderLines[[#This Row],[Qty]]*OrderLines[[#This Row],[UnitCost]]</f>
        <v>51.6</v>
      </c>
    </row>
    <row r="775" spans="1:12" x14ac:dyDescent="0.25">
      <c r="A775" t="s">
        <v>338</v>
      </c>
      <c r="B775" t="s">
        <v>418</v>
      </c>
      <c r="C775">
        <v>3</v>
      </c>
      <c r="D775" s="9">
        <f>IFERROR(VLOOKUP($B775,Menu[],MATCH(D$1,Menu[#Headers],0),FALSE),"CHECK")</f>
        <v>39.950000000000003</v>
      </c>
      <c r="E775" s="9">
        <f>IFERROR(VLOOKUP($B775,Menu[],MATCH(E$1,Menu[#Headers],0),FALSE),"CHECK")</f>
        <v>15.51</v>
      </c>
      <c r="F775" t="str">
        <f>IFERROR(VLOOKUP($B775,Menu[],MATCH(F$1,Menu[#Headers],0),FALSE),"CHECK")</f>
        <v>Snack</v>
      </c>
      <c r="G775" s="7">
        <f>IFERROR(INT(VLOOKUP($A775,Orders[],MATCH("OrderDateTime",Orders[#Headers],0),FALSE)),"CHECK")</f>
        <v>45845</v>
      </c>
      <c r="H775" s="7" t="str">
        <f>IFERROR(VLOOKUP($A775,Orders[],MATCH(H$1,Orders[#Headers],0),FALSE),"CHECK")</f>
        <v>Plant 2 Canteen</v>
      </c>
      <c r="I775">
        <f>IFERROR(VLOOKUP(OrderLines[[#This Row],[OrderID]],Orders[],MATCH(OrderLines[[#Headers],[DiscountPct]],Orders[#Headers],0),FALSE),"CHECK")</f>
        <v>7.0000000000000007E-2</v>
      </c>
      <c r="J775" t="str">
        <f>IFERROR(VLOOKUP(OrderLines[[#This Row],[OrderID]],Orders[],MATCH(OrderLines[[#Headers],[Shift]],Orders[#Headers],0),FALSE),"CHECK")</f>
        <v>Lunch</v>
      </c>
      <c r="K775" s="11">
        <f>OrderLines[[#This Row],[Qty]] * OrderLines[[#This Row],[UnitPrice]] * (1-OrderLines[[#This Row],[DiscountPct]])</f>
        <v>111.4605</v>
      </c>
      <c r="L775">
        <f>OrderLines[[#This Row],[Qty]]*OrderLines[[#This Row],[UnitCost]]</f>
        <v>46.53</v>
      </c>
    </row>
    <row r="776" spans="1:12" x14ac:dyDescent="0.25">
      <c r="A776" t="s">
        <v>338</v>
      </c>
      <c r="B776" t="s">
        <v>403</v>
      </c>
      <c r="C776">
        <v>1</v>
      </c>
      <c r="D776" s="9">
        <f>IFERROR(VLOOKUP($B776,Menu[],MATCH(D$1,Menu[#Headers],0),FALSE),"CHECK")</f>
        <v>76.55</v>
      </c>
      <c r="E776" s="9">
        <f>IFERROR(VLOOKUP($B776,Menu[],MATCH(E$1,Menu[#Headers],0),FALSE),"CHECK")</f>
        <v>38.229999999999997</v>
      </c>
      <c r="F776" t="str">
        <f>IFERROR(VLOOKUP($B776,Menu[],MATCH(F$1,Menu[#Headers],0),FALSE),"CHECK")</f>
        <v>Dessert</v>
      </c>
      <c r="G776" s="7">
        <f>IFERROR(INT(VLOOKUP($A776,Orders[],MATCH("OrderDateTime",Orders[#Headers],0),FALSE)),"CHECK")</f>
        <v>45845</v>
      </c>
      <c r="H776" s="7" t="str">
        <f>IFERROR(VLOOKUP($A776,Orders[],MATCH(H$1,Orders[#Headers],0),FALSE),"CHECK")</f>
        <v>Plant 2 Canteen</v>
      </c>
      <c r="I776">
        <f>IFERROR(VLOOKUP(OrderLines[[#This Row],[OrderID]],Orders[],MATCH(OrderLines[[#Headers],[DiscountPct]],Orders[#Headers],0),FALSE),"CHECK")</f>
        <v>7.0000000000000007E-2</v>
      </c>
      <c r="J776" t="str">
        <f>IFERROR(VLOOKUP(OrderLines[[#This Row],[OrderID]],Orders[],MATCH(OrderLines[[#Headers],[Shift]],Orders[#Headers],0),FALSE),"CHECK")</f>
        <v>Lunch</v>
      </c>
      <c r="K776" s="11">
        <f>OrderLines[[#This Row],[Qty]] * OrderLines[[#This Row],[UnitPrice]] * (1-OrderLines[[#This Row],[DiscountPct]])</f>
        <v>71.191499999999991</v>
      </c>
      <c r="L776">
        <f>OrderLines[[#This Row],[Qty]]*OrderLines[[#This Row],[UnitCost]]</f>
        <v>38.229999999999997</v>
      </c>
    </row>
    <row r="777" spans="1:12" x14ac:dyDescent="0.25">
      <c r="A777" t="s">
        <v>338</v>
      </c>
      <c r="B777" t="s">
        <v>413</v>
      </c>
      <c r="C777">
        <v>2</v>
      </c>
      <c r="D777" s="9">
        <f>IFERROR(VLOOKUP($B777,Menu[],MATCH(D$1,Menu[#Headers],0),FALSE),"CHECK")</f>
        <v>54.2</v>
      </c>
      <c r="E777" s="9">
        <f>IFERROR(VLOOKUP($B777,Menu[],MATCH(E$1,Menu[#Headers],0),FALSE),"CHECK")</f>
        <v>21.95</v>
      </c>
      <c r="F777" t="str">
        <f>IFERROR(VLOOKUP($B777,Menu[],MATCH(F$1,Menu[#Headers],0),FALSE),"CHECK")</f>
        <v>Dessert</v>
      </c>
      <c r="G777" s="7">
        <f>IFERROR(INT(VLOOKUP($A777,Orders[],MATCH("OrderDateTime",Orders[#Headers],0),FALSE)),"CHECK")</f>
        <v>45845</v>
      </c>
      <c r="H777" s="7" t="str">
        <f>IFERROR(VLOOKUP($A777,Orders[],MATCH(H$1,Orders[#Headers],0),FALSE),"CHECK")</f>
        <v>Plant 2 Canteen</v>
      </c>
      <c r="I777">
        <f>IFERROR(VLOOKUP(OrderLines[[#This Row],[OrderID]],Orders[],MATCH(OrderLines[[#Headers],[DiscountPct]],Orders[#Headers],0),FALSE),"CHECK")</f>
        <v>7.0000000000000007E-2</v>
      </c>
      <c r="J777" t="str">
        <f>IFERROR(VLOOKUP(OrderLines[[#This Row],[OrderID]],Orders[],MATCH(OrderLines[[#Headers],[Shift]],Orders[#Headers],0),FALSE),"CHECK")</f>
        <v>Lunch</v>
      </c>
      <c r="K777" s="11">
        <f>OrderLines[[#This Row],[Qty]] * OrderLines[[#This Row],[UnitPrice]] * (1-OrderLines[[#This Row],[DiscountPct]])</f>
        <v>100.812</v>
      </c>
      <c r="L777">
        <f>OrderLines[[#This Row],[Qty]]*OrderLines[[#This Row],[UnitCost]]</f>
        <v>43.9</v>
      </c>
    </row>
    <row r="778" spans="1:12" x14ac:dyDescent="0.25">
      <c r="A778" t="s">
        <v>338</v>
      </c>
      <c r="B778" t="s">
        <v>408</v>
      </c>
      <c r="C778">
        <v>1</v>
      </c>
      <c r="D778" s="9">
        <f>IFERROR(VLOOKUP($B778,Menu[],MATCH(D$1,Menu[#Headers],0),FALSE),"CHECK")</f>
        <v>70.540000000000006</v>
      </c>
      <c r="E778" s="9">
        <f>IFERROR(VLOOKUP($B778,Menu[],MATCH(E$1,Menu[#Headers],0),FALSE),"CHECK")</f>
        <v>35.81</v>
      </c>
      <c r="F778" t="str">
        <f>IFERROR(VLOOKUP($B778,Menu[],MATCH(F$1,Menu[#Headers],0),FALSE),"CHECK")</f>
        <v>Snack</v>
      </c>
      <c r="G778" s="7">
        <f>IFERROR(INT(VLOOKUP($A778,Orders[],MATCH("OrderDateTime",Orders[#Headers],0),FALSE)),"CHECK")</f>
        <v>45845</v>
      </c>
      <c r="H778" s="7" t="str">
        <f>IFERROR(VLOOKUP($A778,Orders[],MATCH(H$1,Orders[#Headers],0),FALSE),"CHECK")</f>
        <v>Plant 2 Canteen</v>
      </c>
      <c r="I778">
        <f>IFERROR(VLOOKUP(OrderLines[[#This Row],[OrderID]],Orders[],MATCH(OrderLines[[#Headers],[DiscountPct]],Orders[#Headers],0),FALSE),"CHECK")</f>
        <v>7.0000000000000007E-2</v>
      </c>
      <c r="J778" t="str">
        <f>IFERROR(VLOOKUP(OrderLines[[#This Row],[OrderID]],Orders[],MATCH(OrderLines[[#Headers],[Shift]],Orders[#Headers],0),FALSE),"CHECK")</f>
        <v>Lunch</v>
      </c>
      <c r="K778" s="11">
        <f>OrderLines[[#This Row],[Qty]] * OrderLines[[#This Row],[UnitPrice]] * (1-OrderLines[[#This Row],[DiscountPct]])</f>
        <v>65.602199999999996</v>
      </c>
      <c r="L778">
        <f>OrderLines[[#This Row],[Qty]]*OrderLines[[#This Row],[UnitCost]]</f>
        <v>35.81</v>
      </c>
    </row>
    <row r="779" spans="1:12" x14ac:dyDescent="0.25">
      <c r="A779" t="s">
        <v>339</v>
      </c>
      <c r="B779" t="s">
        <v>411</v>
      </c>
      <c r="C779">
        <v>3</v>
      </c>
      <c r="D779" s="9">
        <f>IFERROR(VLOOKUP($B779,Menu[],MATCH(D$1,Menu[#Headers],0),FALSE),"CHECK")</f>
        <v>22.2</v>
      </c>
      <c r="E779" s="9">
        <f>IFERROR(VLOOKUP($B779,Menu[],MATCH(E$1,Menu[#Headers],0),FALSE),"CHECK")</f>
        <v>9.3800000000000008</v>
      </c>
      <c r="F779" t="str">
        <f>IFERROR(VLOOKUP($B779,Menu[],MATCH(F$1,Menu[#Headers],0),FALSE),"CHECK")</f>
        <v>Beverage</v>
      </c>
      <c r="G779" s="7">
        <f>IFERROR(INT(VLOOKUP($A779,Orders[],MATCH("OrderDateTime",Orders[#Headers],0),FALSE)),"CHECK")</f>
        <v>45866</v>
      </c>
      <c r="H779" s="7" t="str">
        <f>IFERROR(VLOOKUP($A779,Orders[],MATCH(H$1,Orders[#Headers],0),FALSE),"CHECK")</f>
        <v>Plant 2 Canteen</v>
      </c>
      <c r="I779">
        <f>IFERROR(VLOOKUP(OrderLines[[#This Row],[OrderID]],Orders[],MATCH(OrderLines[[#Headers],[DiscountPct]],Orders[#Headers],0),FALSE),"CHECK")</f>
        <v>0.04</v>
      </c>
      <c r="J779" t="str">
        <f>IFERROR(VLOOKUP(OrderLines[[#This Row],[OrderID]],Orders[],MATCH(OrderLines[[#Headers],[Shift]],Orders[#Headers],0),FALSE),"CHECK")</f>
        <v>Dinner</v>
      </c>
      <c r="K779" s="11">
        <f>OrderLines[[#This Row],[Qty]] * OrderLines[[#This Row],[UnitPrice]] * (1-OrderLines[[#This Row],[DiscountPct]])</f>
        <v>63.935999999999993</v>
      </c>
      <c r="L779">
        <f>OrderLines[[#This Row],[Qty]]*OrderLines[[#This Row],[UnitCost]]</f>
        <v>28.14</v>
      </c>
    </row>
    <row r="780" spans="1:12" x14ac:dyDescent="0.25">
      <c r="A780" t="s">
        <v>340</v>
      </c>
      <c r="B780" t="s">
        <v>418</v>
      </c>
      <c r="C780">
        <v>2</v>
      </c>
      <c r="D780" s="9">
        <f>IFERROR(VLOOKUP($B780,Menu[],MATCH(D$1,Menu[#Headers],0),FALSE),"CHECK")</f>
        <v>39.950000000000003</v>
      </c>
      <c r="E780" s="9">
        <f>IFERROR(VLOOKUP($B780,Menu[],MATCH(E$1,Menu[#Headers],0),FALSE),"CHECK")</f>
        <v>15.51</v>
      </c>
      <c r="F780" t="str">
        <f>IFERROR(VLOOKUP($B780,Menu[],MATCH(F$1,Menu[#Headers],0),FALSE),"CHECK")</f>
        <v>Snack</v>
      </c>
      <c r="G780" s="7">
        <f>IFERROR(INT(VLOOKUP($A780,Orders[],MATCH("OrderDateTime",Orders[#Headers],0),FALSE)),"CHECK")</f>
        <v>45871</v>
      </c>
      <c r="H780" s="7" t="str">
        <f>IFERROR(VLOOKUP($A780,Orders[],MATCH(H$1,Orders[#Headers],0),FALSE),"CHECK")</f>
        <v>Plant 1 Canteen</v>
      </c>
      <c r="I780">
        <f>IFERROR(VLOOKUP(OrderLines[[#This Row],[OrderID]],Orders[],MATCH(OrderLines[[#Headers],[DiscountPct]],Orders[#Headers],0),FALSE),"CHECK")</f>
        <v>0.04</v>
      </c>
      <c r="J780" t="str">
        <f>IFERROR(VLOOKUP(OrderLines[[#This Row],[OrderID]],Orders[],MATCH(OrderLines[[#Headers],[Shift]],Orders[#Headers],0),FALSE),"CHECK")</f>
        <v>Lunch</v>
      </c>
      <c r="K780" s="11">
        <f>OrderLines[[#This Row],[Qty]] * OrderLines[[#This Row],[UnitPrice]] * (1-OrderLines[[#This Row],[DiscountPct]])</f>
        <v>76.704000000000008</v>
      </c>
      <c r="L780">
        <f>OrderLines[[#This Row],[Qty]]*OrderLines[[#This Row],[UnitCost]]</f>
        <v>31.02</v>
      </c>
    </row>
    <row r="781" spans="1:12" x14ac:dyDescent="0.25">
      <c r="A781" t="s">
        <v>340</v>
      </c>
      <c r="B781" t="s">
        <v>406</v>
      </c>
      <c r="C781">
        <v>2</v>
      </c>
      <c r="D781" s="9">
        <f>IFERROR(VLOOKUP($B781,Menu[],MATCH(D$1,Menu[#Headers],0),FALSE),"CHECK")</f>
        <v>38.06</v>
      </c>
      <c r="E781" s="9">
        <f>IFERROR(VLOOKUP($B781,Menu[],MATCH(E$1,Menu[#Headers],0),FALSE),"CHECK")</f>
        <v>19.55</v>
      </c>
      <c r="F781" t="str">
        <f>IFERROR(VLOOKUP($B781,Menu[],MATCH(F$1,Menu[#Headers],0),FALSE),"CHECK")</f>
        <v>Snack</v>
      </c>
      <c r="G781" s="7">
        <f>IFERROR(INT(VLOOKUP($A781,Orders[],MATCH("OrderDateTime",Orders[#Headers],0),FALSE)),"CHECK")</f>
        <v>45871</v>
      </c>
      <c r="H781" s="7" t="str">
        <f>IFERROR(VLOOKUP($A781,Orders[],MATCH(H$1,Orders[#Headers],0),FALSE),"CHECK")</f>
        <v>Plant 1 Canteen</v>
      </c>
      <c r="I781">
        <f>IFERROR(VLOOKUP(OrderLines[[#This Row],[OrderID]],Orders[],MATCH(OrderLines[[#Headers],[DiscountPct]],Orders[#Headers],0),FALSE),"CHECK")</f>
        <v>0.04</v>
      </c>
      <c r="J781" t="str">
        <f>IFERROR(VLOOKUP(OrderLines[[#This Row],[OrderID]],Orders[],MATCH(OrderLines[[#Headers],[Shift]],Orders[#Headers],0),FALSE),"CHECK")</f>
        <v>Lunch</v>
      </c>
      <c r="K781" s="11">
        <f>OrderLines[[#This Row],[Qty]] * OrderLines[[#This Row],[UnitPrice]] * (1-OrderLines[[#This Row],[DiscountPct]])</f>
        <v>73.075199999999995</v>
      </c>
      <c r="L781">
        <f>OrderLines[[#This Row],[Qty]]*OrderLines[[#This Row],[UnitCost]]</f>
        <v>39.1</v>
      </c>
    </row>
    <row r="782" spans="1:12" x14ac:dyDescent="0.25">
      <c r="A782" t="s">
        <v>341</v>
      </c>
      <c r="B782" t="s">
        <v>404</v>
      </c>
      <c r="C782">
        <v>1</v>
      </c>
      <c r="D782" s="9">
        <f>IFERROR(VLOOKUP($B782,Menu[],MATCH(D$1,Menu[#Headers],0),FALSE),"CHECK")</f>
        <v>32.979999999999997</v>
      </c>
      <c r="E782" s="9">
        <f>IFERROR(VLOOKUP($B782,Menu[],MATCH(E$1,Menu[#Headers],0),FALSE),"CHECK")</f>
        <v>11.84</v>
      </c>
      <c r="F782" t="str">
        <f>IFERROR(VLOOKUP($B782,Menu[],MATCH(F$1,Menu[#Headers],0),FALSE),"CHECK")</f>
        <v>Beverage</v>
      </c>
      <c r="G782" s="7">
        <f>IFERROR(INT(VLOOKUP($A782,Orders[],MATCH("OrderDateTime",Orders[#Headers],0),FALSE)),"CHECK")</f>
        <v>45873</v>
      </c>
      <c r="H782" s="7" t="str">
        <f>IFERROR(VLOOKUP($A782,Orders[],MATCH(H$1,Orders[#Headers],0),FALSE),"CHECK")</f>
        <v>Plant 2 Canteen</v>
      </c>
      <c r="I782">
        <f>IFERROR(VLOOKUP(OrderLines[[#This Row],[OrderID]],Orders[],MATCH(OrderLines[[#Headers],[DiscountPct]],Orders[#Headers],0),FALSE),"CHECK")</f>
        <v>7.0000000000000007E-2</v>
      </c>
      <c r="J782" t="str">
        <f>IFERROR(VLOOKUP(OrderLines[[#This Row],[OrderID]],Orders[],MATCH(OrderLines[[#Headers],[Shift]],Orders[#Headers],0),FALSE),"CHECK")</f>
        <v>Breakfast</v>
      </c>
      <c r="K782" s="11">
        <f>OrderLines[[#This Row],[Qty]] * OrderLines[[#This Row],[UnitPrice]] * (1-OrderLines[[#This Row],[DiscountPct]])</f>
        <v>30.671399999999995</v>
      </c>
      <c r="L782">
        <f>OrderLines[[#This Row],[Qty]]*OrderLines[[#This Row],[UnitCost]]</f>
        <v>11.84</v>
      </c>
    </row>
    <row r="783" spans="1:12" x14ac:dyDescent="0.25">
      <c r="A783" t="s">
        <v>342</v>
      </c>
      <c r="B783" t="s">
        <v>418</v>
      </c>
      <c r="C783">
        <v>2</v>
      </c>
      <c r="D783" s="9">
        <f>IFERROR(VLOOKUP($B783,Menu[],MATCH(D$1,Menu[#Headers],0),FALSE),"CHECK")</f>
        <v>39.950000000000003</v>
      </c>
      <c r="E783" s="9">
        <f>IFERROR(VLOOKUP($B783,Menu[],MATCH(E$1,Menu[#Headers],0),FALSE),"CHECK")</f>
        <v>15.51</v>
      </c>
      <c r="F783" t="str">
        <f>IFERROR(VLOOKUP($B783,Menu[],MATCH(F$1,Menu[#Headers],0),FALSE),"CHECK")</f>
        <v>Snack</v>
      </c>
      <c r="G783" s="7">
        <f>IFERROR(INT(VLOOKUP($A783,Orders[],MATCH("OrderDateTime",Orders[#Headers],0),FALSE)),"CHECK")</f>
        <v>45851</v>
      </c>
      <c r="H783" s="7" t="str">
        <f>IFERROR(VLOOKUP($A783,Orders[],MATCH(H$1,Orders[#Headers],0),FALSE),"CHECK")</f>
        <v>Head Office Café</v>
      </c>
      <c r="I783">
        <f>IFERROR(VLOOKUP(OrderLines[[#This Row],[OrderID]],Orders[],MATCH(OrderLines[[#Headers],[DiscountPct]],Orders[#Headers],0),FALSE),"CHECK")</f>
        <v>0</v>
      </c>
      <c r="J783" t="str">
        <f>IFERROR(VLOOKUP(OrderLines[[#This Row],[OrderID]],Orders[],MATCH(OrderLines[[#Headers],[Shift]],Orders[#Headers],0),FALSE),"CHECK")</f>
        <v>Dinner</v>
      </c>
      <c r="K783" s="11">
        <f>OrderLines[[#This Row],[Qty]] * OrderLines[[#This Row],[UnitPrice]] * (1-OrderLines[[#This Row],[DiscountPct]])</f>
        <v>79.900000000000006</v>
      </c>
      <c r="L783">
        <f>OrderLines[[#This Row],[Qty]]*OrderLines[[#This Row],[UnitCost]]</f>
        <v>31.02</v>
      </c>
    </row>
    <row r="784" spans="1:12" x14ac:dyDescent="0.25">
      <c r="A784" t="s">
        <v>342</v>
      </c>
      <c r="B784" t="s">
        <v>407</v>
      </c>
      <c r="C784">
        <v>2</v>
      </c>
      <c r="D784" s="9">
        <f>IFERROR(VLOOKUP($B784,Menu[],MATCH(D$1,Menu[#Headers],0),FALSE),"CHECK")</f>
        <v>246.09</v>
      </c>
      <c r="E784" s="9">
        <f>IFERROR(VLOOKUP($B784,Menu[],MATCH(E$1,Menu[#Headers],0),FALSE),"CHECK")</f>
        <v>112.08</v>
      </c>
      <c r="F784" t="str">
        <f>IFERROR(VLOOKUP($B784,Menu[],MATCH(F$1,Menu[#Headers],0),FALSE),"CHECK")</f>
        <v>Hot Meal</v>
      </c>
      <c r="G784" s="7">
        <f>IFERROR(INT(VLOOKUP($A784,Orders[],MATCH("OrderDateTime",Orders[#Headers],0),FALSE)),"CHECK")</f>
        <v>45851</v>
      </c>
      <c r="H784" s="7" t="str">
        <f>IFERROR(VLOOKUP($A784,Orders[],MATCH(H$1,Orders[#Headers],0),FALSE),"CHECK")</f>
        <v>Head Office Café</v>
      </c>
      <c r="I784">
        <f>IFERROR(VLOOKUP(OrderLines[[#This Row],[OrderID]],Orders[],MATCH(OrderLines[[#Headers],[DiscountPct]],Orders[#Headers],0),FALSE),"CHECK")</f>
        <v>0</v>
      </c>
      <c r="J784" t="str">
        <f>IFERROR(VLOOKUP(OrderLines[[#This Row],[OrderID]],Orders[],MATCH(OrderLines[[#Headers],[Shift]],Orders[#Headers],0),FALSE),"CHECK")</f>
        <v>Dinner</v>
      </c>
      <c r="K784" s="11">
        <f>OrderLines[[#This Row],[Qty]] * OrderLines[[#This Row],[UnitPrice]] * (1-OrderLines[[#This Row],[DiscountPct]])</f>
        <v>492.18</v>
      </c>
      <c r="L784">
        <f>OrderLines[[#This Row],[Qty]]*OrderLines[[#This Row],[UnitCost]]</f>
        <v>224.16</v>
      </c>
    </row>
    <row r="785" spans="1:12" x14ac:dyDescent="0.25">
      <c r="A785" t="s">
        <v>343</v>
      </c>
      <c r="B785" t="s">
        <v>419</v>
      </c>
      <c r="C785">
        <v>1</v>
      </c>
      <c r="D785" s="9">
        <f>IFERROR(VLOOKUP($B785,Menu[],MATCH(D$1,Menu[#Headers],0),FALSE),"CHECK")</f>
        <v>50.19</v>
      </c>
      <c r="E785" s="9">
        <f>IFERROR(VLOOKUP($B785,Menu[],MATCH(E$1,Menu[#Headers],0),FALSE),"CHECK")</f>
        <v>22.61</v>
      </c>
      <c r="F785" t="str">
        <f>IFERROR(VLOOKUP($B785,Menu[],MATCH(F$1,Menu[#Headers],0),FALSE),"CHECK")</f>
        <v>Snack</v>
      </c>
      <c r="G785" s="7">
        <f>IFERROR(INT(VLOOKUP($A785,Orders[],MATCH("OrderDateTime",Orders[#Headers],0),FALSE)),"CHECK")</f>
        <v>45893</v>
      </c>
      <c r="H785" s="7" t="str">
        <f>IFERROR(VLOOKUP($A785,Orders[],MATCH(H$1,Orders[#Headers],0),FALSE),"CHECK")</f>
        <v>Plant 2 Canteen</v>
      </c>
      <c r="I785">
        <f>IFERROR(VLOOKUP(OrderLines[[#This Row],[OrderID]],Orders[],MATCH(OrderLines[[#Headers],[DiscountPct]],Orders[#Headers],0),FALSE),"CHECK")</f>
        <v>0</v>
      </c>
      <c r="J785" t="str">
        <f>IFERROR(VLOOKUP(OrderLines[[#This Row],[OrderID]],Orders[],MATCH(OrderLines[[#Headers],[Shift]],Orders[#Headers],0),FALSE),"CHECK")</f>
        <v>Lunch</v>
      </c>
      <c r="K785" s="11">
        <f>OrderLines[[#This Row],[Qty]] * OrderLines[[#This Row],[UnitPrice]] * (1-OrderLines[[#This Row],[DiscountPct]])</f>
        <v>50.19</v>
      </c>
      <c r="L785">
        <f>OrderLines[[#This Row],[Qty]]*OrderLines[[#This Row],[UnitCost]]</f>
        <v>22.61</v>
      </c>
    </row>
    <row r="786" spans="1:12" x14ac:dyDescent="0.25">
      <c r="A786" t="s">
        <v>343</v>
      </c>
      <c r="B786" t="s">
        <v>410</v>
      </c>
      <c r="C786">
        <v>1</v>
      </c>
      <c r="D786" s="9">
        <f>IFERROR(VLOOKUP($B786,Menu[],MATCH(D$1,Menu[#Headers],0),FALSE),"CHECK")</f>
        <v>20.11</v>
      </c>
      <c r="E786" s="9">
        <f>IFERROR(VLOOKUP($B786,Menu[],MATCH(E$1,Menu[#Headers],0),FALSE),"CHECK")</f>
        <v>8</v>
      </c>
      <c r="F786" t="str">
        <f>IFERROR(VLOOKUP($B786,Menu[],MATCH(F$1,Menu[#Headers],0),FALSE),"CHECK")</f>
        <v>Beverage</v>
      </c>
      <c r="G786" s="7">
        <f>IFERROR(INT(VLOOKUP($A786,Orders[],MATCH("OrderDateTime",Orders[#Headers],0),FALSE)),"CHECK")</f>
        <v>45893</v>
      </c>
      <c r="H786" s="7" t="str">
        <f>IFERROR(VLOOKUP($A786,Orders[],MATCH(H$1,Orders[#Headers],0),FALSE),"CHECK")</f>
        <v>Plant 2 Canteen</v>
      </c>
      <c r="I786">
        <f>IFERROR(VLOOKUP(OrderLines[[#This Row],[OrderID]],Orders[],MATCH(OrderLines[[#Headers],[DiscountPct]],Orders[#Headers],0),FALSE),"CHECK")</f>
        <v>0</v>
      </c>
      <c r="J786" t="str">
        <f>IFERROR(VLOOKUP(OrderLines[[#This Row],[OrderID]],Orders[],MATCH(OrderLines[[#Headers],[Shift]],Orders[#Headers],0),FALSE),"CHECK")</f>
        <v>Lunch</v>
      </c>
      <c r="K786" s="11">
        <f>OrderLines[[#This Row],[Qty]] * OrderLines[[#This Row],[UnitPrice]] * (1-OrderLines[[#This Row],[DiscountPct]])</f>
        <v>20.11</v>
      </c>
      <c r="L786">
        <f>OrderLines[[#This Row],[Qty]]*OrderLines[[#This Row],[UnitCost]]</f>
        <v>8</v>
      </c>
    </row>
    <row r="787" spans="1:12" x14ac:dyDescent="0.25">
      <c r="A787" t="s">
        <v>343</v>
      </c>
      <c r="B787" t="s">
        <v>405</v>
      </c>
      <c r="C787">
        <v>1</v>
      </c>
      <c r="D787" s="9">
        <f>IFERROR(VLOOKUP($B787,Menu[],MATCH(D$1,Menu[#Headers],0),FALSE),"CHECK")</f>
        <v>170.83</v>
      </c>
      <c r="E787" s="9">
        <f>IFERROR(VLOOKUP($B787,Menu[],MATCH(E$1,Menu[#Headers],0),FALSE),"CHECK")</f>
        <v>74.069999999999993</v>
      </c>
      <c r="F787" t="str">
        <f>IFERROR(VLOOKUP($B787,Menu[],MATCH(F$1,Menu[#Headers],0),FALSE),"CHECK")</f>
        <v>Hot Meal</v>
      </c>
      <c r="G787" s="7">
        <f>IFERROR(INT(VLOOKUP($A787,Orders[],MATCH("OrderDateTime",Orders[#Headers],0),FALSE)),"CHECK")</f>
        <v>45893</v>
      </c>
      <c r="H787" s="7" t="str">
        <f>IFERROR(VLOOKUP($A787,Orders[],MATCH(H$1,Orders[#Headers],0),FALSE),"CHECK")</f>
        <v>Plant 2 Canteen</v>
      </c>
      <c r="I787">
        <f>IFERROR(VLOOKUP(OrderLines[[#This Row],[OrderID]],Orders[],MATCH(OrderLines[[#Headers],[DiscountPct]],Orders[#Headers],0),FALSE),"CHECK")</f>
        <v>0</v>
      </c>
      <c r="J787" t="str">
        <f>IFERROR(VLOOKUP(OrderLines[[#This Row],[OrderID]],Orders[],MATCH(OrderLines[[#Headers],[Shift]],Orders[#Headers],0),FALSE),"CHECK")</f>
        <v>Lunch</v>
      </c>
      <c r="K787" s="11">
        <f>OrderLines[[#This Row],[Qty]] * OrderLines[[#This Row],[UnitPrice]] * (1-OrderLines[[#This Row],[DiscountPct]])</f>
        <v>170.83</v>
      </c>
      <c r="L787">
        <f>OrderLines[[#This Row],[Qty]]*OrderLines[[#This Row],[UnitCost]]</f>
        <v>74.069999999999993</v>
      </c>
    </row>
    <row r="788" spans="1:12" x14ac:dyDescent="0.25">
      <c r="A788" t="s">
        <v>343</v>
      </c>
      <c r="B788" t="s">
        <v>417</v>
      </c>
      <c r="C788">
        <v>3</v>
      </c>
      <c r="D788" s="9">
        <f>IFERROR(VLOOKUP($B788,Menu[],MATCH(D$1,Menu[#Headers],0),FALSE),"CHECK")</f>
        <v>146.4</v>
      </c>
      <c r="E788" s="9">
        <f>IFERROR(VLOOKUP($B788,Menu[],MATCH(E$1,Menu[#Headers],0),FALSE),"CHECK")</f>
        <v>80.92</v>
      </c>
      <c r="F788" t="str">
        <f>IFERROR(VLOOKUP($B788,Menu[],MATCH(F$1,Menu[#Headers],0),FALSE),"CHECK")</f>
        <v>Hot Meal</v>
      </c>
      <c r="G788" s="7">
        <f>IFERROR(INT(VLOOKUP($A788,Orders[],MATCH("OrderDateTime",Orders[#Headers],0),FALSE)),"CHECK")</f>
        <v>45893</v>
      </c>
      <c r="H788" s="7" t="str">
        <f>IFERROR(VLOOKUP($A788,Orders[],MATCH(H$1,Orders[#Headers],0),FALSE),"CHECK")</f>
        <v>Plant 2 Canteen</v>
      </c>
      <c r="I788">
        <f>IFERROR(VLOOKUP(OrderLines[[#This Row],[OrderID]],Orders[],MATCH(OrderLines[[#Headers],[DiscountPct]],Orders[#Headers],0),FALSE),"CHECK")</f>
        <v>0</v>
      </c>
      <c r="J788" t="str">
        <f>IFERROR(VLOOKUP(OrderLines[[#This Row],[OrderID]],Orders[],MATCH(OrderLines[[#Headers],[Shift]],Orders[#Headers],0),FALSE),"CHECK")</f>
        <v>Lunch</v>
      </c>
      <c r="K788" s="11">
        <f>OrderLines[[#This Row],[Qty]] * OrderLines[[#This Row],[UnitPrice]] * (1-OrderLines[[#This Row],[DiscountPct]])</f>
        <v>439.20000000000005</v>
      </c>
      <c r="L788">
        <f>OrderLines[[#This Row],[Qty]]*OrderLines[[#This Row],[UnitCost]]</f>
        <v>242.76</v>
      </c>
    </row>
    <row r="789" spans="1:12" x14ac:dyDescent="0.25">
      <c r="A789" t="s">
        <v>344</v>
      </c>
      <c r="B789" t="s">
        <v>403</v>
      </c>
      <c r="C789">
        <v>1</v>
      </c>
      <c r="D789" s="9">
        <f>IFERROR(VLOOKUP($B789,Menu[],MATCH(D$1,Menu[#Headers],0),FALSE),"CHECK")</f>
        <v>76.55</v>
      </c>
      <c r="E789" s="9">
        <f>IFERROR(VLOOKUP($B789,Menu[],MATCH(E$1,Menu[#Headers],0),FALSE),"CHECK")</f>
        <v>38.229999999999997</v>
      </c>
      <c r="F789" t="str">
        <f>IFERROR(VLOOKUP($B789,Menu[],MATCH(F$1,Menu[#Headers],0),FALSE),"CHECK")</f>
        <v>Dessert</v>
      </c>
      <c r="G789" s="7">
        <f>IFERROR(INT(VLOOKUP($A789,Orders[],MATCH("OrderDateTime",Orders[#Headers],0),FALSE)),"CHECK")</f>
        <v>45890</v>
      </c>
      <c r="H789" s="7" t="str">
        <f>IFERROR(VLOOKUP($A789,Orders[],MATCH(H$1,Orders[#Headers],0),FALSE),"CHECK")</f>
        <v>Plant 1 Canteen</v>
      </c>
      <c r="I789">
        <f>IFERROR(VLOOKUP(OrderLines[[#This Row],[OrderID]],Orders[],MATCH(OrderLines[[#Headers],[DiscountPct]],Orders[#Headers],0),FALSE),"CHECK")</f>
        <v>0.03</v>
      </c>
      <c r="J789" t="str">
        <f>IFERROR(VLOOKUP(OrderLines[[#This Row],[OrderID]],Orders[],MATCH(OrderLines[[#Headers],[Shift]],Orders[#Headers],0),FALSE),"CHECK")</f>
        <v>Breakfast</v>
      </c>
      <c r="K789" s="11">
        <f>OrderLines[[#This Row],[Qty]] * OrderLines[[#This Row],[UnitPrice]] * (1-OrderLines[[#This Row],[DiscountPct]])</f>
        <v>74.253499999999988</v>
      </c>
      <c r="L789">
        <f>OrderLines[[#This Row],[Qty]]*OrderLines[[#This Row],[UnitCost]]</f>
        <v>38.229999999999997</v>
      </c>
    </row>
    <row r="790" spans="1:12" x14ac:dyDescent="0.25">
      <c r="A790" t="s">
        <v>344</v>
      </c>
      <c r="B790" t="s">
        <v>407</v>
      </c>
      <c r="C790">
        <v>1</v>
      </c>
      <c r="D790" s="9">
        <f>IFERROR(VLOOKUP($B790,Menu[],MATCH(D$1,Menu[#Headers],0),FALSE),"CHECK")</f>
        <v>246.09</v>
      </c>
      <c r="E790" s="9">
        <f>IFERROR(VLOOKUP($B790,Menu[],MATCH(E$1,Menu[#Headers],0),FALSE),"CHECK")</f>
        <v>112.08</v>
      </c>
      <c r="F790" t="str">
        <f>IFERROR(VLOOKUP($B790,Menu[],MATCH(F$1,Menu[#Headers],0),FALSE),"CHECK")</f>
        <v>Hot Meal</v>
      </c>
      <c r="G790" s="7">
        <f>IFERROR(INT(VLOOKUP($A790,Orders[],MATCH("OrderDateTime",Orders[#Headers],0),FALSE)),"CHECK")</f>
        <v>45890</v>
      </c>
      <c r="H790" s="7" t="str">
        <f>IFERROR(VLOOKUP($A790,Orders[],MATCH(H$1,Orders[#Headers],0),FALSE),"CHECK")</f>
        <v>Plant 1 Canteen</v>
      </c>
      <c r="I790">
        <f>IFERROR(VLOOKUP(OrderLines[[#This Row],[OrderID]],Orders[],MATCH(OrderLines[[#Headers],[DiscountPct]],Orders[#Headers],0),FALSE),"CHECK")</f>
        <v>0.03</v>
      </c>
      <c r="J790" t="str">
        <f>IFERROR(VLOOKUP(OrderLines[[#This Row],[OrderID]],Orders[],MATCH(OrderLines[[#Headers],[Shift]],Orders[#Headers],0),FALSE),"CHECK")</f>
        <v>Breakfast</v>
      </c>
      <c r="K790" s="11">
        <f>OrderLines[[#This Row],[Qty]] * OrderLines[[#This Row],[UnitPrice]] * (1-OrderLines[[#This Row],[DiscountPct]])</f>
        <v>238.7073</v>
      </c>
      <c r="L790">
        <f>OrderLines[[#This Row],[Qty]]*OrderLines[[#This Row],[UnitCost]]</f>
        <v>112.08</v>
      </c>
    </row>
    <row r="791" spans="1:12" x14ac:dyDescent="0.25">
      <c r="A791" t="s">
        <v>344</v>
      </c>
      <c r="B791" t="s">
        <v>411</v>
      </c>
      <c r="C791">
        <v>2</v>
      </c>
      <c r="D791" s="9">
        <f>IFERROR(VLOOKUP($B791,Menu[],MATCH(D$1,Menu[#Headers],0),FALSE),"CHECK")</f>
        <v>22.2</v>
      </c>
      <c r="E791" s="9">
        <f>IFERROR(VLOOKUP($B791,Menu[],MATCH(E$1,Menu[#Headers],0),FALSE),"CHECK")</f>
        <v>9.3800000000000008</v>
      </c>
      <c r="F791" t="str">
        <f>IFERROR(VLOOKUP($B791,Menu[],MATCH(F$1,Menu[#Headers],0),FALSE),"CHECK")</f>
        <v>Beverage</v>
      </c>
      <c r="G791" s="7">
        <f>IFERROR(INT(VLOOKUP($A791,Orders[],MATCH("OrderDateTime",Orders[#Headers],0),FALSE)),"CHECK")</f>
        <v>45890</v>
      </c>
      <c r="H791" s="7" t="str">
        <f>IFERROR(VLOOKUP($A791,Orders[],MATCH(H$1,Orders[#Headers],0),FALSE),"CHECK")</f>
        <v>Plant 1 Canteen</v>
      </c>
      <c r="I791">
        <f>IFERROR(VLOOKUP(OrderLines[[#This Row],[OrderID]],Orders[],MATCH(OrderLines[[#Headers],[DiscountPct]],Orders[#Headers],0),FALSE),"CHECK")</f>
        <v>0.03</v>
      </c>
      <c r="J791" t="str">
        <f>IFERROR(VLOOKUP(OrderLines[[#This Row],[OrderID]],Orders[],MATCH(OrderLines[[#Headers],[Shift]],Orders[#Headers],0),FALSE),"CHECK")</f>
        <v>Breakfast</v>
      </c>
      <c r="K791" s="11">
        <f>OrderLines[[#This Row],[Qty]] * OrderLines[[#This Row],[UnitPrice]] * (1-OrderLines[[#This Row],[DiscountPct]])</f>
        <v>43.067999999999998</v>
      </c>
      <c r="L791">
        <f>OrderLines[[#This Row],[Qty]]*OrderLines[[#This Row],[UnitCost]]</f>
        <v>18.760000000000002</v>
      </c>
    </row>
    <row r="792" spans="1:12" x14ac:dyDescent="0.25">
      <c r="A792" t="s">
        <v>344</v>
      </c>
      <c r="B792" t="s">
        <v>402</v>
      </c>
      <c r="C792">
        <v>2</v>
      </c>
      <c r="D792" s="9">
        <f>IFERROR(VLOOKUP($B792,Menu[],MATCH(D$1,Menu[#Headers],0),FALSE),"CHECK")</f>
        <v>30.34</v>
      </c>
      <c r="E792" s="9">
        <f>IFERROR(VLOOKUP($B792,Menu[],MATCH(E$1,Menu[#Headers],0),FALSE),"CHECK")</f>
        <v>14.18</v>
      </c>
      <c r="F792" t="str">
        <f>IFERROR(VLOOKUP($B792,Menu[],MATCH(F$1,Menu[#Headers],0),FALSE),"CHECK")</f>
        <v>Beverage</v>
      </c>
      <c r="G792" s="7">
        <f>IFERROR(INT(VLOOKUP($A792,Orders[],MATCH("OrderDateTime",Orders[#Headers],0),FALSE)),"CHECK")</f>
        <v>45890</v>
      </c>
      <c r="H792" s="7" t="str">
        <f>IFERROR(VLOOKUP($A792,Orders[],MATCH(H$1,Orders[#Headers],0),FALSE),"CHECK")</f>
        <v>Plant 1 Canteen</v>
      </c>
      <c r="I792">
        <f>IFERROR(VLOOKUP(OrderLines[[#This Row],[OrderID]],Orders[],MATCH(OrderLines[[#Headers],[DiscountPct]],Orders[#Headers],0),FALSE),"CHECK")</f>
        <v>0.03</v>
      </c>
      <c r="J792" t="str">
        <f>IFERROR(VLOOKUP(OrderLines[[#This Row],[OrderID]],Orders[],MATCH(OrderLines[[#Headers],[Shift]],Orders[#Headers],0),FALSE),"CHECK")</f>
        <v>Breakfast</v>
      </c>
      <c r="K792" s="11">
        <f>OrderLines[[#This Row],[Qty]] * OrderLines[[#This Row],[UnitPrice]] * (1-OrderLines[[#This Row],[DiscountPct]])</f>
        <v>58.8596</v>
      </c>
      <c r="L792">
        <f>OrderLines[[#This Row],[Qty]]*OrderLines[[#This Row],[UnitCost]]</f>
        <v>28.36</v>
      </c>
    </row>
    <row r="793" spans="1:12" x14ac:dyDescent="0.25">
      <c r="A793" t="s">
        <v>345</v>
      </c>
      <c r="B793" t="s">
        <v>415</v>
      </c>
      <c r="C793">
        <v>1</v>
      </c>
      <c r="D793" s="9">
        <f>IFERROR(VLOOKUP($B793,Menu[],MATCH(D$1,Menu[#Headers],0),FALSE),"CHECK")</f>
        <v>256.91000000000003</v>
      </c>
      <c r="E793" s="9">
        <f>IFERROR(VLOOKUP($B793,Menu[],MATCH(E$1,Menu[#Headers],0),FALSE),"CHECK")</f>
        <v>121.24</v>
      </c>
      <c r="F793" t="str">
        <f>IFERROR(VLOOKUP($B793,Menu[],MATCH(F$1,Menu[#Headers],0),FALSE),"CHECK")</f>
        <v>Hot Meal</v>
      </c>
      <c r="G793" s="7">
        <f>IFERROR(INT(VLOOKUP($A793,Orders[],MATCH("OrderDateTime",Orders[#Headers],0),FALSE)),"CHECK")</f>
        <v>45888</v>
      </c>
      <c r="H793" s="7" t="str">
        <f>IFERROR(VLOOKUP($A793,Orders[],MATCH(H$1,Orders[#Headers],0),FALSE),"CHECK")</f>
        <v>Plant 2 Canteen</v>
      </c>
      <c r="I793">
        <f>IFERROR(VLOOKUP(OrderLines[[#This Row],[OrderID]],Orders[],MATCH(OrderLines[[#Headers],[DiscountPct]],Orders[#Headers],0),FALSE),"CHECK")</f>
        <v>0.05</v>
      </c>
      <c r="J793" t="str">
        <f>IFERROR(VLOOKUP(OrderLines[[#This Row],[OrderID]],Orders[],MATCH(OrderLines[[#Headers],[Shift]],Orders[#Headers],0),FALSE),"CHECK")</f>
        <v>Lunch</v>
      </c>
      <c r="K793" s="11">
        <f>OrderLines[[#This Row],[Qty]] * OrderLines[[#This Row],[UnitPrice]] * (1-OrderLines[[#This Row],[DiscountPct]])</f>
        <v>244.06450000000001</v>
      </c>
      <c r="L793">
        <f>OrderLines[[#This Row],[Qty]]*OrderLines[[#This Row],[UnitCost]]</f>
        <v>121.24</v>
      </c>
    </row>
    <row r="794" spans="1:12" x14ac:dyDescent="0.25">
      <c r="A794" t="s">
        <v>345</v>
      </c>
      <c r="B794" t="s">
        <v>413</v>
      </c>
      <c r="C794">
        <v>3</v>
      </c>
      <c r="D794" s="9">
        <f>IFERROR(VLOOKUP($B794,Menu[],MATCH(D$1,Menu[#Headers],0),FALSE),"CHECK")</f>
        <v>54.2</v>
      </c>
      <c r="E794" s="9">
        <f>IFERROR(VLOOKUP($B794,Menu[],MATCH(E$1,Menu[#Headers],0),FALSE),"CHECK")</f>
        <v>21.95</v>
      </c>
      <c r="F794" t="str">
        <f>IFERROR(VLOOKUP($B794,Menu[],MATCH(F$1,Menu[#Headers],0),FALSE),"CHECK")</f>
        <v>Dessert</v>
      </c>
      <c r="G794" s="7">
        <f>IFERROR(INT(VLOOKUP($A794,Orders[],MATCH("OrderDateTime",Orders[#Headers],0),FALSE)),"CHECK")</f>
        <v>45888</v>
      </c>
      <c r="H794" s="7" t="str">
        <f>IFERROR(VLOOKUP($A794,Orders[],MATCH(H$1,Orders[#Headers],0),FALSE),"CHECK")</f>
        <v>Plant 2 Canteen</v>
      </c>
      <c r="I794">
        <f>IFERROR(VLOOKUP(OrderLines[[#This Row],[OrderID]],Orders[],MATCH(OrderLines[[#Headers],[DiscountPct]],Orders[#Headers],0),FALSE),"CHECK")</f>
        <v>0.05</v>
      </c>
      <c r="J794" t="str">
        <f>IFERROR(VLOOKUP(OrderLines[[#This Row],[OrderID]],Orders[],MATCH(OrderLines[[#Headers],[Shift]],Orders[#Headers],0),FALSE),"CHECK")</f>
        <v>Lunch</v>
      </c>
      <c r="K794" s="11">
        <f>OrderLines[[#This Row],[Qty]] * OrderLines[[#This Row],[UnitPrice]] * (1-OrderLines[[#This Row],[DiscountPct]])</f>
        <v>154.47000000000003</v>
      </c>
      <c r="L794">
        <f>OrderLines[[#This Row],[Qty]]*OrderLines[[#This Row],[UnitCost]]</f>
        <v>65.849999999999994</v>
      </c>
    </row>
    <row r="795" spans="1:12" x14ac:dyDescent="0.25">
      <c r="A795" t="s">
        <v>345</v>
      </c>
      <c r="B795" t="s">
        <v>414</v>
      </c>
      <c r="C795">
        <v>1</v>
      </c>
      <c r="D795" s="9">
        <f>IFERROR(VLOOKUP($B795,Menu[],MATCH(D$1,Menu[#Headers],0),FALSE),"CHECK")</f>
        <v>116.8</v>
      </c>
      <c r="E795" s="9">
        <f>IFERROR(VLOOKUP($B795,Menu[],MATCH(E$1,Menu[#Headers],0),FALSE),"CHECK")</f>
        <v>48.97</v>
      </c>
      <c r="F795" t="str">
        <f>IFERROR(VLOOKUP($B795,Menu[],MATCH(F$1,Menu[#Headers],0),FALSE),"CHECK")</f>
        <v>Dessert</v>
      </c>
      <c r="G795" s="7">
        <f>IFERROR(INT(VLOOKUP($A795,Orders[],MATCH("OrderDateTime",Orders[#Headers],0),FALSE)),"CHECK")</f>
        <v>45888</v>
      </c>
      <c r="H795" s="7" t="str">
        <f>IFERROR(VLOOKUP($A795,Orders[],MATCH(H$1,Orders[#Headers],0),FALSE),"CHECK")</f>
        <v>Plant 2 Canteen</v>
      </c>
      <c r="I795">
        <f>IFERROR(VLOOKUP(OrderLines[[#This Row],[OrderID]],Orders[],MATCH(OrderLines[[#Headers],[DiscountPct]],Orders[#Headers],0),FALSE),"CHECK")</f>
        <v>0.05</v>
      </c>
      <c r="J795" t="str">
        <f>IFERROR(VLOOKUP(OrderLines[[#This Row],[OrderID]],Orders[],MATCH(OrderLines[[#Headers],[Shift]],Orders[#Headers],0),FALSE),"CHECK")</f>
        <v>Lunch</v>
      </c>
      <c r="K795" s="11">
        <f>OrderLines[[#This Row],[Qty]] * OrderLines[[#This Row],[UnitPrice]] * (1-OrderLines[[#This Row],[DiscountPct]])</f>
        <v>110.96</v>
      </c>
      <c r="L795">
        <f>OrderLines[[#This Row],[Qty]]*OrderLines[[#This Row],[UnitCost]]</f>
        <v>48.97</v>
      </c>
    </row>
    <row r="796" spans="1:12" x14ac:dyDescent="0.25">
      <c r="A796" t="s">
        <v>345</v>
      </c>
      <c r="B796" t="s">
        <v>407</v>
      </c>
      <c r="C796">
        <v>2</v>
      </c>
      <c r="D796" s="9">
        <f>IFERROR(VLOOKUP($B796,Menu[],MATCH(D$1,Menu[#Headers],0),FALSE),"CHECK")</f>
        <v>246.09</v>
      </c>
      <c r="E796" s="9">
        <f>IFERROR(VLOOKUP($B796,Menu[],MATCH(E$1,Menu[#Headers],0),FALSE),"CHECK")</f>
        <v>112.08</v>
      </c>
      <c r="F796" t="str">
        <f>IFERROR(VLOOKUP($B796,Menu[],MATCH(F$1,Menu[#Headers],0),FALSE),"CHECK")</f>
        <v>Hot Meal</v>
      </c>
      <c r="G796" s="7">
        <f>IFERROR(INT(VLOOKUP($A796,Orders[],MATCH("OrderDateTime",Orders[#Headers],0),FALSE)),"CHECK")</f>
        <v>45888</v>
      </c>
      <c r="H796" s="7" t="str">
        <f>IFERROR(VLOOKUP($A796,Orders[],MATCH(H$1,Orders[#Headers],0),FALSE),"CHECK")</f>
        <v>Plant 2 Canteen</v>
      </c>
      <c r="I796">
        <f>IFERROR(VLOOKUP(OrderLines[[#This Row],[OrderID]],Orders[],MATCH(OrderLines[[#Headers],[DiscountPct]],Orders[#Headers],0),FALSE),"CHECK")</f>
        <v>0.05</v>
      </c>
      <c r="J796" t="str">
        <f>IFERROR(VLOOKUP(OrderLines[[#This Row],[OrderID]],Orders[],MATCH(OrderLines[[#Headers],[Shift]],Orders[#Headers],0),FALSE),"CHECK")</f>
        <v>Lunch</v>
      </c>
      <c r="K796" s="11">
        <f>OrderLines[[#This Row],[Qty]] * OrderLines[[#This Row],[UnitPrice]] * (1-OrderLines[[#This Row],[DiscountPct]])</f>
        <v>467.57099999999997</v>
      </c>
      <c r="L796">
        <f>OrderLines[[#This Row],[Qty]]*OrderLines[[#This Row],[UnitCost]]</f>
        <v>224.16</v>
      </c>
    </row>
    <row r="797" spans="1:12" x14ac:dyDescent="0.25">
      <c r="A797" t="s">
        <v>346</v>
      </c>
      <c r="B797" t="s">
        <v>404</v>
      </c>
      <c r="C797">
        <v>1</v>
      </c>
      <c r="D797" s="9">
        <f>IFERROR(VLOOKUP($B797,Menu[],MATCH(D$1,Menu[#Headers],0),FALSE),"CHECK")</f>
        <v>32.979999999999997</v>
      </c>
      <c r="E797" s="9">
        <f>IFERROR(VLOOKUP($B797,Menu[],MATCH(E$1,Menu[#Headers],0),FALSE),"CHECK")</f>
        <v>11.84</v>
      </c>
      <c r="F797" t="str">
        <f>IFERROR(VLOOKUP($B797,Menu[],MATCH(F$1,Menu[#Headers],0),FALSE),"CHECK")</f>
        <v>Beverage</v>
      </c>
      <c r="G797" s="7">
        <f>IFERROR(INT(VLOOKUP($A797,Orders[],MATCH("OrderDateTime",Orders[#Headers],0),FALSE)),"CHECK")</f>
        <v>45856</v>
      </c>
      <c r="H797" s="7" t="str">
        <f>IFERROR(VLOOKUP($A797,Orders[],MATCH(H$1,Orders[#Headers],0),FALSE),"CHECK")</f>
        <v>Plant 1 Canteen</v>
      </c>
      <c r="I797">
        <f>IFERROR(VLOOKUP(OrderLines[[#This Row],[OrderID]],Orders[],MATCH(OrderLines[[#Headers],[DiscountPct]],Orders[#Headers],0),FALSE),"CHECK")</f>
        <v>7.0000000000000007E-2</v>
      </c>
      <c r="J797" t="str">
        <f>IFERROR(VLOOKUP(OrderLines[[#This Row],[OrderID]],Orders[],MATCH(OrderLines[[#Headers],[Shift]],Orders[#Headers],0),FALSE),"CHECK")</f>
        <v>Dinner</v>
      </c>
      <c r="K797" s="11">
        <f>OrderLines[[#This Row],[Qty]] * OrderLines[[#This Row],[UnitPrice]] * (1-OrderLines[[#This Row],[DiscountPct]])</f>
        <v>30.671399999999995</v>
      </c>
      <c r="L797">
        <f>OrderLines[[#This Row],[Qty]]*OrderLines[[#This Row],[UnitCost]]</f>
        <v>11.84</v>
      </c>
    </row>
    <row r="798" spans="1:12" x14ac:dyDescent="0.25">
      <c r="A798" t="s">
        <v>346</v>
      </c>
      <c r="B798" t="s">
        <v>406</v>
      </c>
      <c r="C798">
        <v>2</v>
      </c>
      <c r="D798" s="9">
        <f>IFERROR(VLOOKUP($B798,Menu[],MATCH(D$1,Menu[#Headers],0),FALSE),"CHECK")</f>
        <v>38.06</v>
      </c>
      <c r="E798" s="9">
        <f>IFERROR(VLOOKUP($B798,Menu[],MATCH(E$1,Menu[#Headers],0),FALSE),"CHECK")</f>
        <v>19.55</v>
      </c>
      <c r="F798" t="str">
        <f>IFERROR(VLOOKUP($B798,Menu[],MATCH(F$1,Menu[#Headers],0),FALSE),"CHECK")</f>
        <v>Snack</v>
      </c>
      <c r="G798" s="7">
        <f>IFERROR(INT(VLOOKUP($A798,Orders[],MATCH("OrderDateTime",Orders[#Headers],0),FALSE)),"CHECK")</f>
        <v>45856</v>
      </c>
      <c r="H798" s="7" t="str">
        <f>IFERROR(VLOOKUP($A798,Orders[],MATCH(H$1,Orders[#Headers],0),FALSE),"CHECK")</f>
        <v>Plant 1 Canteen</v>
      </c>
      <c r="I798">
        <f>IFERROR(VLOOKUP(OrderLines[[#This Row],[OrderID]],Orders[],MATCH(OrderLines[[#Headers],[DiscountPct]],Orders[#Headers],0),FALSE),"CHECK")</f>
        <v>7.0000000000000007E-2</v>
      </c>
      <c r="J798" t="str">
        <f>IFERROR(VLOOKUP(OrderLines[[#This Row],[OrderID]],Orders[],MATCH(OrderLines[[#Headers],[Shift]],Orders[#Headers],0),FALSE),"CHECK")</f>
        <v>Dinner</v>
      </c>
      <c r="K798" s="11">
        <f>OrderLines[[#This Row],[Qty]] * OrderLines[[#This Row],[UnitPrice]] * (1-OrderLines[[#This Row],[DiscountPct]])</f>
        <v>70.791600000000003</v>
      </c>
      <c r="L798">
        <f>OrderLines[[#This Row],[Qty]]*OrderLines[[#This Row],[UnitCost]]</f>
        <v>39.1</v>
      </c>
    </row>
    <row r="799" spans="1:12" x14ac:dyDescent="0.25">
      <c r="A799" t="s">
        <v>347</v>
      </c>
      <c r="B799" t="s">
        <v>410</v>
      </c>
      <c r="C799">
        <v>1</v>
      </c>
      <c r="D799" s="9">
        <f>IFERROR(VLOOKUP($B799,Menu[],MATCH(D$1,Menu[#Headers],0),FALSE),"CHECK")</f>
        <v>20.11</v>
      </c>
      <c r="E799" s="9">
        <f>IFERROR(VLOOKUP($B799,Menu[],MATCH(E$1,Menu[#Headers],0),FALSE),"CHECK")</f>
        <v>8</v>
      </c>
      <c r="F799" t="str">
        <f>IFERROR(VLOOKUP($B799,Menu[],MATCH(F$1,Menu[#Headers],0),FALSE),"CHECK")</f>
        <v>Beverage</v>
      </c>
      <c r="G799" s="7">
        <f>IFERROR(INT(VLOOKUP($A799,Orders[],MATCH("OrderDateTime",Orders[#Headers],0),FALSE)),"CHECK")</f>
        <v>45861</v>
      </c>
      <c r="H799" s="7" t="str">
        <f>IFERROR(VLOOKUP($A799,Orders[],MATCH(H$1,Orders[#Headers],0),FALSE),"CHECK")</f>
        <v>Plant 1 Canteen</v>
      </c>
      <c r="I799">
        <f>IFERROR(VLOOKUP(OrderLines[[#This Row],[OrderID]],Orders[],MATCH(OrderLines[[#Headers],[DiscountPct]],Orders[#Headers],0),FALSE),"CHECK")</f>
        <v>0.12</v>
      </c>
      <c r="J799" t="str">
        <f>IFERROR(VLOOKUP(OrderLines[[#This Row],[OrderID]],Orders[],MATCH(OrderLines[[#Headers],[Shift]],Orders[#Headers],0),FALSE),"CHECK")</f>
        <v>Breakfast</v>
      </c>
      <c r="K799" s="11">
        <f>OrderLines[[#This Row],[Qty]] * OrderLines[[#This Row],[UnitPrice]] * (1-OrderLines[[#This Row],[DiscountPct]])</f>
        <v>17.6968</v>
      </c>
      <c r="L799">
        <f>OrderLines[[#This Row],[Qty]]*OrderLines[[#This Row],[UnitCost]]</f>
        <v>8</v>
      </c>
    </row>
    <row r="800" spans="1:12" x14ac:dyDescent="0.25">
      <c r="A800" t="s">
        <v>347</v>
      </c>
      <c r="B800" t="s">
        <v>412</v>
      </c>
      <c r="C800">
        <v>2</v>
      </c>
      <c r="D800" s="9">
        <f>IFERROR(VLOOKUP($B800,Menu[],MATCH(D$1,Menu[#Headers],0),FALSE),"CHECK")</f>
        <v>57.07</v>
      </c>
      <c r="E800" s="9">
        <f>IFERROR(VLOOKUP($B800,Menu[],MATCH(E$1,Menu[#Headers],0),FALSE),"CHECK")</f>
        <v>29.14</v>
      </c>
      <c r="F800" t="str">
        <f>IFERROR(VLOOKUP($B800,Menu[],MATCH(F$1,Menu[#Headers],0),FALSE),"CHECK")</f>
        <v>Dessert</v>
      </c>
      <c r="G800" s="7">
        <f>IFERROR(INT(VLOOKUP($A800,Orders[],MATCH("OrderDateTime",Orders[#Headers],0),FALSE)),"CHECK")</f>
        <v>45861</v>
      </c>
      <c r="H800" s="7" t="str">
        <f>IFERROR(VLOOKUP($A800,Orders[],MATCH(H$1,Orders[#Headers],0),FALSE),"CHECK")</f>
        <v>Plant 1 Canteen</v>
      </c>
      <c r="I800">
        <f>IFERROR(VLOOKUP(OrderLines[[#This Row],[OrderID]],Orders[],MATCH(OrderLines[[#Headers],[DiscountPct]],Orders[#Headers],0),FALSE),"CHECK")</f>
        <v>0.12</v>
      </c>
      <c r="J800" t="str">
        <f>IFERROR(VLOOKUP(OrderLines[[#This Row],[OrderID]],Orders[],MATCH(OrderLines[[#Headers],[Shift]],Orders[#Headers],0),FALSE),"CHECK")</f>
        <v>Breakfast</v>
      </c>
      <c r="K800" s="11">
        <f>OrderLines[[#This Row],[Qty]] * OrderLines[[#This Row],[UnitPrice]] * (1-OrderLines[[#This Row],[DiscountPct]])</f>
        <v>100.4432</v>
      </c>
      <c r="L800">
        <f>OrderLines[[#This Row],[Qty]]*OrderLines[[#This Row],[UnitCost]]</f>
        <v>58.28</v>
      </c>
    </row>
    <row r="801" spans="1:12" x14ac:dyDescent="0.25">
      <c r="A801" t="s">
        <v>347</v>
      </c>
      <c r="B801" t="s">
        <v>419</v>
      </c>
      <c r="C801">
        <v>1</v>
      </c>
      <c r="D801" s="9">
        <f>IFERROR(VLOOKUP($B801,Menu[],MATCH(D$1,Menu[#Headers],0),FALSE),"CHECK")</f>
        <v>50.19</v>
      </c>
      <c r="E801" s="9">
        <f>IFERROR(VLOOKUP($B801,Menu[],MATCH(E$1,Menu[#Headers],0),FALSE),"CHECK")</f>
        <v>22.61</v>
      </c>
      <c r="F801" t="str">
        <f>IFERROR(VLOOKUP($B801,Menu[],MATCH(F$1,Menu[#Headers],0),FALSE),"CHECK")</f>
        <v>Snack</v>
      </c>
      <c r="G801" s="7">
        <f>IFERROR(INT(VLOOKUP($A801,Orders[],MATCH("OrderDateTime",Orders[#Headers],0),FALSE)),"CHECK")</f>
        <v>45861</v>
      </c>
      <c r="H801" s="7" t="str">
        <f>IFERROR(VLOOKUP($A801,Orders[],MATCH(H$1,Orders[#Headers],0),FALSE),"CHECK")</f>
        <v>Plant 1 Canteen</v>
      </c>
      <c r="I801">
        <f>IFERROR(VLOOKUP(OrderLines[[#This Row],[OrderID]],Orders[],MATCH(OrderLines[[#Headers],[DiscountPct]],Orders[#Headers],0),FALSE),"CHECK")</f>
        <v>0.12</v>
      </c>
      <c r="J801" t="str">
        <f>IFERROR(VLOOKUP(OrderLines[[#This Row],[OrderID]],Orders[],MATCH(OrderLines[[#Headers],[Shift]],Orders[#Headers],0),FALSE),"CHECK")</f>
        <v>Breakfast</v>
      </c>
      <c r="K801" s="11">
        <f>OrderLines[[#This Row],[Qty]] * OrderLines[[#This Row],[UnitPrice]] * (1-OrderLines[[#This Row],[DiscountPct]])</f>
        <v>44.167200000000001</v>
      </c>
      <c r="L801">
        <f>OrderLines[[#This Row],[Qty]]*OrderLines[[#This Row],[UnitCost]]</f>
        <v>22.61</v>
      </c>
    </row>
    <row r="802" spans="1:12" x14ac:dyDescent="0.25">
      <c r="A802" t="s">
        <v>348</v>
      </c>
      <c r="B802" t="s">
        <v>403</v>
      </c>
      <c r="C802">
        <v>2</v>
      </c>
      <c r="D802" s="9">
        <f>IFERROR(VLOOKUP($B802,Menu[],MATCH(D$1,Menu[#Headers],0),FALSE),"CHECK")</f>
        <v>76.55</v>
      </c>
      <c r="E802" s="9">
        <f>IFERROR(VLOOKUP($B802,Menu[],MATCH(E$1,Menu[#Headers],0),FALSE),"CHECK")</f>
        <v>38.229999999999997</v>
      </c>
      <c r="F802" t="str">
        <f>IFERROR(VLOOKUP($B802,Menu[],MATCH(F$1,Menu[#Headers],0),FALSE),"CHECK")</f>
        <v>Dessert</v>
      </c>
      <c r="G802" s="7">
        <f>IFERROR(INT(VLOOKUP($A802,Orders[],MATCH("OrderDateTime",Orders[#Headers],0),FALSE)),"CHECK")</f>
        <v>45849</v>
      </c>
      <c r="H802" s="7" t="str">
        <f>IFERROR(VLOOKUP($A802,Orders[],MATCH(H$1,Orders[#Headers],0),FALSE),"CHECK")</f>
        <v>Head Office Café</v>
      </c>
      <c r="I802">
        <f>IFERROR(VLOOKUP(OrderLines[[#This Row],[OrderID]],Orders[],MATCH(OrderLines[[#Headers],[DiscountPct]],Orders[#Headers],0),FALSE),"CHECK")</f>
        <v>0.09</v>
      </c>
      <c r="J802" t="str">
        <f>IFERROR(VLOOKUP(OrderLines[[#This Row],[OrderID]],Orders[],MATCH(OrderLines[[#Headers],[Shift]],Orders[#Headers],0),FALSE),"CHECK")</f>
        <v>Breakfast</v>
      </c>
      <c r="K802" s="11">
        <f>OrderLines[[#This Row],[Qty]] * OrderLines[[#This Row],[UnitPrice]] * (1-OrderLines[[#This Row],[DiscountPct]])</f>
        <v>139.321</v>
      </c>
      <c r="L802">
        <f>OrderLines[[#This Row],[Qty]]*OrderLines[[#This Row],[UnitCost]]</f>
        <v>76.459999999999994</v>
      </c>
    </row>
    <row r="803" spans="1:12" x14ac:dyDescent="0.25">
      <c r="A803" t="s">
        <v>348</v>
      </c>
      <c r="B803" t="s">
        <v>414</v>
      </c>
      <c r="C803">
        <v>1</v>
      </c>
      <c r="D803" s="9">
        <f>IFERROR(VLOOKUP($B803,Menu[],MATCH(D$1,Menu[#Headers],0),FALSE),"CHECK")</f>
        <v>116.8</v>
      </c>
      <c r="E803" s="9">
        <f>IFERROR(VLOOKUP($B803,Menu[],MATCH(E$1,Menu[#Headers],0),FALSE),"CHECK")</f>
        <v>48.97</v>
      </c>
      <c r="F803" t="str">
        <f>IFERROR(VLOOKUP($B803,Menu[],MATCH(F$1,Menu[#Headers],0),FALSE),"CHECK")</f>
        <v>Dessert</v>
      </c>
      <c r="G803" s="7">
        <f>IFERROR(INT(VLOOKUP($A803,Orders[],MATCH("OrderDateTime",Orders[#Headers],0),FALSE)),"CHECK")</f>
        <v>45849</v>
      </c>
      <c r="H803" s="7" t="str">
        <f>IFERROR(VLOOKUP($A803,Orders[],MATCH(H$1,Orders[#Headers],0),FALSE),"CHECK")</f>
        <v>Head Office Café</v>
      </c>
      <c r="I803">
        <f>IFERROR(VLOOKUP(OrderLines[[#This Row],[OrderID]],Orders[],MATCH(OrderLines[[#Headers],[DiscountPct]],Orders[#Headers],0),FALSE),"CHECK")</f>
        <v>0.09</v>
      </c>
      <c r="J803" t="str">
        <f>IFERROR(VLOOKUP(OrderLines[[#This Row],[OrderID]],Orders[],MATCH(OrderLines[[#Headers],[Shift]],Orders[#Headers],0),FALSE),"CHECK")</f>
        <v>Breakfast</v>
      </c>
      <c r="K803" s="11">
        <f>OrderLines[[#This Row],[Qty]] * OrderLines[[#This Row],[UnitPrice]] * (1-OrderLines[[#This Row],[DiscountPct]])</f>
        <v>106.288</v>
      </c>
      <c r="L803">
        <f>OrderLines[[#This Row],[Qty]]*OrderLines[[#This Row],[UnitCost]]</f>
        <v>48.97</v>
      </c>
    </row>
    <row r="804" spans="1:12" x14ac:dyDescent="0.25">
      <c r="A804" t="s">
        <v>348</v>
      </c>
      <c r="B804" t="s">
        <v>406</v>
      </c>
      <c r="C804">
        <v>2</v>
      </c>
      <c r="D804" s="9">
        <f>IFERROR(VLOOKUP($B804,Menu[],MATCH(D$1,Menu[#Headers],0),FALSE),"CHECK")</f>
        <v>38.06</v>
      </c>
      <c r="E804" s="9">
        <f>IFERROR(VLOOKUP($B804,Menu[],MATCH(E$1,Menu[#Headers],0),FALSE),"CHECK")</f>
        <v>19.55</v>
      </c>
      <c r="F804" t="str">
        <f>IFERROR(VLOOKUP($B804,Menu[],MATCH(F$1,Menu[#Headers],0),FALSE),"CHECK")</f>
        <v>Snack</v>
      </c>
      <c r="G804" s="7">
        <f>IFERROR(INT(VLOOKUP($A804,Orders[],MATCH("OrderDateTime",Orders[#Headers],0),FALSE)),"CHECK")</f>
        <v>45849</v>
      </c>
      <c r="H804" s="7" t="str">
        <f>IFERROR(VLOOKUP($A804,Orders[],MATCH(H$1,Orders[#Headers],0),FALSE),"CHECK")</f>
        <v>Head Office Café</v>
      </c>
      <c r="I804">
        <f>IFERROR(VLOOKUP(OrderLines[[#This Row],[OrderID]],Orders[],MATCH(OrderLines[[#Headers],[DiscountPct]],Orders[#Headers],0),FALSE),"CHECK")</f>
        <v>0.09</v>
      </c>
      <c r="J804" t="str">
        <f>IFERROR(VLOOKUP(OrderLines[[#This Row],[OrderID]],Orders[],MATCH(OrderLines[[#Headers],[Shift]],Orders[#Headers],0),FALSE),"CHECK")</f>
        <v>Breakfast</v>
      </c>
      <c r="K804" s="11">
        <f>OrderLines[[#This Row],[Qty]] * OrderLines[[#This Row],[UnitPrice]] * (1-OrderLines[[#This Row],[DiscountPct]])</f>
        <v>69.269200000000012</v>
      </c>
      <c r="L804">
        <f>OrderLines[[#This Row],[Qty]]*OrderLines[[#This Row],[UnitCost]]</f>
        <v>39.1</v>
      </c>
    </row>
    <row r="805" spans="1:12" x14ac:dyDescent="0.25">
      <c r="A805" t="s">
        <v>349</v>
      </c>
      <c r="B805" t="s">
        <v>408</v>
      </c>
      <c r="C805">
        <v>2</v>
      </c>
      <c r="D805" s="9">
        <f>IFERROR(VLOOKUP($B805,Menu[],MATCH(D$1,Menu[#Headers],0),FALSE),"CHECK")</f>
        <v>70.540000000000006</v>
      </c>
      <c r="E805" s="9">
        <f>IFERROR(VLOOKUP($B805,Menu[],MATCH(E$1,Menu[#Headers],0),FALSE),"CHECK")</f>
        <v>35.81</v>
      </c>
      <c r="F805" t="str">
        <f>IFERROR(VLOOKUP($B805,Menu[],MATCH(F$1,Menu[#Headers],0),FALSE),"CHECK")</f>
        <v>Snack</v>
      </c>
      <c r="G805" s="7">
        <f>IFERROR(INT(VLOOKUP($A805,Orders[],MATCH("OrderDateTime",Orders[#Headers],0),FALSE)),"CHECK")</f>
        <v>45842</v>
      </c>
      <c r="H805" s="7" t="str">
        <f>IFERROR(VLOOKUP($A805,Orders[],MATCH(H$1,Orders[#Headers],0),FALSE),"CHECK")</f>
        <v>Head Office Café</v>
      </c>
      <c r="I805">
        <f>IFERROR(VLOOKUP(OrderLines[[#This Row],[OrderID]],Orders[],MATCH(OrderLines[[#Headers],[DiscountPct]],Orders[#Headers],0),FALSE),"CHECK")</f>
        <v>0.05</v>
      </c>
      <c r="J805" t="str">
        <f>IFERROR(VLOOKUP(OrderLines[[#This Row],[OrderID]],Orders[],MATCH(OrderLines[[#Headers],[Shift]],Orders[#Headers],0),FALSE),"CHECK")</f>
        <v>Dinner</v>
      </c>
      <c r="K805" s="11">
        <f>OrderLines[[#This Row],[Qty]] * OrderLines[[#This Row],[UnitPrice]] * (1-OrderLines[[#This Row],[DiscountPct]])</f>
        <v>134.02600000000001</v>
      </c>
      <c r="L805">
        <f>OrderLines[[#This Row],[Qty]]*OrderLines[[#This Row],[UnitCost]]</f>
        <v>71.62</v>
      </c>
    </row>
    <row r="806" spans="1:12" x14ac:dyDescent="0.25">
      <c r="A806" t="s">
        <v>349</v>
      </c>
      <c r="B806" t="s">
        <v>403</v>
      </c>
      <c r="C806">
        <v>1</v>
      </c>
      <c r="D806" s="9">
        <f>IFERROR(VLOOKUP($B806,Menu[],MATCH(D$1,Menu[#Headers],0),FALSE),"CHECK")</f>
        <v>76.55</v>
      </c>
      <c r="E806" s="9">
        <f>IFERROR(VLOOKUP($B806,Menu[],MATCH(E$1,Menu[#Headers],0),FALSE),"CHECK")</f>
        <v>38.229999999999997</v>
      </c>
      <c r="F806" t="str">
        <f>IFERROR(VLOOKUP($B806,Menu[],MATCH(F$1,Menu[#Headers],0),FALSE),"CHECK")</f>
        <v>Dessert</v>
      </c>
      <c r="G806" s="7">
        <f>IFERROR(INT(VLOOKUP($A806,Orders[],MATCH("OrderDateTime",Orders[#Headers],0),FALSE)),"CHECK")</f>
        <v>45842</v>
      </c>
      <c r="H806" s="7" t="str">
        <f>IFERROR(VLOOKUP($A806,Orders[],MATCH(H$1,Orders[#Headers],0),FALSE),"CHECK")</f>
        <v>Head Office Café</v>
      </c>
      <c r="I806">
        <f>IFERROR(VLOOKUP(OrderLines[[#This Row],[OrderID]],Orders[],MATCH(OrderLines[[#Headers],[DiscountPct]],Orders[#Headers],0),FALSE),"CHECK")</f>
        <v>0.05</v>
      </c>
      <c r="J806" t="str">
        <f>IFERROR(VLOOKUP(OrderLines[[#This Row],[OrderID]],Orders[],MATCH(OrderLines[[#Headers],[Shift]],Orders[#Headers],0),FALSE),"CHECK")</f>
        <v>Dinner</v>
      </c>
      <c r="K806" s="11">
        <f>OrderLines[[#This Row],[Qty]] * OrderLines[[#This Row],[UnitPrice]] * (1-OrderLines[[#This Row],[DiscountPct]])</f>
        <v>72.722499999999997</v>
      </c>
      <c r="L806">
        <f>OrderLines[[#This Row],[Qty]]*OrderLines[[#This Row],[UnitCost]]</f>
        <v>38.229999999999997</v>
      </c>
    </row>
    <row r="807" spans="1:12" x14ac:dyDescent="0.25">
      <c r="A807" t="s">
        <v>349</v>
      </c>
      <c r="B807" t="s">
        <v>412</v>
      </c>
      <c r="C807">
        <v>1</v>
      </c>
      <c r="D807" s="9">
        <f>IFERROR(VLOOKUP($B807,Menu[],MATCH(D$1,Menu[#Headers],0),FALSE),"CHECK")</f>
        <v>57.07</v>
      </c>
      <c r="E807" s="9">
        <f>IFERROR(VLOOKUP($B807,Menu[],MATCH(E$1,Menu[#Headers],0),FALSE),"CHECK")</f>
        <v>29.14</v>
      </c>
      <c r="F807" t="str">
        <f>IFERROR(VLOOKUP($B807,Menu[],MATCH(F$1,Menu[#Headers],0),FALSE),"CHECK")</f>
        <v>Dessert</v>
      </c>
      <c r="G807" s="7">
        <f>IFERROR(INT(VLOOKUP($A807,Orders[],MATCH("OrderDateTime",Orders[#Headers],0),FALSE)),"CHECK")</f>
        <v>45842</v>
      </c>
      <c r="H807" s="7" t="str">
        <f>IFERROR(VLOOKUP($A807,Orders[],MATCH(H$1,Orders[#Headers],0),FALSE),"CHECK")</f>
        <v>Head Office Café</v>
      </c>
      <c r="I807">
        <f>IFERROR(VLOOKUP(OrderLines[[#This Row],[OrderID]],Orders[],MATCH(OrderLines[[#Headers],[DiscountPct]],Orders[#Headers],0),FALSE),"CHECK")</f>
        <v>0.05</v>
      </c>
      <c r="J807" t="str">
        <f>IFERROR(VLOOKUP(OrderLines[[#This Row],[OrderID]],Orders[],MATCH(OrderLines[[#Headers],[Shift]],Orders[#Headers],0),FALSE),"CHECK")</f>
        <v>Dinner</v>
      </c>
      <c r="K807" s="11">
        <f>OrderLines[[#This Row],[Qty]] * OrderLines[[#This Row],[UnitPrice]] * (1-OrderLines[[#This Row],[DiscountPct]])</f>
        <v>54.216499999999996</v>
      </c>
      <c r="L807">
        <f>OrderLines[[#This Row],[Qty]]*OrderLines[[#This Row],[UnitCost]]</f>
        <v>29.14</v>
      </c>
    </row>
    <row r="808" spans="1:12" x14ac:dyDescent="0.25">
      <c r="A808" t="s">
        <v>350</v>
      </c>
      <c r="B808" t="s">
        <v>413</v>
      </c>
      <c r="C808">
        <v>1</v>
      </c>
      <c r="D808" s="9">
        <f>IFERROR(VLOOKUP($B808,Menu[],MATCH(D$1,Menu[#Headers],0),FALSE),"CHECK")</f>
        <v>54.2</v>
      </c>
      <c r="E808" s="9">
        <f>IFERROR(VLOOKUP($B808,Menu[],MATCH(E$1,Menu[#Headers],0),FALSE),"CHECK")</f>
        <v>21.95</v>
      </c>
      <c r="F808" t="str">
        <f>IFERROR(VLOOKUP($B808,Menu[],MATCH(F$1,Menu[#Headers],0),FALSE),"CHECK")</f>
        <v>Dessert</v>
      </c>
      <c r="G808" s="7">
        <f>IFERROR(INT(VLOOKUP($A808,Orders[],MATCH("OrderDateTime",Orders[#Headers],0),FALSE)),"CHECK")</f>
        <v>45897</v>
      </c>
      <c r="H808" s="7" t="str">
        <f>IFERROR(VLOOKUP($A808,Orders[],MATCH(H$1,Orders[#Headers],0),FALSE),"CHECK")</f>
        <v>Plant 2 Canteen</v>
      </c>
      <c r="I808">
        <f>IFERROR(VLOOKUP(OrderLines[[#This Row],[OrderID]],Orders[],MATCH(OrderLines[[#Headers],[DiscountPct]],Orders[#Headers],0),FALSE),"CHECK")</f>
        <v>0.06</v>
      </c>
      <c r="J808" t="str">
        <f>IFERROR(VLOOKUP(OrderLines[[#This Row],[OrderID]],Orders[],MATCH(OrderLines[[#Headers],[Shift]],Orders[#Headers],0),FALSE),"CHECK")</f>
        <v>Breakfast</v>
      </c>
      <c r="K808" s="11">
        <f>OrderLines[[#This Row],[Qty]] * OrderLines[[#This Row],[UnitPrice]] * (1-OrderLines[[#This Row],[DiscountPct]])</f>
        <v>50.948</v>
      </c>
      <c r="L808">
        <f>OrderLines[[#This Row],[Qty]]*OrderLines[[#This Row],[UnitCost]]</f>
        <v>21.95</v>
      </c>
    </row>
    <row r="809" spans="1:12" x14ac:dyDescent="0.25">
      <c r="A809" t="s">
        <v>351</v>
      </c>
      <c r="B809" t="s">
        <v>404</v>
      </c>
      <c r="C809">
        <v>1</v>
      </c>
      <c r="D809" s="9">
        <f>IFERROR(VLOOKUP($B809,Menu[],MATCH(D$1,Menu[#Headers],0),FALSE),"CHECK")</f>
        <v>32.979999999999997</v>
      </c>
      <c r="E809" s="9">
        <f>IFERROR(VLOOKUP($B809,Menu[],MATCH(E$1,Menu[#Headers],0),FALSE),"CHECK")</f>
        <v>11.84</v>
      </c>
      <c r="F809" t="str">
        <f>IFERROR(VLOOKUP($B809,Menu[],MATCH(F$1,Menu[#Headers],0),FALSE),"CHECK")</f>
        <v>Beverage</v>
      </c>
      <c r="G809" s="7">
        <f>IFERROR(INT(VLOOKUP($A809,Orders[],MATCH("OrderDateTime",Orders[#Headers],0),FALSE)),"CHECK")</f>
        <v>45855</v>
      </c>
      <c r="H809" s="7" t="str">
        <f>IFERROR(VLOOKUP($A809,Orders[],MATCH(H$1,Orders[#Headers],0),FALSE),"CHECK")</f>
        <v>Head Office Café</v>
      </c>
      <c r="I809">
        <f>IFERROR(VLOOKUP(OrderLines[[#This Row],[OrderID]],Orders[],MATCH(OrderLines[[#Headers],[DiscountPct]],Orders[#Headers],0),FALSE),"CHECK")</f>
        <v>0.02</v>
      </c>
      <c r="J809" t="str">
        <f>IFERROR(VLOOKUP(OrderLines[[#This Row],[OrderID]],Orders[],MATCH(OrderLines[[#Headers],[Shift]],Orders[#Headers],0),FALSE),"CHECK")</f>
        <v>Breakfast</v>
      </c>
      <c r="K809" s="11">
        <f>OrderLines[[#This Row],[Qty]] * OrderLines[[#This Row],[UnitPrice]] * (1-OrderLines[[#This Row],[DiscountPct]])</f>
        <v>32.320399999999999</v>
      </c>
      <c r="L809">
        <f>OrderLines[[#This Row],[Qty]]*OrderLines[[#This Row],[UnitCost]]</f>
        <v>11.84</v>
      </c>
    </row>
    <row r="810" spans="1:12" x14ac:dyDescent="0.25">
      <c r="A810" t="s">
        <v>352</v>
      </c>
      <c r="B810" t="s">
        <v>403</v>
      </c>
      <c r="C810">
        <v>3</v>
      </c>
      <c r="D810" s="9">
        <f>IFERROR(VLOOKUP($B810,Menu[],MATCH(D$1,Menu[#Headers],0),FALSE),"CHECK")</f>
        <v>76.55</v>
      </c>
      <c r="E810" s="9">
        <f>IFERROR(VLOOKUP($B810,Menu[],MATCH(E$1,Menu[#Headers],0),FALSE),"CHECK")</f>
        <v>38.229999999999997</v>
      </c>
      <c r="F810" t="str">
        <f>IFERROR(VLOOKUP($B810,Menu[],MATCH(F$1,Menu[#Headers],0),FALSE),"CHECK")</f>
        <v>Dessert</v>
      </c>
      <c r="G810" s="7">
        <f>IFERROR(INT(VLOOKUP($A810,Orders[],MATCH("OrderDateTime",Orders[#Headers],0),FALSE)),"CHECK")</f>
        <v>45874</v>
      </c>
      <c r="H810" s="7" t="str">
        <f>IFERROR(VLOOKUP($A810,Orders[],MATCH(H$1,Orders[#Headers],0),FALSE),"CHECK")</f>
        <v>Head Office Café</v>
      </c>
      <c r="I810">
        <f>IFERROR(VLOOKUP(OrderLines[[#This Row],[OrderID]],Orders[],MATCH(OrderLines[[#Headers],[DiscountPct]],Orders[#Headers],0),FALSE),"CHECK")</f>
        <v>0.06</v>
      </c>
      <c r="J810" t="str">
        <f>IFERROR(VLOOKUP(OrderLines[[#This Row],[OrderID]],Orders[],MATCH(OrderLines[[#Headers],[Shift]],Orders[#Headers],0),FALSE),"CHECK")</f>
        <v>Lunch</v>
      </c>
      <c r="K810" s="11">
        <f>OrderLines[[#This Row],[Qty]] * OrderLines[[#This Row],[UnitPrice]] * (1-OrderLines[[#This Row],[DiscountPct]])</f>
        <v>215.87099999999995</v>
      </c>
      <c r="L810">
        <f>OrderLines[[#This Row],[Qty]]*OrderLines[[#This Row],[UnitCost]]</f>
        <v>114.69</v>
      </c>
    </row>
    <row r="811" spans="1:12" x14ac:dyDescent="0.25">
      <c r="A811" t="s">
        <v>352</v>
      </c>
      <c r="B811" t="s">
        <v>414</v>
      </c>
      <c r="C811">
        <v>1</v>
      </c>
      <c r="D811" s="9">
        <f>IFERROR(VLOOKUP($B811,Menu[],MATCH(D$1,Menu[#Headers],0),FALSE),"CHECK")</f>
        <v>116.8</v>
      </c>
      <c r="E811" s="9">
        <f>IFERROR(VLOOKUP($B811,Menu[],MATCH(E$1,Menu[#Headers],0),FALSE),"CHECK")</f>
        <v>48.97</v>
      </c>
      <c r="F811" t="str">
        <f>IFERROR(VLOOKUP($B811,Menu[],MATCH(F$1,Menu[#Headers],0),FALSE),"CHECK")</f>
        <v>Dessert</v>
      </c>
      <c r="G811" s="7">
        <f>IFERROR(INT(VLOOKUP($A811,Orders[],MATCH("OrderDateTime",Orders[#Headers],0),FALSE)),"CHECK")</f>
        <v>45874</v>
      </c>
      <c r="H811" s="7" t="str">
        <f>IFERROR(VLOOKUP($A811,Orders[],MATCH(H$1,Orders[#Headers],0),FALSE),"CHECK")</f>
        <v>Head Office Café</v>
      </c>
      <c r="I811">
        <f>IFERROR(VLOOKUP(OrderLines[[#This Row],[OrderID]],Orders[],MATCH(OrderLines[[#Headers],[DiscountPct]],Orders[#Headers],0),FALSE),"CHECK")</f>
        <v>0.06</v>
      </c>
      <c r="J811" t="str">
        <f>IFERROR(VLOOKUP(OrderLines[[#This Row],[OrderID]],Orders[],MATCH(OrderLines[[#Headers],[Shift]],Orders[#Headers],0),FALSE),"CHECK")</f>
        <v>Lunch</v>
      </c>
      <c r="K811" s="11">
        <f>OrderLines[[#This Row],[Qty]] * OrderLines[[#This Row],[UnitPrice]] * (1-OrderLines[[#This Row],[DiscountPct]])</f>
        <v>109.79199999999999</v>
      </c>
      <c r="L811">
        <f>OrderLines[[#This Row],[Qty]]*OrderLines[[#This Row],[UnitCost]]</f>
        <v>48.97</v>
      </c>
    </row>
    <row r="812" spans="1:12" x14ac:dyDescent="0.25">
      <c r="A812" t="s">
        <v>353</v>
      </c>
      <c r="B812" t="s">
        <v>411</v>
      </c>
      <c r="C812">
        <v>3</v>
      </c>
      <c r="D812" s="9">
        <f>IFERROR(VLOOKUP($B812,Menu[],MATCH(D$1,Menu[#Headers],0),FALSE),"CHECK")</f>
        <v>22.2</v>
      </c>
      <c r="E812" s="9">
        <f>IFERROR(VLOOKUP($B812,Menu[],MATCH(E$1,Menu[#Headers],0),FALSE),"CHECK")</f>
        <v>9.3800000000000008</v>
      </c>
      <c r="F812" t="str">
        <f>IFERROR(VLOOKUP($B812,Menu[],MATCH(F$1,Menu[#Headers],0),FALSE),"CHECK")</f>
        <v>Beverage</v>
      </c>
      <c r="G812" s="7">
        <f>IFERROR(INT(VLOOKUP($A812,Orders[],MATCH("OrderDateTime",Orders[#Headers],0),FALSE)),"CHECK")</f>
        <v>45898</v>
      </c>
      <c r="H812" s="7" t="str">
        <f>IFERROR(VLOOKUP($A812,Orders[],MATCH(H$1,Orders[#Headers],0),FALSE),"CHECK")</f>
        <v>Plant 2 Canteen</v>
      </c>
      <c r="I812">
        <f>IFERROR(VLOOKUP(OrderLines[[#This Row],[OrderID]],Orders[],MATCH(OrderLines[[#Headers],[DiscountPct]],Orders[#Headers],0),FALSE),"CHECK")</f>
        <v>0.05</v>
      </c>
      <c r="J812" t="str">
        <f>IFERROR(VLOOKUP(OrderLines[[#This Row],[OrderID]],Orders[],MATCH(OrderLines[[#Headers],[Shift]],Orders[#Headers],0),FALSE),"CHECK")</f>
        <v>Lunch</v>
      </c>
      <c r="K812" s="11">
        <f>OrderLines[[#This Row],[Qty]] * OrderLines[[#This Row],[UnitPrice]] * (1-OrderLines[[#This Row],[DiscountPct]])</f>
        <v>63.269999999999989</v>
      </c>
      <c r="L812">
        <f>OrderLines[[#This Row],[Qty]]*OrderLines[[#This Row],[UnitCost]]</f>
        <v>28.14</v>
      </c>
    </row>
    <row r="813" spans="1:12" x14ac:dyDescent="0.25">
      <c r="A813" t="s">
        <v>354</v>
      </c>
      <c r="B813" t="s">
        <v>401</v>
      </c>
      <c r="C813">
        <v>2</v>
      </c>
      <c r="D813" s="9">
        <f>IFERROR(VLOOKUP($B813,Menu[],MATCH(D$1,Menu[#Headers],0),FALSE),"CHECK")</f>
        <v>52.45</v>
      </c>
      <c r="E813" s="9">
        <f>IFERROR(VLOOKUP($B813,Menu[],MATCH(E$1,Menu[#Headers],0),FALSE),"CHECK")</f>
        <v>25.8</v>
      </c>
      <c r="F813" t="str">
        <f>IFERROR(VLOOKUP($B813,Menu[],MATCH(F$1,Menu[#Headers],0),FALSE),"CHECK")</f>
        <v>Snack</v>
      </c>
      <c r="G813" s="7">
        <f>IFERROR(INT(VLOOKUP($A813,Orders[],MATCH("OrderDateTime",Orders[#Headers],0),FALSE)),"CHECK")</f>
        <v>45891</v>
      </c>
      <c r="H813" s="7" t="str">
        <f>IFERROR(VLOOKUP($A813,Orders[],MATCH(H$1,Orders[#Headers],0),FALSE),"CHECK")</f>
        <v>Plant 1 Canteen</v>
      </c>
      <c r="I813">
        <f>IFERROR(VLOOKUP(OrderLines[[#This Row],[OrderID]],Orders[],MATCH(OrderLines[[#Headers],[DiscountPct]],Orders[#Headers],0),FALSE),"CHECK")</f>
        <v>7.0000000000000007E-2</v>
      </c>
      <c r="J813" t="str">
        <f>IFERROR(VLOOKUP(OrderLines[[#This Row],[OrderID]],Orders[],MATCH(OrderLines[[#Headers],[Shift]],Orders[#Headers],0),FALSE),"CHECK")</f>
        <v>Breakfast</v>
      </c>
      <c r="K813" s="11">
        <f>OrderLines[[#This Row],[Qty]] * OrderLines[[#This Row],[UnitPrice]] * (1-OrderLines[[#This Row],[DiscountPct]])</f>
        <v>97.557000000000002</v>
      </c>
      <c r="L813">
        <f>OrderLines[[#This Row],[Qty]]*OrderLines[[#This Row],[UnitCost]]</f>
        <v>51.6</v>
      </c>
    </row>
    <row r="814" spans="1:12" x14ac:dyDescent="0.25">
      <c r="A814" t="s">
        <v>354</v>
      </c>
      <c r="B814" t="s">
        <v>417</v>
      </c>
      <c r="C814">
        <v>1</v>
      </c>
      <c r="D814" s="9">
        <f>IFERROR(VLOOKUP($B814,Menu[],MATCH(D$1,Menu[#Headers],0),FALSE),"CHECK")</f>
        <v>146.4</v>
      </c>
      <c r="E814" s="9">
        <f>IFERROR(VLOOKUP($B814,Menu[],MATCH(E$1,Menu[#Headers],0),FALSE),"CHECK")</f>
        <v>80.92</v>
      </c>
      <c r="F814" t="str">
        <f>IFERROR(VLOOKUP($B814,Menu[],MATCH(F$1,Menu[#Headers],0),FALSE),"CHECK")</f>
        <v>Hot Meal</v>
      </c>
      <c r="G814" s="7">
        <f>IFERROR(INT(VLOOKUP($A814,Orders[],MATCH("OrderDateTime",Orders[#Headers],0),FALSE)),"CHECK")</f>
        <v>45891</v>
      </c>
      <c r="H814" s="7" t="str">
        <f>IFERROR(VLOOKUP($A814,Orders[],MATCH(H$1,Orders[#Headers],0),FALSE),"CHECK")</f>
        <v>Plant 1 Canteen</v>
      </c>
      <c r="I814">
        <f>IFERROR(VLOOKUP(OrderLines[[#This Row],[OrderID]],Orders[],MATCH(OrderLines[[#Headers],[DiscountPct]],Orders[#Headers],0),FALSE),"CHECK")</f>
        <v>7.0000000000000007E-2</v>
      </c>
      <c r="J814" t="str">
        <f>IFERROR(VLOOKUP(OrderLines[[#This Row],[OrderID]],Orders[],MATCH(OrderLines[[#Headers],[Shift]],Orders[#Headers],0),FALSE),"CHECK")</f>
        <v>Breakfast</v>
      </c>
      <c r="K814" s="11">
        <f>OrderLines[[#This Row],[Qty]] * OrderLines[[#This Row],[UnitPrice]] * (1-OrderLines[[#This Row],[DiscountPct]])</f>
        <v>136.15199999999999</v>
      </c>
      <c r="L814">
        <f>OrderLines[[#This Row],[Qty]]*OrderLines[[#This Row],[UnitCost]]</f>
        <v>80.92</v>
      </c>
    </row>
    <row r="815" spans="1:12" x14ac:dyDescent="0.25">
      <c r="A815" t="s">
        <v>355</v>
      </c>
      <c r="B815" t="s">
        <v>404</v>
      </c>
      <c r="C815">
        <v>3</v>
      </c>
      <c r="D815" s="9">
        <f>IFERROR(VLOOKUP($B815,Menu[],MATCH(D$1,Menu[#Headers],0),FALSE),"CHECK")</f>
        <v>32.979999999999997</v>
      </c>
      <c r="E815" s="9">
        <f>IFERROR(VLOOKUP($B815,Menu[],MATCH(E$1,Menu[#Headers],0),FALSE),"CHECK")</f>
        <v>11.84</v>
      </c>
      <c r="F815" t="str">
        <f>IFERROR(VLOOKUP($B815,Menu[],MATCH(F$1,Menu[#Headers],0),FALSE),"CHECK")</f>
        <v>Beverage</v>
      </c>
      <c r="G815" s="7">
        <f>IFERROR(INT(VLOOKUP($A815,Orders[],MATCH("OrderDateTime",Orders[#Headers],0),FALSE)),"CHECK")</f>
        <v>45874</v>
      </c>
      <c r="H815" s="7" t="str">
        <f>IFERROR(VLOOKUP($A815,Orders[],MATCH(H$1,Orders[#Headers],0),FALSE),"CHECK")</f>
        <v>Head Office Café</v>
      </c>
      <c r="I815">
        <f>IFERROR(VLOOKUP(OrderLines[[#This Row],[OrderID]],Orders[],MATCH(OrderLines[[#Headers],[DiscountPct]],Orders[#Headers],0),FALSE),"CHECK")</f>
        <v>0.03</v>
      </c>
      <c r="J815" t="str">
        <f>IFERROR(VLOOKUP(OrderLines[[#This Row],[OrderID]],Orders[],MATCH(OrderLines[[#Headers],[Shift]],Orders[#Headers],0),FALSE),"CHECK")</f>
        <v>Dinner</v>
      </c>
      <c r="K815" s="11">
        <f>OrderLines[[#This Row],[Qty]] * OrderLines[[#This Row],[UnitPrice]] * (1-OrderLines[[#This Row],[DiscountPct]])</f>
        <v>95.971800000000002</v>
      </c>
      <c r="L815">
        <f>OrderLines[[#This Row],[Qty]]*OrderLines[[#This Row],[UnitCost]]</f>
        <v>35.519999999999996</v>
      </c>
    </row>
    <row r="816" spans="1:12" x14ac:dyDescent="0.25">
      <c r="A816" t="s">
        <v>355</v>
      </c>
      <c r="B816" t="s">
        <v>417</v>
      </c>
      <c r="C816">
        <v>1</v>
      </c>
      <c r="D816" s="9">
        <f>IFERROR(VLOOKUP($B816,Menu[],MATCH(D$1,Menu[#Headers],0),FALSE),"CHECK")</f>
        <v>146.4</v>
      </c>
      <c r="E816" s="9">
        <f>IFERROR(VLOOKUP($B816,Menu[],MATCH(E$1,Menu[#Headers],0),FALSE),"CHECK")</f>
        <v>80.92</v>
      </c>
      <c r="F816" t="str">
        <f>IFERROR(VLOOKUP($B816,Menu[],MATCH(F$1,Menu[#Headers],0),FALSE),"CHECK")</f>
        <v>Hot Meal</v>
      </c>
      <c r="G816" s="7">
        <f>IFERROR(INT(VLOOKUP($A816,Orders[],MATCH("OrderDateTime",Orders[#Headers],0),FALSE)),"CHECK")</f>
        <v>45874</v>
      </c>
      <c r="H816" s="7" t="str">
        <f>IFERROR(VLOOKUP($A816,Orders[],MATCH(H$1,Orders[#Headers],0),FALSE),"CHECK")</f>
        <v>Head Office Café</v>
      </c>
      <c r="I816">
        <f>IFERROR(VLOOKUP(OrderLines[[#This Row],[OrderID]],Orders[],MATCH(OrderLines[[#Headers],[DiscountPct]],Orders[#Headers],0),FALSE),"CHECK")</f>
        <v>0.03</v>
      </c>
      <c r="J816" t="str">
        <f>IFERROR(VLOOKUP(OrderLines[[#This Row],[OrderID]],Orders[],MATCH(OrderLines[[#Headers],[Shift]],Orders[#Headers],0),FALSE),"CHECK")</f>
        <v>Dinner</v>
      </c>
      <c r="K816" s="11">
        <f>OrderLines[[#This Row],[Qty]] * OrderLines[[#This Row],[UnitPrice]] * (1-OrderLines[[#This Row],[DiscountPct]])</f>
        <v>142.00800000000001</v>
      </c>
      <c r="L816">
        <f>OrderLines[[#This Row],[Qty]]*OrderLines[[#This Row],[UnitCost]]</f>
        <v>80.92</v>
      </c>
    </row>
    <row r="817" spans="1:12" x14ac:dyDescent="0.25">
      <c r="A817" t="s">
        <v>355</v>
      </c>
      <c r="B817" t="s">
        <v>413</v>
      </c>
      <c r="C817">
        <v>2</v>
      </c>
      <c r="D817" s="9">
        <f>IFERROR(VLOOKUP($B817,Menu[],MATCH(D$1,Menu[#Headers],0),FALSE),"CHECK")</f>
        <v>54.2</v>
      </c>
      <c r="E817" s="9">
        <f>IFERROR(VLOOKUP($B817,Menu[],MATCH(E$1,Menu[#Headers],0),FALSE),"CHECK")</f>
        <v>21.95</v>
      </c>
      <c r="F817" t="str">
        <f>IFERROR(VLOOKUP($B817,Menu[],MATCH(F$1,Menu[#Headers],0),FALSE),"CHECK")</f>
        <v>Dessert</v>
      </c>
      <c r="G817" s="7">
        <f>IFERROR(INT(VLOOKUP($A817,Orders[],MATCH("OrderDateTime",Orders[#Headers],0),FALSE)),"CHECK")</f>
        <v>45874</v>
      </c>
      <c r="H817" s="7" t="str">
        <f>IFERROR(VLOOKUP($A817,Orders[],MATCH(H$1,Orders[#Headers],0),FALSE),"CHECK")</f>
        <v>Head Office Café</v>
      </c>
      <c r="I817">
        <f>IFERROR(VLOOKUP(OrderLines[[#This Row],[OrderID]],Orders[],MATCH(OrderLines[[#Headers],[DiscountPct]],Orders[#Headers],0),FALSE),"CHECK")</f>
        <v>0.03</v>
      </c>
      <c r="J817" t="str">
        <f>IFERROR(VLOOKUP(OrderLines[[#This Row],[OrderID]],Orders[],MATCH(OrderLines[[#Headers],[Shift]],Orders[#Headers],0),FALSE),"CHECK")</f>
        <v>Dinner</v>
      </c>
      <c r="K817" s="11">
        <f>OrderLines[[#This Row],[Qty]] * OrderLines[[#This Row],[UnitPrice]] * (1-OrderLines[[#This Row],[DiscountPct]])</f>
        <v>105.148</v>
      </c>
      <c r="L817">
        <f>OrderLines[[#This Row],[Qty]]*OrderLines[[#This Row],[UnitCost]]</f>
        <v>43.9</v>
      </c>
    </row>
    <row r="818" spans="1:12" x14ac:dyDescent="0.25">
      <c r="A818" t="s">
        <v>355</v>
      </c>
      <c r="B818" t="s">
        <v>411</v>
      </c>
      <c r="C818">
        <v>2</v>
      </c>
      <c r="D818" s="9">
        <f>IFERROR(VLOOKUP($B818,Menu[],MATCH(D$1,Menu[#Headers],0),FALSE),"CHECK")</f>
        <v>22.2</v>
      </c>
      <c r="E818" s="9">
        <f>IFERROR(VLOOKUP($B818,Menu[],MATCH(E$1,Menu[#Headers],0),FALSE),"CHECK")</f>
        <v>9.3800000000000008</v>
      </c>
      <c r="F818" t="str">
        <f>IFERROR(VLOOKUP($B818,Menu[],MATCH(F$1,Menu[#Headers],0),FALSE),"CHECK")</f>
        <v>Beverage</v>
      </c>
      <c r="G818" s="7">
        <f>IFERROR(INT(VLOOKUP($A818,Orders[],MATCH("OrderDateTime",Orders[#Headers],0),FALSE)),"CHECK")</f>
        <v>45874</v>
      </c>
      <c r="H818" s="7" t="str">
        <f>IFERROR(VLOOKUP($A818,Orders[],MATCH(H$1,Orders[#Headers],0),FALSE),"CHECK")</f>
        <v>Head Office Café</v>
      </c>
      <c r="I818">
        <f>IFERROR(VLOOKUP(OrderLines[[#This Row],[OrderID]],Orders[],MATCH(OrderLines[[#Headers],[DiscountPct]],Orders[#Headers],0),FALSE),"CHECK")</f>
        <v>0.03</v>
      </c>
      <c r="J818" t="str">
        <f>IFERROR(VLOOKUP(OrderLines[[#This Row],[OrderID]],Orders[],MATCH(OrderLines[[#Headers],[Shift]],Orders[#Headers],0),FALSE),"CHECK")</f>
        <v>Dinner</v>
      </c>
      <c r="K818" s="11">
        <f>OrderLines[[#This Row],[Qty]] * OrderLines[[#This Row],[UnitPrice]] * (1-OrderLines[[#This Row],[DiscountPct]])</f>
        <v>43.067999999999998</v>
      </c>
      <c r="L818">
        <f>OrderLines[[#This Row],[Qty]]*OrderLines[[#This Row],[UnitCost]]</f>
        <v>18.760000000000002</v>
      </c>
    </row>
    <row r="819" spans="1:12" x14ac:dyDescent="0.25">
      <c r="A819" t="s">
        <v>356</v>
      </c>
      <c r="B819" t="s">
        <v>410</v>
      </c>
      <c r="C819">
        <v>2</v>
      </c>
      <c r="D819" s="9">
        <f>IFERROR(VLOOKUP($B819,Menu[],MATCH(D$1,Menu[#Headers],0),FALSE),"CHECK")</f>
        <v>20.11</v>
      </c>
      <c r="E819" s="9">
        <f>IFERROR(VLOOKUP($B819,Menu[],MATCH(E$1,Menu[#Headers],0),FALSE),"CHECK")</f>
        <v>8</v>
      </c>
      <c r="F819" t="str">
        <f>IFERROR(VLOOKUP($B819,Menu[],MATCH(F$1,Menu[#Headers],0),FALSE),"CHECK")</f>
        <v>Beverage</v>
      </c>
      <c r="G819" s="7">
        <f>IFERROR(INT(VLOOKUP($A819,Orders[],MATCH("OrderDateTime",Orders[#Headers],0),FALSE)),"CHECK")</f>
        <v>45866</v>
      </c>
      <c r="H819" s="7" t="str">
        <f>IFERROR(VLOOKUP($A819,Orders[],MATCH(H$1,Orders[#Headers],0),FALSE),"CHECK")</f>
        <v>Plant 2 Canteen</v>
      </c>
      <c r="I819">
        <f>IFERROR(VLOOKUP(OrderLines[[#This Row],[OrderID]],Orders[],MATCH(OrderLines[[#Headers],[DiscountPct]],Orders[#Headers],0),FALSE),"CHECK")</f>
        <v>0.08</v>
      </c>
      <c r="J819" t="str">
        <f>IFERROR(VLOOKUP(OrderLines[[#This Row],[OrderID]],Orders[],MATCH(OrderLines[[#Headers],[Shift]],Orders[#Headers],0),FALSE),"CHECK")</f>
        <v>Lunch</v>
      </c>
      <c r="K819" s="11">
        <f>OrderLines[[#This Row],[Qty]] * OrderLines[[#This Row],[UnitPrice]] * (1-OrderLines[[#This Row],[DiscountPct]])</f>
        <v>37.002400000000002</v>
      </c>
      <c r="L819">
        <f>OrderLines[[#This Row],[Qty]]*OrderLines[[#This Row],[UnitCost]]</f>
        <v>16</v>
      </c>
    </row>
    <row r="820" spans="1:12" x14ac:dyDescent="0.25">
      <c r="A820" t="s">
        <v>356</v>
      </c>
      <c r="B820" t="s">
        <v>412</v>
      </c>
      <c r="C820">
        <v>1</v>
      </c>
      <c r="D820" s="9">
        <f>IFERROR(VLOOKUP($B820,Menu[],MATCH(D$1,Menu[#Headers],0),FALSE),"CHECK")</f>
        <v>57.07</v>
      </c>
      <c r="E820" s="9">
        <f>IFERROR(VLOOKUP($B820,Menu[],MATCH(E$1,Menu[#Headers],0),FALSE),"CHECK")</f>
        <v>29.14</v>
      </c>
      <c r="F820" t="str">
        <f>IFERROR(VLOOKUP($B820,Menu[],MATCH(F$1,Menu[#Headers],0),FALSE),"CHECK")</f>
        <v>Dessert</v>
      </c>
      <c r="G820" s="7">
        <f>IFERROR(INT(VLOOKUP($A820,Orders[],MATCH("OrderDateTime",Orders[#Headers],0),FALSE)),"CHECK")</f>
        <v>45866</v>
      </c>
      <c r="H820" s="7" t="str">
        <f>IFERROR(VLOOKUP($A820,Orders[],MATCH(H$1,Orders[#Headers],0),FALSE),"CHECK")</f>
        <v>Plant 2 Canteen</v>
      </c>
      <c r="I820">
        <f>IFERROR(VLOOKUP(OrderLines[[#This Row],[OrderID]],Orders[],MATCH(OrderLines[[#Headers],[DiscountPct]],Orders[#Headers],0),FALSE),"CHECK")</f>
        <v>0.08</v>
      </c>
      <c r="J820" t="str">
        <f>IFERROR(VLOOKUP(OrderLines[[#This Row],[OrderID]],Orders[],MATCH(OrderLines[[#Headers],[Shift]],Orders[#Headers],0),FALSE),"CHECK")</f>
        <v>Lunch</v>
      </c>
      <c r="K820" s="11">
        <f>OrderLines[[#This Row],[Qty]] * OrderLines[[#This Row],[UnitPrice]] * (1-OrderLines[[#This Row],[DiscountPct]])</f>
        <v>52.504400000000004</v>
      </c>
      <c r="L820">
        <f>OrderLines[[#This Row],[Qty]]*OrderLines[[#This Row],[UnitCost]]</f>
        <v>29.14</v>
      </c>
    </row>
    <row r="821" spans="1:12" x14ac:dyDescent="0.25">
      <c r="A821" t="s">
        <v>357</v>
      </c>
      <c r="B821" t="s">
        <v>405</v>
      </c>
      <c r="C821">
        <v>2</v>
      </c>
      <c r="D821" s="9">
        <f>IFERROR(VLOOKUP($B821,Menu[],MATCH(D$1,Menu[#Headers],0),FALSE),"CHECK")</f>
        <v>170.83</v>
      </c>
      <c r="E821" s="9">
        <f>IFERROR(VLOOKUP($B821,Menu[],MATCH(E$1,Menu[#Headers],0),FALSE),"CHECK")</f>
        <v>74.069999999999993</v>
      </c>
      <c r="F821" t="str">
        <f>IFERROR(VLOOKUP($B821,Menu[],MATCH(F$1,Menu[#Headers],0),FALSE),"CHECK")</f>
        <v>Hot Meal</v>
      </c>
      <c r="G821" s="7">
        <f>IFERROR(INT(VLOOKUP($A821,Orders[],MATCH("OrderDateTime",Orders[#Headers],0),FALSE)),"CHECK")</f>
        <v>45854</v>
      </c>
      <c r="H821" s="7" t="str">
        <f>IFERROR(VLOOKUP($A821,Orders[],MATCH(H$1,Orders[#Headers],0),FALSE),"CHECK")</f>
        <v>Plant 1 Canteen</v>
      </c>
      <c r="I821">
        <f>IFERROR(VLOOKUP(OrderLines[[#This Row],[OrderID]],Orders[],MATCH(OrderLines[[#Headers],[DiscountPct]],Orders[#Headers],0),FALSE),"CHECK")</f>
        <v>0.12</v>
      </c>
      <c r="J821" t="str">
        <f>IFERROR(VLOOKUP(OrderLines[[#This Row],[OrderID]],Orders[],MATCH(OrderLines[[#Headers],[Shift]],Orders[#Headers],0),FALSE),"CHECK")</f>
        <v>Dinner</v>
      </c>
      <c r="K821" s="11">
        <f>OrderLines[[#This Row],[Qty]] * OrderLines[[#This Row],[UnitPrice]] * (1-OrderLines[[#This Row],[DiscountPct]])</f>
        <v>300.66080000000005</v>
      </c>
      <c r="L821">
        <f>OrderLines[[#This Row],[Qty]]*OrderLines[[#This Row],[UnitCost]]</f>
        <v>148.13999999999999</v>
      </c>
    </row>
    <row r="822" spans="1:12" x14ac:dyDescent="0.25">
      <c r="A822" t="s">
        <v>358</v>
      </c>
      <c r="B822" t="s">
        <v>401</v>
      </c>
      <c r="C822">
        <v>2</v>
      </c>
      <c r="D822" s="9">
        <f>IFERROR(VLOOKUP($B822,Menu[],MATCH(D$1,Menu[#Headers],0),FALSE),"CHECK")</f>
        <v>52.45</v>
      </c>
      <c r="E822" s="9">
        <f>IFERROR(VLOOKUP($B822,Menu[],MATCH(E$1,Menu[#Headers],0),FALSE),"CHECK")</f>
        <v>25.8</v>
      </c>
      <c r="F822" t="str">
        <f>IFERROR(VLOOKUP($B822,Menu[],MATCH(F$1,Menu[#Headers],0),FALSE),"CHECK")</f>
        <v>Snack</v>
      </c>
      <c r="G822" s="7">
        <f>IFERROR(INT(VLOOKUP($A822,Orders[],MATCH("OrderDateTime",Orders[#Headers],0),FALSE)),"CHECK")</f>
        <v>45844</v>
      </c>
      <c r="H822" s="7" t="str">
        <f>IFERROR(VLOOKUP($A822,Orders[],MATCH(H$1,Orders[#Headers],0),FALSE),"CHECK")</f>
        <v>Head Office Café</v>
      </c>
      <c r="I822">
        <f>IFERROR(VLOOKUP(OrderLines[[#This Row],[OrderID]],Orders[],MATCH(OrderLines[[#Headers],[DiscountPct]],Orders[#Headers],0),FALSE),"CHECK")</f>
        <v>0.06</v>
      </c>
      <c r="J822" t="str">
        <f>IFERROR(VLOOKUP(OrderLines[[#This Row],[OrderID]],Orders[],MATCH(OrderLines[[#Headers],[Shift]],Orders[#Headers],0),FALSE),"CHECK")</f>
        <v>Breakfast</v>
      </c>
      <c r="K822" s="11">
        <f>OrderLines[[#This Row],[Qty]] * OrderLines[[#This Row],[UnitPrice]] * (1-OrderLines[[#This Row],[DiscountPct]])</f>
        <v>98.605999999999995</v>
      </c>
      <c r="L822">
        <f>OrderLines[[#This Row],[Qty]]*OrderLines[[#This Row],[UnitCost]]</f>
        <v>51.6</v>
      </c>
    </row>
    <row r="823" spans="1:12" x14ac:dyDescent="0.25">
      <c r="A823" t="s">
        <v>358</v>
      </c>
      <c r="B823" t="s">
        <v>409</v>
      </c>
      <c r="C823">
        <v>1</v>
      </c>
      <c r="D823" s="9">
        <f>IFERROR(VLOOKUP($B823,Menu[],MATCH(D$1,Menu[#Headers],0),FALSE),"CHECK")</f>
        <v>28.43</v>
      </c>
      <c r="E823" s="9">
        <f>IFERROR(VLOOKUP($B823,Menu[],MATCH(E$1,Menu[#Headers],0),FALSE),"CHECK")</f>
        <v>13.89</v>
      </c>
      <c r="F823" t="str">
        <f>IFERROR(VLOOKUP($B823,Menu[],MATCH(F$1,Menu[#Headers],0),FALSE),"CHECK")</f>
        <v>Beverage</v>
      </c>
      <c r="G823" s="7">
        <f>IFERROR(INT(VLOOKUP($A823,Orders[],MATCH("OrderDateTime",Orders[#Headers],0),FALSE)),"CHECK")</f>
        <v>45844</v>
      </c>
      <c r="H823" s="7" t="str">
        <f>IFERROR(VLOOKUP($A823,Orders[],MATCH(H$1,Orders[#Headers],0),FALSE),"CHECK")</f>
        <v>Head Office Café</v>
      </c>
      <c r="I823">
        <f>IFERROR(VLOOKUP(OrderLines[[#This Row],[OrderID]],Orders[],MATCH(OrderLines[[#Headers],[DiscountPct]],Orders[#Headers],0),FALSE),"CHECK")</f>
        <v>0.06</v>
      </c>
      <c r="J823" t="str">
        <f>IFERROR(VLOOKUP(OrderLines[[#This Row],[OrderID]],Orders[],MATCH(OrderLines[[#Headers],[Shift]],Orders[#Headers],0),FALSE),"CHECK")</f>
        <v>Breakfast</v>
      </c>
      <c r="K823" s="11">
        <f>OrderLines[[#This Row],[Qty]] * OrderLines[[#This Row],[UnitPrice]] * (1-OrderLines[[#This Row],[DiscountPct]])</f>
        <v>26.7242</v>
      </c>
      <c r="L823">
        <f>OrderLines[[#This Row],[Qty]]*OrderLines[[#This Row],[UnitCost]]</f>
        <v>13.89</v>
      </c>
    </row>
    <row r="824" spans="1:12" x14ac:dyDescent="0.25">
      <c r="A824" t="s">
        <v>358</v>
      </c>
      <c r="B824" t="s">
        <v>414</v>
      </c>
      <c r="C824">
        <v>3</v>
      </c>
      <c r="D824" s="9">
        <f>IFERROR(VLOOKUP($B824,Menu[],MATCH(D$1,Menu[#Headers],0),FALSE),"CHECK")</f>
        <v>116.8</v>
      </c>
      <c r="E824" s="9">
        <f>IFERROR(VLOOKUP($B824,Menu[],MATCH(E$1,Menu[#Headers],0),FALSE),"CHECK")</f>
        <v>48.97</v>
      </c>
      <c r="F824" t="str">
        <f>IFERROR(VLOOKUP($B824,Menu[],MATCH(F$1,Menu[#Headers],0),FALSE),"CHECK")</f>
        <v>Dessert</v>
      </c>
      <c r="G824" s="7">
        <f>IFERROR(INT(VLOOKUP($A824,Orders[],MATCH("OrderDateTime",Orders[#Headers],0),FALSE)),"CHECK")</f>
        <v>45844</v>
      </c>
      <c r="H824" s="7" t="str">
        <f>IFERROR(VLOOKUP($A824,Orders[],MATCH(H$1,Orders[#Headers],0),FALSE),"CHECK")</f>
        <v>Head Office Café</v>
      </c>
      <c r="I824">
        <f>IFERROR(VLOOKUP(OrderLines[[#This Row],[OrderID]],Orders[],MATCH(OrderLines[[#Headers],[DiscountPct]],Orders[#Headers],0),FALSE),"CHECK")</f>
        <v>0.06</v>
      </c>
      <c r="J824" t="str">
        <f>IFERROR(VLOOKUP(OrderLines[[#This Row],[OrderID]],Orders[],MATCH(OrderLines[[#Headers],[Shift]],Orders[#Headers],0),FALSE),"CHECK")</f>
        <v>Breakfast</v>
      </c>
      <c r="K824" s="11">
        <f>OrderLines[[#This Row],[Qty]] * OrderLines[[#This Row],[UnitPrice]] * (1-OrderLines[[#This Row],[DiscountPct]])</f>
        <v>329.37599999999998</v>
      </c>
      <c r="L824">
        <f>OrderLines[[#This Row],[Qty]]*OrderLines[[#This Row],[UnitCost]]</f>
        <v>146.91</v>
      </c>
    </row>
    <row r="825" spans="1:12" x14ac:dyDescent="0.25">
      <c r="A825" t="s">
        <v>358</v>
      </c>
      <c r="B825" t="s">
        <v>417</v>
      </c>
      <c r="C825">
        <v>1</v>
      </c>
      <c r="D825" s="9">
        <f>IFERROR(VLOOKUP($B825,Menu[],MATCH(D$1,Menu[#Headers],0),FALSE),"CHECK")</f>
        <v>146.4</v>
      </c>
      <c r="E825" s="9">
        <f>IFERROR(VLOOKUP($B825,Menu[],MATCH(E$1,Menu[#Headers],0),FALSE),"CHECK")</f>
        <v>80.92</v>
      </c>
      <c r="F825" t="str">
        <f>IFERROR(VLOOKUP($B825,Menu[],MATCH(F$1,Menu[#Headers],0),FALSE),"CHECK")</f>
        <v>Hot Meal</v>
      </c>
      <c r="G825" s="7">
        <f>IFERROR(INT(VLOOKUP($A825,Orders[],MATCH("OrderDateTime",Orders[#Headers],0),FALSE)),"CHECK")</f>
        <v>45844</v>
      </c>
      <c r="H825" s="7" t="str">
        <f>IFERROR(VLOOKUP($A825,Orders[],MATCH(H$1,Orders[#Headers],0),FALSE),"CHECK")</f>
        <v>Head Office Café</v>
      </c>
      <c r="I825">
        <f>IFERROR(VLOOKUP(OrderLines[[#This Row],[OrderID]],Orders[],MATCH(OrderLines[[#Headers],[DiscountPct]],Orders[#Headers],0),FALSE),"CHECK")</f>
        <v>0.06</v>
      </c>
      <c r="J825" t="str">
        <f>IFERROR(VLOOKUP(OrderLines[[#This Row],[OrderID]],Orders[],MATCH(OrderLines[[#Headers],[Shift]],Orders[#Headers],0),FALSE),"CHECK")</f>
        <v>Breakfast</v>
      </c>
      <c r="K825" s="11">
        <f>OrderLines[[#This Row],[Qty]] * OrderLines[[#This Row],[UnitPrice]] * (1-OrderLines[[#This Row],[DiscountPct]])</f>
        <v>137.61599999999999</v>
      </c>
      <c r="L825">
        <f>OrderLines[[#This Row],[Qty]]*OrderLines[[#This Row],[UnitCost]]</f>
        <v>80.92</v>
      </c>
    </row>
    <row r="826" spans="1:12" x14ac:dyDescent="0.25">
      <c r="A826" t="s">
        <v>359</v>
      </c>
      <c r="B826" t="s">
        <v>407</v>
      </c>
      <c r="C826">
        <v>1</v>
      </c>
      <c r="D826" s="9">
        <f>IFERROR(VLOOKUP($B826,Menu[],MATCH(D$1,Menu[#Headers],0),FALSE),"CHECK")</f>
        <v>246.09</v>
      </c>
      <c r="E826" s="9">
        <f>IFERROR(VLOOKUP($B826,Menu[],MATCH(E$1,Menu[#Headers],0),FALSE),"CHECK")</f>
        <v>112.08</v>
      </c>
      <c r="F826" t="str">
        <f>IFERROR(VLOOKUP($B826,Menu[],MATCH(F$1,Menu[#Headers],0),FALSE),"CHECK")</f>
        <v>Hot Meal</v>
      </c>
      <c r="G826" s="7">
        <f>IFERROR(INT(VLOOKUP($A826,Orders[],MATCH("OrderDateTime",Orders[#Headers],0),FALSE)),"CHECK")</f>
        <v>45849</v>
      </c>
      <c r="H826" s="7" t="str">
        <f>IFERROR(VLOOKUP($A826,Orders[],MATCH(H$1,Orders[#Headers],0),FALSE),"CHECK")</f>
        <v>Head Office Café</v>
      </c>
      <c r="I826">
        <f>IFERROR(VLOOKUP(OrderLines[[#This Row],[OrderID]],Orders[],MATCH(OrderLines[[#Headers],[DiscountPct]],Orders[#Headers],0),FALSE),"CHECK")</f>
        <v>0.08</v>
      </c>
      <c r="J826" t="str">
        <f>IFERROR(VLOOKUP(OrderLines[[#This Row],[OrderID]],Orders[],MATCH(OrderLines[[#Headers],[Shift]],Orders[#Headers],0),FALSE),"CHECK")</f>
        <v>Breakfast</v>
      </c>
      <c r="K826" s="11">
        <f>OrderLines[[#This Row],[Qty]] * OrderLines[[#This Row],[UnitPrice]] * (1-OrderLines[[#This Row],[DiscountPct]])</f>
        <v>226.40280000000001</v>
      </c>
      <c r="L826">
        <f>OrderLines[[#This Row],[Qty]]*OrderLines[[#This Row],[UnitCost]]</f>
        <v>112.08</v>
      </c>
    </row>
    <row r="827" spans="1:12" x14ac:dyDescent="0.25">
      <c r="A827" t="s">
        <v>359</v>
      </c>
      <c r="B827" t="s">
        <v>411</v>
      </c>
      <c r="C827">
        <v>2</v>
      </c>
      <c r="D827" s="9">
        <f>IFERROR(VLOOKUP($B827,Menu[],MATCH(D$1,Menu[#Headers],0),FALSE),"CHECK")</f>
        <v>22.2</v>
      </c>
      <c r="E827" s="9">
        <f>IFERROR(VLOOKUP($B827,Menu[],MATCH(E$1,Menu[#Headers],0),FALSE),"CHECK")</f>
        <v>9.3800000000000008</v>
      </c>
      <c r="F827" t="str">
        <f>IFERROR(VLOOKUP($B827,Menu[],MATCH(F$1,Menu[#Headers],0),FALSE),"CHECK")</f>
        <v>Beverage</v>
      </c>
      <c r="G827" s="7">
        <f>IFERROR(INT(VLOOKUP($A827,Orders[],MATCH("OrderDateTime",Orders[#Headers],0),FALSE)),"CHECK")</f>
        <v>45849</v>
      </c>
      <c r="H827" s="7" t="str">
        <f>IFERROR(VLOOKUP($A827,Orders[],MATCH(H$1,Orders[#Headers],0),FALSE),"CHECK")</f>
        <v>Head Office Café</v>
      </c>
      <c r="I827">
        <f>IFERROR(VLOOKUP(OrderLines[[#This Row],[OrderID]],Orders[],MATCH(OrderLines[[#Headers],[DiscountPct]],Orders[#Headers],0),FALSE),"CHECK")</f>
        <v>0.08</v>
      </c>
      <c r="J827" t="str">
        <f>IFERROR(VLOOKUP(OrderLines[[#This Row],[OrderID]],Orders[],MATCH(OrderLines[[#Headers],[Shift]],Orders[#Headers],0),FALSE),"CHECK")</f>
        <v>Breakfast</v>
      </c>
      <c r="K827" s="11">
        <f>OrderLines[[#This Row],[Qty]] * OrderLines[[#This Row],[UnitPrice]] * (1-OrderLines[[#This Row],[DiscountPct]])</f>
        <v>40.847999999999999</v>
      </c>
      <c r="L827">
        <f>OrderLines[[#This Row],[Qty]]*OrderLines[[#This Row],[UnitCost]]</f>
        <v>18.760000000000002</v>
      </c>
    </row>
    <row r="828" spans="1:12" x14ac:dyDescent="0.25">
      <c r="A828" t="s">
        <v>359</v>
      </c>
      <c r="B828" t="s">
        <v>409</v>
      </c>
      <c r="C828">
        <v>3</v>
      </c>
      <c r="D828" s="9">
        <f>IFERROR(VLOOKUP($B828,Menu[],MATCH(D$1,Menu[#Headers],0),FALSE),"CHECK")</f>
        <v>28.43</v>
      </c>
      <c r="E828" s="9">
        <f>IFERROR(VLOOKUP($B828,Menu[],MATCH(E$1,Menu[#Headers],0),FALSE),"CHECK")</f>
        <v>13.89</v>
      </c>
      <c r="F828" t="str">
        <f>IFERROR(VLOOKUP($B828,Menu[],MATCH(F$1,Menu[#Headers],0),FALSE),"CHECK")</f>
        <v>Beverage</v>
      </c>
      <c r="G828" s="7">
        <f>IFERROR(INT(VLOOKUP($A828,Orders[],MATCH("OrderDateTime",Orders[#Headers],0),FALSE)),"CHECK")</f>
        <v>45849</v>
      </c>
      <c r="H828" s="7" t="str">
        <f>IFERROR(VLOOKUP($A828,Orders[],MATCH(H$1,Orders[#Headers],0),FALSE),"CHECK")</f>
        <v>Head Office Café</v>
      </c>
      <c r="I828">
        <f>IFERROR(VLOOKUP(OrderLines[[#This Row],[OrderID]],Orders[],MATCH(OrderLines[[#Headers],[DiscountPct]],Orders[#Headers],0),FALSE),"CHECK")</f>
        <v>0.08</v>
      </c>
      <c r="J828" t="str">
        <f>IFERROR(VLOOKUP(OrderLines[[#This Row],[OrderID]],Orders[],MATCH(OrderLines[[#Headers],[Shift]],Orders[#Headers],0),FALSE),"CHECK")</f>
        <v>Breakfast</v>
      </c>
      <c r="K828" s="11">
        <f>OrderLines[[#This Row],[Qty]] * OrderLines[[#This Row],[UnitPrice]] * (1-OrderLines[[#This Row],[DiscountPct]])</f>
        <v>78.466799999999992</v>
      </c>
      <c r="L828">
        <f>OrderLines[[#This Row],[Qty]]*OrderLines[[#This Row],[UnitCost]]</f>
        <v>41.67</v>
      </c>
    </row>
    <row r="829" spans="1:12" x14ac:dyDescent="0.25">
      <c r="A829" t="s">
        <v>359</v>
      </c>
      <c r="B829" t="s">
        <v>414</v>
      </c>
      <c r="C829">
        <v>3</v>
      </c>
      <c r="D829" s="9">
        <f>IFERROR(VLOOKUP($B829,Menu[],MATCH(D$1,Menu[#Headers],0),FALSE),"CHECK")</f>
        <v>116.8</v>
      </c>
      <c r="E829" s="9">
        <f>IFERROR(VLOOKUP($B829,Menu[],MATCH(E$1,Menu[#Headers],0),FALSE),"CHECK")</f>
        <v>48.97</v>
      </c>
      <c r="F829" t="str">
        <f>IFERROR(VLOOKUP($B829,Menu[],MATCH(F$1,Menu[#Headers],0),FALSE),"CHECK")</f>
        <v>Dessert</v>
      </c>
      <c r="G829" s="7">
        <f>IFERROR(INT(VLOOKUP($A829,Orders[],MATCH("OrderDateTime",Orders[#Headers],0),FALSE)),"CHECK")</f>
        <v>45849</v>
      </c>
      <c r="H829" s="7" t="str">
        <f>IFERROR(VLOOKUP($A829,Orders[],MATCH(H$1,Orders[#Headers],0),FALSE),"CHECK")</f>
        <v>Head Office Café</v>
      </c>
      <c r="I829">
        <f>IFERROR(VLOOKUP(OrderLines[[#This Row],[OrderID]],Orders[],MATCH(OrderLines[[#Headers],[DiscountPct]],Orders[#Headers],0),FALSE),"CHECK")</f>
        <v>0.08</v>
      </c>
      <c r="J829" t="str">
        <f>IFERROR(VLOOKUP(OrderLines[[#This Row],[OrderID]],Orders[],MATCH(OrderLines[[#Headers],[Shift]],Orders[#Headers],0),FALSE),"CHECK")</f>
        <v>Breakfast</v>
      </c>
      <c r="K829" s="11">
        <f>OrderLines[[#This Row],[Qty]] * OrderLines[[#This Row],[UnitPrice]] * (1-OrderLines[[#This Row],[DiscountPct]])</f>
        <v>322.36799999999999</v>
      </c>
      <c r="L829">
        <f>OrderLines[[#This Row],[Qty]]*OrderLines[[#This Row],[UnitCost]]</f>
        <v>146.91</v>
      </c>
    </row>
    <row r="830" spans="1:12" x14ac:dyDescent="0.25">
      <c r="A830" t="s">
        <v>360</v>
      </c>
      <c r="B830" t="s">
        <v>414</v>
      </c>
      <c r="C830">
        <v>1</v>
      </c>
      <c r="D830" s="9">
        <f>IFERROR(VLOOKUP($B830,Menu[],MATCH(D$1,Menu[#Headers],0),FALSE),"CHECK")</f>
        <v>116.8</v>
      </c>
      <c r="E830" s="9">
        <f>IFERROR(VLOOKUP($B830,Menu[],MATCH(E$1,Menu[#Headers],0),FALSE),"CHECK")</f>
        <v>48.97</v>
      </c>
      <c r="F830" t="str">
        <f>IFERROR(VLOOKUP($B830,Menu[],MATCH(F$1,Menu[#Headers],0),FALSE),"CHECK")</f>
        <v>Dessert</v>
      </c>
      <c r="G830" s="7">
        <f>IFERROR(INT(VLOOKUP($A830,Orders[],MATCH("OrderDateTime",Orders[#Headers],0),FALSE)),"CHECK")</f>
        <v>45847</v>
      </c>
      <c r="H830" s="7" t="str">
        <f>IFERROR(VLOOKUP($A830,Orders[],MATCH(H$1,Orders[#Headers],0),FALSE),"CHECK")</f>
        <v>Plant 1 Canteen</v>
      </c>
      <c r="I830">
        <f>IFERROR(VLOOKUP(OrderLines[[#This Row],[OrderID]],Orders[],MATCH(OrderLines[[#Headers],[DiscountPct]],Orders[#Headers],0),FALSE),"CHECK")</f>
        <v>0.09</v>
      </c>
      <c r="J830" t="str">
        <f>IFERROR(VLOOKUP(OrderLines[[#This Row],[OrderID]],Orders[],MATCH(OrderLines[[#Headers],[Shift]],Orders[#Headers],0),FALSE),"CHECK")</f>
        <v>Breakfast</v>
      </c>
      <c r="K830" s="11">
        <f>OrderLines[[#This Row],[Qty]] * OrderLines[[#This Row],[UnitPrice]] * (1-OrderLines[[#This Row],[DiscountPct]])</f>
        <v>106.288</v>
      </c>
      <c r="L830">
        <f>OrderLines[[#This Row],[Qty]]*OrderLines[[#This Row],[UnitCost]]</f>
        <v>48.97</v>
      </c>
    </row>
    <row r="831" spans="1:12" x14ac:dyDescent="0.25">
      <c r="A831" t="s">
        <v>360</v>
      </c>
      <c r="B831" t="s">
        <v>409</v>
      </c>
      <c r="C831">
        <v>2</v>
      </c>
      <c r="D831" s="9">
        <f>IFERROR(VLOOKUP($B831,Menu[],MATCH(D$1,Menu[#Headers],0),FALSE),"CHECK")</f>
        <v>28.43</v>
      </c>
      <c r="E831" s="9">
        <f>IFERROR(VLOOKUP($B831,Menu[],MATCH(E$1,Menu[#Headers],0),FALSE),"CHECK")</f>
        <v>13.89</v>
      </c>
      <c r="F831" t="str">
        <f>IFERROR(VLOOKUP($B831,Menu[],MATCH(F$1,Menu[#Headers],0),FALSE),"CHECK")</f>
        <v>Beverage</v>
      </c>
      <c r="G831" s="7">
        <f>IFERROR(INT(VLOOKUP($A831,Orders[],MATCH("OrderDateTime",Orders[#Headers],0),FALSE)),"CHECK")</f>
        <v>45847</v>
      </c>
      <c r="H831" s="7" t="str">
        <f>IFERROR(VLOOKUP($A831,Orders[],MATCH(H$1,Orders[#Headers],0),FALSE),"CHECK")</f>
        <v>Plant 1 Canteen</v>
      </c>
      <c r="I831">
        <f>IFERROR(VLOOKUP(OrderLines[[#This Row],[OrderID]],Orders[],MATCH(OrderLines[[#Headers],[DiscountPct]],Orders[#Headers],0),FALSE),"CHECK")</f>
        <v>0.09</v>
      </c>
      <c r="J831" t="str">
        <f>IFERROR(VLOOKUP(OrderLines[[#This Row],[OrderID]],Orders[],MATCH(OrderLines[[#Headers],[Shift]],Orders[#Headers],0),FALSE),"CHECK")</f>
        <v>Breakfast</v>
      </c>
      <c r="K831" s="11">
        <f>OrderLines[[#This Row],[Qty]] * OrderLines[[#This Row],[UnitPrice]] * (1-OrderLines[[#This Row],[DiscountPct]])</f>
        <v>51.742600000000003</v>
      </c>
      <c r="L831">
        <f>OrderLines[[#This Row],[Qty]]*OrderLines[[#This Row],[UnitCost]]</f>
        <v>27.78</v>
      </c>
    </row>
    <row r="832" spans="1:12" x14ac:dyDescent="0.25">
      <c r="A832" t="s">
        <v>361</v>
      </c>
      <c r="B832" t="s">
        <v>416</v>
      </c>
      <c r="C832">
        <v>1</v>
      </c>
      <c r="D832" s="9">
        <f>IFERROR(VLOOKUP($B832,Menu[],MATCH(D$1,Menu[#Headers],0),FALSE),"CHECK")</f>
        <v>227.61</v>
      </c>
      <c r="E832" s="9">
        <f>IFERROR(VLOOKUP($B832,Menu[],MATCH(E$1,Menu[#Headers],0),FALSE),"CHECK")</f>
        <v>96.22</v>
      </c>
      <c r="F832" t="str">
        <f>IFERROR(VLOOKUP($B832,Menu[],MATCH(F$1,Menu[#Headers],0),FALSE),"CHECK")</f>
        <v>Hot Meal</v>
      </c>
      <c r="G832" s="7">
        <f>IFERROR(INT(VLOOKUP($A832,Orders[],MATCH("OrderDateTime",Orders[#Headers],0),FALSE)),"CHECK")</f>
        <v>45853</v>
      </c>
      <c r="H832" s="7" t="str">
        <f>IFERROR(VLOOKUP($A832,Orders[],MATCH(H$1,Orders[#Headers],0),FALSE),"CHECK")</f>
        <v>Plant 2 Canteen</v>
      </c>
      <c r="I832">
        <f>IFERROR(VLOOKUP(OrderLines[[#This Row],[OrderID]],Orders[],MATCH(OrderLines[[#Headers],[DiscountPct]],Orders[#Headers],0),FALSE),"CHECK")</f>
        <v>0.04</v>
      </c>
      <c r="J832" t="str">
        <f>IFERROR(VLOOKUP(OrderLines[[#This Row],[OrderID]],Orders[],MATCH(OrderLines[[#Headers],[Shift]],Orders[#Headers],0),FALSE),"CHECK")</f>
        <v>Lunch</v>
      </c>
      <c r="K832" s="11">
        <f>OrderLines[[#This Row],[Qty]] * OrderLines[[#This Row],[UnitPrice]] * (1-OrderLines[[#This Row],[DiscountPct]])</f>
        <v>218.50560000000002</v>
      </c>
      <c r="L832">
        <f>OrderLines[[#This Row],[Qty]]*OrderLines[[#This Row],[UnitCost]]</f>
        <v>96.22</v>
      </c>
    </row>
    <row r="833" spans="1:12" x14ac:dyDescent="0.25">
      <c r="A833" t="s">
        <v>361</v>
      </c>
      <c r="B833" t="s">
        <v>419</v>
      </c>
      <c r="C833">
        <v>3</v>
      </c>
      <c r="D833" s="9">
        <f>IFERROR(VLOOKUP($B833,Menu[],MATCH(D$1,Menu[#Headers],0),FALSE),"CHECK")</f>
        <v>50.19</v>
      </c>
      <c r="E833" s="9">
        <f>IFERROR(VLOOKUP($B833,Menu[],MATCH(E$1,Menu[#Headers],0),FALSE),"CHECK")</f>
        <v>22.61</v>
      </c>
      <c r="F833" t="str">
        <f>IFERROR(VLOOKUP($B833,Menu[],MATCH(F$1,Menu[#Headers],0),FALSE),"CHECK")</f>
        <v>Snack</v>
      </c>
      <c r="G833" s="7">
        <f>IFERROR(INT(VLOOKUP($A833,Orders[],MATCH("OrderDateTime",Orders[#Headers],0),FALSE)),"CHECK")</f>
        <v>45853</v>
      </c>
      <c r="H833" s="7" t="str">
        <f>IFERROR(VLOOKUP($A833,Orders[],MATCH(H$1,Orders[#Headers],0),FALSE),"CHECK")</f>
        <v>Plant 2 Canteen</v>
      </c>
      <c r="I833">
        <f>IFERROR(VLOOKUP(OrderLines[[#This Row],[OrderID]],Orders[],MATCH(OrderLines[[#Headers],[DiscountPct]],Orders[#Headers],0),FALSE),"CHECK")</f>
        <v>0.04</v>
      </c>
      <c r="J833" t="str">
        <f>IFERROR(VLOOKUP(OrderLines[[#This Row],[OrderID]],Orders[],MATCH(OrderLines[[#Headers],[Shift]],Orders[#Headers],0),FALSE),"CHECK")</f>
        <v>Lunch</v>
      </c>
      <c r="K833" s="11">
        <f>OrderLines[[#This Row],[Qty]] * OrderLines[[#This Row],[UnitPrice]] * (1-OrderLines[[#This Row],[DiscountPct]])</f>
        <v>144.54719999999998</v>
      </c>
      <c r="L833">
        <f>OrderLines[[#This Row],[Qty]]*OrderLines[[#This Row],[UnitCost]]</f>
        <v>67.83</v>
      </c>
    </row>
    <row r="834" spans="1:12" x14ac:dyDescent="0.25">
      <c r="A834" t="s">
        <v>361</v>
      </c>
      <c r="B834" t="s">
        <v>408</v>
      </c>
      <c r="C834">
        <v>2</v>
      </c>
      <c r="D834" s="9">
        <f>IFERROR(VLOOKUP($B834,Menu[],MATCH(D$1,Menu[#Headers],0),FALSE),"CHECK")</f>
        <v>70.540000000000006</v>
      </c>
      <c r="E834" s="9">
        <f>IFERROR(VLOOKUP($B834,Menu[],MATCH(E$1,Menu[#Headers],0),FALSE),"CHECK")</f>
        <v>35.81</v>
      </c>
      <c r="F834" t="str">
        <f>IFERROR(VLOOKUP($B834,Menu[],MATCH(F$1,Menu[#Headers],0),FALSE),"CHECK")</f>
        <v>Snack</v>
      </c>
      <c r="G834" s="7">
        <f>IFERROR(INT(VLOOKUP($A834,Orders[],MATCH("OrderDateTime",Orders[#Headers],0),FALSE)),"CHECK")</f>
        <v>45853</v>
      </c>
      <c r="H834" s="7" t="str">
        <f>IFERROR(VLOOKUP($A834,Orders[],MATCH(H$1,Orders[#Headers],0),FALSE),"CHECK")</f>
        <v>Plant 2 Canteen</v>
      </c>
      <c r="I834">
        <f>IFERROR(VLOOKUP(OrderLines[[#This Row],[OrderID]],Orders[],MATCH(OrderLines[[#Headers],[DiscountPct]],Orders[#Headers],0),FALSE),"CHECK")</f>
        <v>0.04</v>
      </c>
      <c r="J834" t="str">
        <f>IFERROR(VLOOKUP(OrderLines[[#This Row],[OrderID]],Orders[],MATCH(OrderLines[[#Headers],[Shift]],Orders[#Headers],0),FALSE),"CHECK")</f>
        <v>Lunch</v>
      </c>
      <c r="K834" s="11">
        <f>OrderLines[[#This Row],[Qty]] * OrderLines[[#This Row],[UnitPrice]] * (1-OrderLines[[#This Row],[DiscountPct]])</f>
        <v>135.43680000000001</v>
      </c>
      <c r="L834">
        <f>OrderLines[[#This Row],[Qty]]*OrderLines[[#This Row],[UnitCost]]</f>
        <v>71.62</v>
      </c>
    </row>
    <row r="835" spans="1:12" x14ac:dyDescent="0.25">
      <c r="A835" t="s">
        <v>362</v>
      </c>
      <c r="B835" t="s">
        <v>419</v>
      </c>
      <c r="C835">
        <v>1</v>
      </c>
      <c r="D835" s="9">
        <f>IFERROR(VLOOKUP($B835,Menu[],MATCH(D$1,Menu[#Headers],0),FALSE),"CHECK")</f>
        <v>50.19</v>
      </c>
      <c r="E835" s="9">
        <f>IFERROR(VLOOKUP($B835,Menu[],MATCH(E$1,Menu[#Headers],0),FALSE),"CHECK")</f>
        <v>22.61</v>
      </c>
      <c r="F835" t="str">
        <f>IFERROR(VLOOKUP($B835,Menu[],MATCH(F$1,Menu[#Headers],0),FALSE),"CHECK")</f>
        <v>Snack</v>
      </c>
      <c r="G835" s="7">
        <f>IFERROR(INT(VLOOKUP($A835,Orders[],MATCH("OrderDateTime",Orders[#Headers],0),FALSE)),"CHECK")</f>
        <v>45873</v>
      </c>
      <c r="H835" s="7" t="str">
        <f>IFERROR(VLOOKUP($A835,Orders[],MATCH(H$1,Orders[#Headers],0),FALSE),"CHECK")</f>
        <v>Plant 1 Canteen</v>
      </c>
      <c r="I835">
        <f>IFERROR(VLOOKUP(OrderLines[[#This Row],[OrderID]],Orders[],MATCH(OrderLines[[#Headers],[DiscountPct]],Orders[#Headers],0),FALSE),"CHECK")</f>
        <v>7.0000000000000007E-2</v>
      </c>
      <c r="J835" t="str">
        <f>IFERROR(VLOOKUP(OrderLines[[#This Row],[OrderID]],Orders[],MATCH(OrderLines[[#Headers],[Shift]],Orders[#Headers],0),FALSE),"CHECK")</f>
        <v>Breakfast</v>
      </c>
      <c r="K835" s="11">
        <f>OrderLines[[#This Row],[Qty]] * OrderLines[[#This Row],[UnitPrice]] * (1-OrderLines[[#This Row],[DiscountPct]])</f>
        <v>46.676699999999997</v>
      </c>
      <c r="L835">
        <f>OrderLines[[#This Row],[Qty]]*OrderLines[[#This Row],[UnitCost]]</f>
        <v>22.61</v>
      </c>
    </row>
    <row r="836" spans="1:12" x14ac:dyDescent="0.25">
      <c r="A836" t="s">
        <v>363</v>
      </c>
      <c r="B836" t="s">
        <v>410</v>
      </c>
      <c r="C836">
        <v>1</v>
      </c>
      <c r="D836" s="9">
        <f>IFERROR(VLOOKUP($B836,Menu[],MATCH(D$1,Menu[#Headers],0),FALSE),"CHECK")</f>
        <v>20.11</v>
      </c>
      <c r="E836" s="9">
        <f>IFERROR(VLOOKUP($B836,Menu[],MATCH(E$1,Menu[#Headers],0),FALSE),"CHECK")</f>
        <v>8</v>
      </c>
      <c r="F836" t="str">
        <f>IFERROR(VLOOKUP($B836,Menu[],MATCH(F$1,Menu[#Headers],0),FALSE),"CHECK")</f>
        <v>Beverage</v>
      </c>
      <c r="G836" s="7">
        <f>IFERROR(INT(VLOOKUP($A836,Orders[],MATCH("OrderDateTime",Orders[#Headers],0),FALSE)),"CHECK")</f>
        <v>45887</v>
      </c>
      <c r="H836" s="7" t="str">
        <f>IFERROR(VLOOKUP($A836,Orders[],MATCH(H$1,Orders[#Headers],0),FALSE),"CHECK")</f>
        <v>Plant 2 Canteen</v>
      </c>
      <c r="I836">
        <f>IFERROR(VLOOKUP(OrderLines[[#This Row],[OrderID]],Orders[],MATCH(OrderLines[[#Headers],[DiscountPct]],Orders[#Headers],0),FALSE),"CHECK")</f>
        <v>0.06</v>
      </c>
      <c r="J836" t="str">
        <f>IFERROR(VLOOKUP(OrderLines[[#This Row],[OrderID]],Orders[],MATCH(OrderLines[[#Headers],[Shift]],Orders[#Headers],0),FALSE),"CHECK")</f>
        <v>Dinner</v>
      </c>
      <c r="K836" s="11">
        <f>OrderLines[[#This Row],[Qty]] * OrderLines[[#This Row],[UnitPrice]] * (1-OrderLines[[#This Row],[DiscountPct]])</f>
        <v>18.903399999999998</v>
      </c>
      <c r="L836">
        <f>OrderLines[[#This Row],[Qty]]*OrderLines[[#This Row],[UnitCost]]</f>
        <v>8</v>
      </c>
    </row>
    <row r="837" spans="1:12" x14ac:dyDescent="0.25">
      <c r="A837" t="s">
        <v>364</v>
      </c>
      <c r="B837" t="s">
        <v>406</v>
      </c>
      <c r="C837">
        <v>1</v>
      </c>
      <c r="D837" s="9">
        <f>IFERROR(VLOOKUP($B837,Menu[],MATCH(D$1,Menu[#Headers],0),FALSE),"CHECK")</f>
        <v>38.06</v>
      </c>
      <c r="E837" s="9">
        <f>IFERROR(VLOOKUP($B837,Menu[],MATCH(E$1,Menu[#Headers],0),FALSE),"CHECK")</f>
        <v>19.55</v>
      </c>
      <c r="F837" t="str">
        <f>IFERROR(VLOOKUP($B837,Menu[],MATCH(F$1,Menu[#Headers],0),FALSE),"CHECK")</f>
        <v>Snack</v>
      </c>
      <c r="G837" s="7">
        <f>IFERROR(INT(VLOOKUP($A837,Orders[],MATCH("OrderDateTime",Orders[#Headers],0),FALSE)),"CHECK")</f>
        <v>45875</v>
      </c>
      <c r="H837" s="7" t="str">
        <f>IFERROR(VLOOKUP($A837,Orders[],MATCH(H$1,Orders[#Headers],0),FALSE),"CHECK")</f>
        <v>Plant 1 Canteen</v>
      </c>
      <c r="I837">
        <f>IFERROR(VLOOKUP(OrderLines[[#This Row],[OrderID]],Orders[],MATCH(OrderLines[[#Headers],[DiscountPct]],Orders[#Headers],0),FALSE),"CHECK")</f>
        <v>0.06</v>
      </c>
      <c r="J837" t="str">
        <f>IFERROR(VLOOKUP(OrderLines[[#This Row],[OrderID]],Orders[],MATCH(OrderLines[[#Headers],[Shift]],Orders[#Headers],0),FALSE),"CHECK")</f>
        <v>Lunch</v>
      </c>
      <c r="K837" s="11">
        <f>OrderLines[[#This Row],[Qty]] * OrderLines[[#This Row],[UnitPrice]] * (1-OrderLines[[#This Row],[DiscountPct]])</f>
        <v>35.776400000000002</v>
      </c>
      <c r="L837">
        <f>OrderLines[[#This Row],[Qty]]*OrderLines[[#This Row],[UnitCost]]</f>
        <v>19.55</v>
      </c>
    </row>
    <row r="838" spans="1:12" x14ac:dyDescent="0.25">
      <c r="A838" t="s">
        <v>364</v>
      </c>
      <c r="B838" t="s">
        <v>409</v>
      </c>
      <c r="C838">
        <v>1</v>
      </c>
      <c r="D838" s="9">
        <f>IFERROR(VLOOKUP($B838,Menu[],MATCH(D$1,Menu[#Headers],0),FALSE),"CHECK")</f>
        <v>28.43</v>
      </c>
      <c r="E838" s="9">
        <f>IFERROR(VLOOKUP($B838,Menu[],MATCH(E$1,Menu[#Headers],0),FALSE),"CHECK")</f>
        <v>13.89</v>
      </c>
      <c r="F838" t="str">
        <f>IFERROR(VLOOKUP($B838,Menu[],MATCH(F$1,Menu[#Headers],0),FALSE),"CHECK")</f>
        <v>Beverage</v>
      </c>
      <c r="G838" s="7">
        <f>IFERROR(INT(VLOOKUP($A838,Orders[],MATCH("OrderDateTime",Orders[#Headers],0),FALSE)),"CHECK")</f>
        <v>45875</v>
      </c>
      <c r="H838" s="7" t="str">
        <f>IFERROR(VLOOKUP($A838,Orders[],MATCH(H$1,Orders[#Headers],0),FALSE),"CHECK")</f>
        <v>Plant 1 Canteen</v>
      </c>
      <c r="I838">
        <f>IFERROR(VLOOKUP(OrderLines[[#This Row],[OrderID]],Orders[],MATCH(OrderLines[[#Headers],[DiscountPct]],Orders[#Headers],0),FALSE),"CHECK")</f>
        <v>0.06</v>
      </c>
      <c r="J838" t="str">
        <f>IFERROR(VLOOKUP(OrderLines[[#This Row],[OrderID]],Orders[],MATCH(OrderLines[[#Headers],[Shift]],Orders[#Headers],0),FALSE),"CHECK")</f>
        <v>Lunch</v>
      </c>
      <c r="K838" s="11">
        <f>OrderLines[[#This Row],[Qty]] * OrderLines[[#This Row],[UnitPrice]] * (1-OrderLines[[#This Row],[DiscountPct]])</f>
        <v>26.7242</v>
      </c>
      <c r="L838">
        <f>OrderLines[[#This Row],[Qty]]*OrderLines[[#This Row],[UnitCost]]</f>
        <v>13.89</v>
      </c>
    </row>
    <row r="839" spans="1:12" x14ac:dyDescent="0.25">
      <c r="A839" t="s">
        <v>364</v>
      </c>
      <c r="B839" t="s">
        <v>419</v>
      </c>
      <c r="C839">
        <v>1</v>
      </c>
      <c r="D839" s="9">
        <f>IFERROR(VLOOKUP($B839,Menu[],MATCH(D$1,Menu[#Headers],0),FALSE),"CHECK")</f>
        <v>50.19</v>
      </c>
      <c r="E839" s="9">
        <f>IFERROR(VLOOKUP($B839,Menu[],MATCH(E$1,Menu[#Headers],0),FALSE),"CHECK")</f>
        <v>22.61</v>
      </c>
      <c r="F839" t="str">
        <f>IFERROR(VLOOKUP($B839,Menu[],MATCH(F$1,Menu[#Headers],0),FALSE),"CHECK")</f>
        <v>Snack</v>
      </c>
      <c r="G839" s="7">
        <f>IFERROR(INT(VLOOKUP($A839,Orders[],MATCH("OrderDateTime",Orders[#Headers],0),FALSE)),"CHECK")</f>
        <v>45875</v>
      </c>
      <c r="H839" s="7" t="str">
        <f>IFERROR(VLOOKUP($A839,Orders[],MATCH(H$1,Orders[#Headers],0),FALSE),"CHECK")</f>
        <v>Plant 1 Canteen</v>
      </c>
      <c r="I839">
        <f>IFERROR(VLOOKUP(OrderLines[[#This Row],[OrderID]],Orders[],MATCH(OrderLines[[#Headers],[DiscountPct]],Orders[#Headers],0),FALSE),"CHECK")</f>
        <v>0.06</v>
      </c>
      <c r="J839" t="str">
        <f>IFERROR(VLOOKUP(OrderLines[[#This Row],[OrderID]],Orders[],MATCH(OrderLines[[#Headers],[Shift]],Orders[#Headers],0),FALSE),"CHECK")</f>
        <v>Lunch</v>
      </c>
      <c r="K839" s="11">
        <f>OrderLines[[#This Row],[Qty]] * OrderLines[[#This Row],[UnitPrice]] * (1-OrderLines[[#This Row],[DiscountPct]])</f>
        <v>47.178599999999996</v>
      </c>
      <c r="L839">
        <f>OrderLines[[#This Row],[Qty]]*OrderLines[[#This Row],[UnitCost]]</f>
        <v>22.61</v>
      </c>
    </row>
    <row r="840" spans="1:12" x14ac:dyDescent="0.25">
      <c r="A840" t="s">
        <v>365</v>
      </c>
      <c r="B840" t="s">
        <v>417</v>
      </c>
      <c r="C840">
        <v>2</v>
      </c>
      <c r="D840" s="9">
        <f>IFERROR(VLOOKUP($B840,Menu[],MATCH(D$1,Menu[#Headers],0),FALSE),"CHECK")</f>
        <v>146.4</v>
      </c>
      <c r="E840" s="9">
        <f>IFERROR(VLOOKUP($B840,Menu[],MATCH(E$1,Menu[#Headers],0),FALSE),"CHECK")</f>
        <v>80.92</v>
      </c>
      <c r="F840" t="str">
        <f>IFERROR(VLOOKUP($B840,Menu[],MATCH(F$1,Menu[#Headers],0),FALSE),"CHECK")</f>
        <v>Hot Meal</v>
      </c>
      <c r="G840" s="7">
        <f>IFERROR(INT(VLOOKUP($A840,Orders[],MATCH("OrderDateTime",Orders[#Headers],0),FALSE)),"CHECK")</f>
        <v>45871</v>
      </c>
      <c r="H840" s="7" t="str">
        <f>IFERROR(VLOOKUP($A840,Orders[],MATCH(H$1,Orders[#Headers],0),FALSE),"CHECK")</f>
        <v>Plant 1 Canteen</v>
      </c>
      <c r="I840">
        <f>IFERROR(VLOOKUP(OrderLines[[#This Row],[OrderID]],Orders[],MATCH(OrderLines[[#Headers],[DiscountPct]],Orders[#Headers],0),FALSE),"CHECK")</f>
        <v>0.03</v>
      </c>
      <c r="J840" t="str">
        <f>IFERROR(VLOOKUP(OrderLines[[#This Row],[OrderID]],Orders[],MATCH(OrderLines[[#Headers],[Shift]],Orders[#Headers],0),FALSE),"CHECK")</f>
        <v>Dinner</v>
      </c>
      <c r="K840" s="11">
        <f>OrderLines[[#This Row],[Qty]] * OrderLines[[#This Row],[UnitPrice]] * (1-OrderLines[[#This Row],[DiscountPct]])</f>
        <v>284.01600000000002</v>
      </c>
      <c r="L840">
        <f>OrderLines[[#This Row],[Qty]]*OrderLines[[#This Row],[UnitCost]]</f>
        <v>161.84</v>
      </c>
    </row>
    <row r="841" spans="1:12" x14ac:dyDescent="0.25">
      <c r="A841" t="s">
        <v>366</v>
      </c>
      <c r="B841" t="s">
        <v>413</v>
      </c>
      <c r="C841">
        <v>1</v>
      </c>
      <c r="D841" s="9">
        <f>IFERROR(VLOOKUP($B841,Menu[],MATCH(D$1,Menu[#Headers],0),FALSE),"CHECK")</f>
        <v>54.2</v>
      </c>
      <c r="E841" s="9">
        <f>IFERROR(VLOOKUP($B841,Menu[],MATCH(E$1,Menu[#Headers],0),FALSE),"CHECK")</f>
        <v>21.95</v>
      </c>
      <c r="F841" t="str">
        <f>IFERROR(VLOOKUP($B841,Menu[],MATCH(F$1,Menu[#Headers],0),FALSE),"CHECK")</f>
        <v>Dessert</v>
      </c>
      <c r="G841" s="7">
        <f>IFERROR(INT(VLOOKUP($A841,Orders[],MATCH("OrderDateTime",Orders[#Headers],0),FALSE)),"CHECK")</f>
        <v>45885</v>
      </c>
      <c r="H841" s="7" t="str">
        <f>IFERROR(VLOOKUP($A841,Orders[],MATCH(H$1,Orders[#Headers],0),FALSE),"CHECK")</f>
        <v>Head Office Café</v>
      </c>
      <c r="I841">
        <f>IFERROR(VLOOKUP(OrderLines[[#This Row],[OrderID]],Orders[],MATCH(OrderLines[[#Headers],[DiscountPct]],Orders[#Headers],0),FALSE),"CHECK")</f>
        <v>0.06</v>
      </c>
      <c r="J841" t="str">
        <f>IFERROR(VLOOKUP(OrderLines[[#This Row],[OrderID]],Orders[],MATCH(OrderLines[[#Headers],[Shift]],Orders[#Headers],0),FALSE),"CHECK")</f>
        <v>Breakfast</v>
      </c>
      <c r="K841" s="11">
        <f>OrderLines[[#This Row],[Qty]] * OrderLines[[#This Row],[UnitPrice]] * (1-OrderLines[[#This Row],[DiscountPct]])</f>
        <v>50.948</v>
      </c>
      <c r="L841">
        <f>OrderLines[[#This Row],[Qty]]*OrderLines[[#This Row],[UnitCost]]</f>
        <v>21.95</v>
      </c>
    </row>
    <row r="842" spans="1:12" x14ac:dyDescent="0.25">
      <c r="A842" t="s">
        <v>366</v>
      </c>
      <c r="B842" t="s">
        <v>417</v>
      </c>
      <c r="C842">
        <v>3</v>
      </c>
      <c r="D842" s="9">
        <f>IFERROR(VLOOKUP($B842,Menu[],MATCH(D$1,Menu[#Headers],0),FALSE),"CHECK")</f>
        <v>146.4</v>
      </c>
      <c r="E842" s="9">
        <f>IFERROR(VLOOKUP($B842,Menu[],MATCH(E$1,Menu[#Headers],0),FALSE),"CHECK")</f>
        <v>80.92</v>
      </c>
      <c r="F842" t="str">
        <f>IFERROR(VLOOKUP($B842,Menu[],MATCH(F$1,Menu[#Headers],0),FALSE),"CHECK")</f>
        <v>Hot Meal</v>
      </c>
      <c r="G842" s="7">
        <f>IFERROR(INT(VLOOKUP($A842,Orders[],MATCH("OrderDateTime",Orders[#Headers],0),FALSE)),"CHECK")</f>
        <v>45885</v>
      </c>
      <c r="H842" s="7" t="str">
        <f>IFERROR(VLOOKUP($A842,Orders[],MATCH(H$1,Orders[#Headers],0),FALSE),"CHECK")</f>
        <v>Head Office Café</v>
      </c>
      <c r="I842">
        <f>IFERROR(VLOOKUP(OrderLines[[#This Row],[OrderID]],Orders[],MATCH(OrderLines[[#Headers],[DiscountPct]],Orders[#Headers],0),FALSE),"CHECK")</f>
        <v>0.06</v>
      </c>
      <c r="J842" t="str">
        <f>IFERROR(VLOOKUP(OrderLines[[#This Row],[OrderID]],Orders[],MATCH(OrderLines[[#Headers],[Shift]],Orders[#Headers],0),FALSE),"CHECK")</f>
        <v>Breakfast</v>
      </c>
      <c r="K842" s="11">
        <f>OrderLines[[#This Row],[Qty]] * OrderLines[[#This Row],[UnitPrice]] * (1-OrderLines[[#This Row],[DiscountPct]])</f>
        <v>412.84800000000001</v>
      </c>
      <c r="L842">
        <f>OrderLines[[#This Row],[Qty]]*OrderLines[[#This Row],[UnitCost]]</f>
        <v>242.76</v>
      </c>
    </row>
    <row r="843" spans="1:12" x14ac:dyDescent="0.25">
      <c r="A843" t="s">
        <v>366</v>
      </c>
      <c r="B843" t="s">
        <v>401</v>
      </c>
      <c r="C843">
        <v>1</v>
      </c>
      <c r="D843" s="9">
        <f>IFERROR(VLOOKUP($B843,Menu[],MATCH(D$1,Menu[#Headers],0),FALSE),"CHECK")</f>
        <v>52.45</v>
      </c>
      <c r="E843" s="9">
        <f>IFERROR(VLOOKUP($B843,Menu[],MATCH(E$1,Menu[#Headers],0),FALSE),"CHECK")</f>
        <v>25.8</v>
      </c>
      <c r="F843" t="str">
        <f>IFERROR(VLOOKUP($B843,Menu[],MATCH(F$1,Menu[#Headers],0),FALSE),"CHECK")</f>
        <v>Snack</v>
      </c>
      <c r="G843" s="7">
        <f>IFERROR(INT(VLOOKUP($A843,Orders[],MATCH("OrderDateTime",Orders[#Headers],0),FALSE)),"CHECK")</f>
        <v>45885</v>
      </c>
      <c r="H843" s="7" t="str">
        <f>IFERROR(VLOOKUP($A843,Orders[],MATCH(H$1,Orders[#Headers],0),FALSE),"CHECK")</f>
        <v>Head Office Café</v>
      </c>
      <c r="I843">
        <f>IFERROR(VLOOKUP(OrderLines[[#This Row],[OrderID]],Orders[],MATCH(OrderLines[[#Headers],[DiscountPct]],Orders[#Headers],0),FALSE),"CHECK")</f>
        <v>0.06</v>
      </c>
      <c r="J843" t="str">
        <f>IFERROR(VLOOKUP(OrderLines[[#This Row],[OrderID]],Orders[],MATCH(OrderLines[[#Headers],[Shift]],Orders[#Headers],0),FALSE),"CHECK")</f>
        <v>Breakfast</v>
      </c>
      <c r="K843" s="11">
        <f>OrderLines[[#This Row],[Qty]] * OrderLines[[#This Row],[UnitPrice]] * (1-OrderLines[[#This Row],[DiscountPct]])</f>
        <v>49.302999999999997</v>
      </c>
      <c r="L843">
        <f>OrderLines[[#This Row],[Qty]]*OrderLines[[#This Row],[UnitCost]]</f>
        <v>25.8</v>
      </c>
    </row>
    <row r="844" spans="1:12" x14ac:dyDescent="0.25">
      <c r="A844" t="s">
        <v>367</v>
      </c>
      <c r="B844" t="s">
        <v>410</v>
      </c>
      <c r="C844">
        <v>2</v>
      </c>
      <c r="D844" s="9">
        <f>IFERROR(VLOOKUP($B844,Menu[],MATCH(D$1,Menu[#Headers],0),FALSE),"CHECK")</f>
        <v>20.11</v>
      </c>
      <c r="E844" s="9">
        <f>IFERROR(VLOOKUP($B844,Menu[],MATCH(E$1,Menu[#Headers],0),FALSE),"CHECK")</f>
        <v>8</v>
      </c>
      <c r="F844" t="str">
        <f>IFERROR(VLOOKUP($B844,Menu[],MATCH(F$1,Menu[#Headers],0),FALSE),"CHECK")</f>
        <v>Beverage</v>
      </c>
      <c r="G844" s="7">
        <f>IFERROR(INT(VLOOKUP($A844,Orders[],MATCH("OrderDateTime",Orders[#Headers],0),FALSE)),"CHECK")</f>
        <v>45882</v>
      </c>
      <c r="H844" s="7" t="str">
        <f>IFERROR(VLOOKUP($A844,Orders[],MATCH(H$1,Orders[#Headers],0),FALSE),"CHECK")</f>
        <v>Head Office Café</v>
      </c>
      <c r="I844">
        <f>IFERROR(VLOOKUP(OrderLines[[#This Row],[OrderID]],Orders[],MATCH(OrderLines[[#Headers],[DiscountPct]],Orders[#Headers],0),FALSE),"CHECK")</f>
        <v>0.08</v>
      </c>
      <c r="J844" t="str">
        <f>IFERROR(VLOOKUP(OrderLines[[#This Row],[OrderID]],Orders[],MATCH(OrderLines[[#Headers],[Shift]],Orders[#Headers],0),FALSE),"CHECK")</f>
        <v>Dinner</v>
      </c>
      <c r="K844" s="11">
        <f>OrderLines[[#This Row],[Qty]] * OrderLines[[#This Row],[UnitPrice]] * (1-OrderLines[[#This Row],[DiscountPct]])</f>
        <v>37.002400000000002</v>
      </c>
      <c r="L844">
        <f>OrderLines[[#This Row],[Qty]]*OrderLines[[#This Row],[UnitCost]]</f>
        <v>16</v>
      </c>
    </row>
    <row r="845" spans="1:12" x14ac:dyDescent="0.25">
      <c r="A845" t="s">
        <v>367</v>
      </c>
      <c r="B845" t="s">
        <v>405</v>
      </c>
      <c r="C845">
        <v>1</v>
      </c>
      <c r="D845" s="9">
        <f>IFERROR(VLOOKUP($B845,Menu[],MATCH(D$1,Menu[#Headers],0),FALSE),"CHECK")</f>
        <v>170.83</v>
      </c>
      <c r="E845" s="9">
        <f>IFERROR(VLOOKUP($B845,Menu[],MATCH(E$1,Menu[#Headers],0),FALSE),"CHECK")</f>
        <v>74.069999999999993</v>
      </c>
      <c r="F845" t="str">
        <f>IFERROR(VLOOKUP($B845,Menu[],MATCH(F$1,Menu[#Headers],0),FALSE),"CHECK")</f>
        <v>Hot Meal</v>
      </c>
      <c r="G845" s="7">
        <f>IFERROR(INT(VLOOKUP($A845,Orders[],MATCH("OrderDateTime",Orders[#Headers],0),FALSE)),"CHECK")</f>
        <v>45882</v>
      </c>
      <c r="H845" s="7" t="str">
        <f>IFERROR(VLOOKUP($A845,Orders[],MATCH(H$1,Orders[#Headers],0),FALSE),"CHECK")</f>
        <v>Head Office Café</v>
      </c>
      <c r="I845">
        <f>IFERROR(VLOOKUP(OrderLines[[#This Row],[OrderID]],Orders[],MATCH(OrderLines[[#Headers],[DiscountPct]],Orders[#Headers],0),FALSE),"CHECK")</f>
        <v>0.08</v>
      </c>
      <c r="J845" t="str">
        <f>IFERROR(VLOOKUP(OrderLines[[#This Row],[OrderID]],Orders[],MATCH(OrderLines[[#Headers],[Shift]],Orders[#Headers],0),FALSE),"CHECK")</f>
        <v>Dinner</v>
      </c>
      <c r="K845" s="11">
        <f>OrderLines[[#This Row],[Qty]] * OrderLines[[#This Row],[UnitPrice]] * (1-OrderLines[[#This Row],[DiscountPct]])</f>
        <v>157.16360000000003</v>
      </c>
      <c r="L845">
        <f>OrderLines[[#This Row],[Qty]]*OrderLines[[#This Row],[UnitCost]]</f>
        <v>74.069999999999993</v>
      </c>
    </row>
    <row r="846" spans="1:12" x14ac:dyDescent="0.25">
      <c r="A846" t="s">
        <v>367</v>
      </c>
      <c r="B846" t="s">
        <v>415</v>
      </c>
      <c r="C846">
        <v>2</v>
      </c>
      <c r="D846" s="9">
        <f>IFERROR(VLOOKUP($B846,Menu[],MATCH(D$1,Menu[#Headers],0),FALSE),"CHECK")</f>
        <v>256.91000000000003</v>
      </c>
      <c r="E846" s="9">
        <f>IFERROR(VLOOKUP($B846,Menu[],MATCH(E$1,Menu[#Headers],0),FALSE),"CHECK")</f>
        <v>121.24</v>
      </c>
      <c r="F846" t="str">
        <f>IFERROR(VLOOKUP($B846,Menu[],MATCH(F$1,Menu[#Headers],0),FALSE),"CHECK")</f>
        <v>Hot Meal</v>
      </c>
      <c r="G846" s="7">
        <f>IFERROR(INT(VLOOKUP($A846,Orders[],MATCH("OrderDateTime",Orders[#Headers],0),FALSE)),"CHECK")</f>
        <v>45882</v>
      </c>
      <c r="H846" s="7" t="str">
        <f>IFERROR(VLOOKUP($A846,Orders[],MATCH(H$1,Orders[#Headers],0),FALSE),"CHECK")</f>
        <v>Head Office Café</v>
      </c>
      <c r="I846">
        <f>IFERROR(VLOOKUP(OrderLines[[#This Row],[OrderID]],Orders[],MATCH(OrderLines[[#Headers],[DiscountPct]],Orders[#Headers],0),FALSE),"CHECK")</f>
        <v>0.08</v>
      </c>
      <c r="J846" t="str">
        <f>IFERROR(VLOOKUP(OrderLines[[#This Row],[OrderID]],Orders[],MATCH(OrderLines[[#Headers],[Shift]],Orders[#Headers],0),FALSE),"CHECK")</f>
        <v>Dinner</v>
      </c>
      <c r="K846" s="11">
        <f>OrderLines[[#This Row],[Qty]] * OrderLines[[#This Row],[UnitPrice]] * (1-OrderLines[[#This Row],[DiscountPct]])</f>
        <v>472.71440000000007</v>
      </c>
      <c r="L846">
        <f>OrderLines[[#This Row],[Qty]]*OrderLines[[#This Row],[UnitCost]]</f>
        <v>242.48</v>
      </c>
    </row>
    <row r="847" spans="1:12" x14ac:dyDescent="0.25">
      <c r="A847" t="s">
        <v>368</v>
      </c>
      <c r="B847" t="s">
        <v>406</v>
      </c>
      <c r="C847">
        <v>2</v>
      </c>
      <c r="D847" s="9">
        <f>IFERROR(VLOOKUP($B847,Menu[],MATCH(D$1,Menu[#Headers],0),FALSE),"CHECK")</f>
        <v>38.06</v>
      </c>
      <c r="E847" s="9">
        <f>IFERROR(VLOOKUP($B847,Menu[],MATCH(E$1,Menu[#Headers],0),FALSE),"CHECK")</f>
        <v>19.55</v>
      </c>
      <c r="F847" t="str">
        <f>IFERROR(VLOOKUP($B847,Menu[],MATCH(F$1,Menu[#Headers],0),FALSE),"CHECK")</f>
        <v>Snack</v>
      </c>
      <c r="G847" s="7">
        <f>IFERROR(INT(VLOOKUP($A847,Orders[],MATCH("OrderDateTime",Orders[#Headers],0),FALSE)),"CHECK")</f>
        <v>45864</v>
      </c>
      <c r="H847" s="7" t="str">
        <f>IFERROR(VLOOKUP($A847,Orders[],MATCH(H$1,Orders[#Headers],0),FALSE),"CHECK")</f>
        <v>Plant 1 Canteen</v>
      </c>
      <c r="I847">
        <f>IFERROR(VLOOKUP(OrderLines[[#This Row],[OrderID]],Orders[],MATCH(OrderLines[[#Headers],[DiscountPct]],Orders[#Headers],0),FALSE),"CHECK")</f>
        <v>0.12</v>
      </c>
      <c r="J847" t="str">
        <f>IFERROR(VLOOKUP(OrderLines[[#This Row],[OrderID]],Orders[],MATCH(OrderLines[[#Headers],[Shift]],Orders[#Headers],0),FALSE),"CHECK")</f>
        <v>Breakfast</v>
      </c>
      <c r="K847" s="11">
        <f>OrderLines[[#This Row],[Qty]] * OrderLines[[#This Row],[UnitPrice]] * (1-OrderLines[[#This Row],[DiscountPct]])</f>
        <v>66.985600000000005</v>
      </c>
      <c r="L847">
        <f>OrderLines[[#This Row],[Qty]]*OrderLines[[#This Row],[UnitCost]]</f>
        <v>39.1</v>
      </c>
    </row>
    <row r="848" spans="1:12" x14ac:dyDescent="0.25">
      <c r="A848" t="s">
        <v>368</v>
      </c>
      <c r="B848" t="s">
        <v>407</v>
      </c>
      <c r="C848">
        <v>1</v>
      </c>
      <c r="D848" s="9">
        <f>IFERROR(VLOOKUP($B848,Menu[],MATCH(D$1,Menu[#Headers],0),FALSE),"CHECK")</f>
        <v>246.09</v>
      </c>
      <c r="E848" s="9">
        <f>IFERROR(VLOOKUP($B848,Menu[],MATCH(E$1,Menu[#Headers],0),FALSE),"CHECK")</f>
        <v>112.08</v>
      </c>
      <c r="F848" t="str">
        <f>IFERROR(VLOOKUP($B848,Menu[],MATCH(F$1,Menu[#Headers],0),FALSE),"CHECK")</f>
        <v>Hot Meal</v>
      </c>
      <c r="G848" s="7">
        <f>IFERROR(INT(VLOOKUP($A848,Orders[],MATCH("OrderDateTime",Orders[#Headers],0),FALSE)),"CHECK")</f>
        <v>45864</v>
      </c>
      <c r="H848" s="7" t="str">
        <f>IFERROR(VLOOKUP($A848,Orders[],MATCH(H$1,Orders[#Headers],0),FALSE),"CHECK")</f>
        <v>Plant 1 Canteen</v>
      </c>
      <c r="I848">
        <f>IFERROR(VLOOKUP(OrderLines[[#This Row],[OrderID]],Orders[],MATCH(OrderLines[[#Headers],[DiscountPct]],Orders[#Headers],0),FALSE),"CHECK")</f>
        <v>0.12</v>
      </c>
      <c r="J848" t="str">
        <f>IFERROR(VLOOKUP(OrderLines[[#This Row],[OrderID]],Orders[],MATCH(OrderLines[[#Headers],[Shift]],Orders[#Headers],0),FALSE),"CHECK")</f>
        <v>Breakfast</v>
      </c>
      <c r="K848" s="11">
        <f>OrderLines[[#This Row],[Qty]] * OrderLines[[#This Row],[UnitPrice]] * (1-OrderLines[[#This Row],[DiscountPct]])</f>
        <v>216.5592</v>
      </c>
      <c r="L848">
        <f>OrderLines[[#This Row],[Qty]]*OrderLines[[#This Row],[UnitCost]]</f>
        <v>112.08</v>
      </c>
    </row>
    <row r="849" spans="1:12" x14ac:dyDescent="0.25">
      <c r="A849" t="s">
        <v>368</v>
      </c>
      <c r="B849" t="s">
        <v>418</v>
      </c>
      <c r="C849">
        <v>2</v>
      </c>
      <c r="D849" s="9">
        <f>IFERROR(VLOOKUP($B849,Menu[],MATCH(D$1,Menu[#Headers],0),FALSE),"CHECK")</f>
        <v>39.950000000000003</v>
      </c>
      <c r="E849" s="9">
        <f>IFERROR(VLOOKUP($B849,Menu[],MATCH(E$1,Menu[#Headers],0),FALSE),"CHECK")</f>
        <v>15.51</v>
      </c>
      <c r="F849" t="str">
        <f>IFERROR(VLOOKUP($B849,Menu[],MATCH(F$1,Menu[#Headers],0),FALSE),"CHECK")</f>
        <v>Snack</v>
      </c>
      <c r="G849" s="7">
        <f>IFERROR(INT(VLOOKUP($A849,Orders[],MATCH("OrderDateTime",Orders[#Headers],0),FALSE)),"CHECK")</f>
        <v>45864</v>
      </c>
      <c r="H849" s="7" t="str">
        <f>IFERROR(VLOOKUP($A849,Orders[],MATCH(H$1,Orders[#Headers],0),FALSE),"CHECK")</f>
        <v>Plant 1 Canteen</v>
      </c>
      <c r="I849">
        <f>IFERROR(VLOOKUP(OrderLines[[#This Row],[OrderID]],Orders[],MATCH(OrderLines[[#Headers],[DiscountPct]],Orders[#Headers],0),FALSE),"CHECK")</f>
        <v>0.12</v>
      </c>
      <c r="J849" t="str">
        <f>IFERROR(VLOOKUP(OrderLines[[#This Row],[OrderID]],Orders[],MATCH(OrderLines[[#Headers],[Shift]],Orders[#Headers],0),FALSE),"CHECK")</f>
        <v>Breakfast</v>
      </c>
      <c r="K849" s="11">
        <f>OrderLines[[#This Row],[Qty]] * OrderLines[[#This Row],[UnitPrice]] * (1-OrderLines[[#This Row],[DiscountPct]])</f>
        <v>70.312000000000012</v>
      </c>
      <c r="L849">
        <f>OrderLines[[#This Row],[Qty]]*OrderLines[[#This Row],[UnitCost]]</f>
        <v>31.02</v>
      </c>
    </row>
    <row r="850" spans="1:12" x14ac:dyDescent="0.25">
      <c r="A850" t="s">
        <v>368</v>
      </c>
      <c r="B850" t="s">
        <v>412</v>
      </c>
      <c r="C850">
        <v>1</v>
      </c>
      <c r="D850" s="9">
        <f>IFERROR(VLOOKUP($B850,Menu[],MATCH(D$1,Menu[#Headers],0),FALSE),"CHECK")</f>
        <v>57.07</v>
      </c>
      <c r="E850" s="9">
        <f>IFERROR(VLOOKUP($B850,Menu[],MATCH(E$1,Menu[#Headers],0),FALSE),"CHECK")</f>
        <v>29.14</v>
      </c>
      <c r="F850" t="str">
        <f>IFERROR(VLOOKUP($B850,Menu[],MATCH(F$1,Menu[#Headers],0),FALSE),"CHECK")</f>
        <v>Dessert</v>
      </c>
      <c r="G850" s="7">
        <f>IFERROR(INT(VLOOKUP($A850,Orders[],MATCH("OrderDateTime",Orders[#Headers],0),FALSE)),"CHECK")</f>
        <v>45864</v>
      </c>
      <c r="H850" s="7" t="str">
        <f>IFERROR(VLOOKUP($A850,Orders[],MATCH(H$1,Orders[#Headers],0),FALSE),"CHECK")</f>
        <v>Plant 1 Canteen</v>
      </c>
      <c r="I850">
        <f>IFERROR(VLOOKUP(OrderLines[[#This Row],[OrderID]],Orders[],MATCH(OrderLines[[#Headers],[DiscountPct]],Orders[#Headers],0),FALSE),"CHECK")</f>
        <v>0.12</v>
      </c>
      <c r="J850" t="str">
        <f>IFERROR(VLOOKUP(OrderLines[[#This Row],[OrderID]],Orders[],MATCH(OrderLines[[#Headers],[Shift]],Orders[#Headers],0),FALSE),"CHECK")</f>
        <v>Breakfast</v>
      </c>
      <c r="K850" s="11">
        <f>OrderLines[[#This Row],[Qty]] * OrderLines[[#This Row],[UnitPrice]] * (1-OrderLines[[#This Row],[DiscountPct]])</f>
        <v>50.221600000000002</v>
      </c>
      <c r="L850">
        <f>OrderLines[[#This Row],[Qty]]*OrderLines[[#This Row],[UnitCost]]</f>
        <v>29.14</v>
      </c>
    </row>
    <row r="851" spans="1:12" x14ac:dyDescent="0.25">
      <c r="A851" t="s">
        <v>369</v>
      </c>
      <c r="B851" t="s">
        <v>411</v>
      </c>
      <c r="C851">
        <v>2</v>
      </c>
      <c r="D851" s="9">
        <f>IFERROR(VLOOKUP($B851,Menu[],MATCH(D$1,Menu[#Headers],0),FALSE),"CHECK")</f>
        <v>22.2</v>
      </c>
      <c r="E851" s="9">
        <f>IFERROR(VLOOKUP($B851,Menu[],MATCH(E$1,Menu[#Headers],0),FALSE),"CHECK")</f>
        <v>9.3800000000000008</v>
      </c>
      <c r="F851" t="str">
        <f>IFERROR(VLOOKUP($B851,Menu[],MATCH(F$1,Menu[#Headers],0),FALSE),"CHECK")</f>
        <v>Beverage</v>
      </c>
      <c r="G851" s="7">
        <f>IFERROR(INT(VLOOKUP($A851,Orders[],MATCH("OrderDateTime",Orders[#Headers],0),FALSE)),"CHECK")</f>
        <v>45880</v>
      </c>
      <c r="H851" s="7" t="str">
        <f>IFERROR(VLOOKUP($A851,Orders[],MATCH(H$1,Orders[#Headers],0),FALSE),"CHECK")</f>
        <v>Plant 1 Canteen</v>
      </c>
      <c r="I851">
        <f>IFERROR(VLOOKUP(OrderLines[[#This Row],[OrderID]],Orders[],MATCH(OrderLines[[#Headers],[DiscountPct]],Orders[#Headers],0),FALSE),"CHECK")</f>
        <v>0.1</v>
      </c>
      <c r="J851" t="str">
        <f>IFERROR(VLOOKUP(OrderLines[[#This Row],[OrderID]],Orders[],MATCH(OrderLines[[#Headers],[Shift]],Orders[#Headers],0),FALSE),"CHECK")</f>
        <v>Breakfast</v>
      </c>
      <c r="K851" s="11">
        <f>OrderLines[[#This Row],[Qty]] * OrderLines[[#This Row],[UnitPrice]] * (1-OrderLines[[#This Row],[DiscountPct]])</f>
        <v>39.96</v>
      </c>
      <c r="L851">
        <f>OrderLines[[#This Row],[Qty]]*OrderLines[[#This Row],[UnitCost]]</f>
        <v>18.760000000000002</v>
      </c>
    </row>
    <row r="852" spans="1:12" x14ac:dyDescent="0.25">
      <c r="A852" t="s">
        <v>369</v>
      </c>
      <c r="B852" t="s">
        <v>408</v>
      </c>
      <c r="C852">
        <v>1</v>
      </c>
      <c r="D852" s="9">
        <f>IFERROR(VLOOKUP($B852,Menu[],MATCH(D$1,Menu[#Headers],0),FALSE),"CHECK")</f>
        <v>70.540000000000006</v>
      </c>
      <c r="E852" s="9">
        <f>IFERROR(VLOOKUP($B852,Menu[],MATCH(E$1,Menu[#Headers],0),FALSE),"CHECK")</f>
        <v>35.81</v>
      </c>
      <c r="F852" t="str">
        <f>IFERROR(VLOOKUP($B852,Menu[],MATCH(F$1,Menu[#Headers],0),FALSE),"CHECK")</f>
        <v>Snack</v>
      </c>
      <c r="G852" s="7">
        <f>IFERROR(INT(VLOOKUP($A852,Orders[],MATCH("OrderDateTime",Orders[#Headers],0),FALSE)),"CHECK")</f>
        <v>45880</v>
      </c>
      <c r="H852" s="7" t="str">
        <f>IFERROR(VLOOKUP($A852,Orders[],MATCH(H$1,Orders[#Headers],0),FALSE),"CHECK")</f>
        <v>Plant 1 Canteen</v>
      </c>
      <c r="I852">
        <f>IFERROR(VLOOKUP(OrderLines[[#This Row],[OrderID]],Orders[],MATCH(OrderLines[[#Headers],[DiscountPct]],Orders[#Headers],0),FALSE),"CHECK")</f>
        <v>0.1</v>
      </c>
      <c r="J852" t="str">
        <f>IFERROR(VLOOKUP(OrderLines[[#This Row],[OrderID]],Orders[],MATCH(OrderLines[[#Headers],[Shift]],Orders[#Headers],0),FALSE),"CHECK")</f>
        <v>Breakfast</v>
      </c>
      <c r="K852" s="11">
        <f>OrderLines[[#This Row],[Qty]] * OrderLines[[#This Row],[UnitPrice]] * (1-OrderLines[[#This Row],[DiscountPct]])</f>
        <v>63.486000000000004</v>
      </c>
      <c r="L852">
        <f>OrderLines[[#This Row],[Qty]]*OrderLines[[#This Row],[UnitCost]]</f>
        <v>35.81</v>
      </c>
    </row>
    <row r="853" spans="1:12" x14ac:dyDescent="0.25">
      <c r="A853" t="s">
        <v>369</v>
      </c>
      <c r="B853" t="s">
        <v>419</v>
      </c>
      <c r="C853">
        <v>1</v>
      </c>
      <c r="D853" s="9">
        <f>IFERROR(VLOOKUP($B853,Menu[],MATCH(D$1,Menu[#Headers],0),FALSE),"CHECK")</f>
        <v>50.19</v>
      </c>
      <c r="E853" s="9">
        <f>IFERROR(VLOOKUP($B853,Menu[],MATCH(E$1,Menu[#Headers],0),FALSE),"CHECK")</f>
        <v>22.61</v>
      </c>
      <c r="F853" t="str">
        <f>IFERROR(VLOOKUP($B853,Menu[],MATCH(F$1,Menu[#Headers],0),FALSE),"CHECK")</f>
        <v>Snack</v>
      </c>
      <c r="G853" s="7">
        <f>IFERROR(INT(VLOOKUP($A853,Orders[],MATCH("OrderDateTime",Orders[#Headers],0),FALSE)),"CHECK")</f>
        <v>45880</v>
      </c>
      <c r="H853" s="7" t="str">
        <f>IFERROR(VLOOKUP($A853,Orders[],MATCH(H$1,Orders[#Headers],0),FALSE),"CHECK")</f>
        <v>Plant 1 Canteen</v>
      </c>
      <c r="I853">
        <f>IFERROR(VLOOKUP(OrderLines[[#This Row],[OrderID]],Orders[],MATCH(OrderLines[[#Headers],[DiscountPct]],Orders[#Headers],0),FALSE),"CHECK")</f>
        <v>0.1</v>
      </c>
      <c r="J853" t="str">
        <f>IFERROR(VLOOKUP(OrderLines[[#This Row],[OrderID]],Orders[],MATCH(OrderLines[[#Headers],[Shift]],Orders[#Headers],0),FALSE),"CHECK")</f>
        <v>Breakfast</v>
      </c>
      <c r="K853" s="11">
        <f>OrderLines[[#This Row],[Qty]] * OrderLines[[#This Row],[UnitPrice]] * (1-OrderLines[[#This Row],[DiscountPct]])</f>
        <v>45.170999999999999</v>
      </c>
      <c r="L853">
        <f>OrderLines[[#This Row],[Qty]]*OrderLines[[#This Row],[UnitCost]]</f>
        <v>22.61</v>
      </c>
    </row>
    <row r="854" spans="1:12" x14ac:dyDescent="0.25">
      <c r="A854" t="s">
        <v>369</v>
      </c>
      <c r="B854" t="s">
        <v>413</v>
      </c>
      <c r="C854">
        <v>1</v>
      </c>
      <c r="D854" s="9">
        <f>IFERROR(VLOOKUP($B854,Menu[],MATCH(D$1,Menu[#Headers],0),FALSE),"CHECK")</f>
        <v>54.2</v>
      </c>
      <c r="E854" s="9">
        <f>IFERROR(VLOOKUP($B854,Menu[],MATCH(E$1,Menu[#Headers],0),FALSE),"CHECK")</f>
        <v>21.95</v>
      </c>
      <c r="F854" t="str">
        <f>IFERROR(VLOOKUP($B854,Menu[],MATCH(F$1,Menu[#Headers],0),FALSE),"CHECK")</f>
        <v>Dessert</v>
      </c>
      <c r="G854" s="7">
        <f>IFERROR(INT(VLOOKUP($A854,Orders[],MATCH("OrderDateTime",Orders[#Headers],0),FALSE)),"CHECK")</f>
        <v>45880</v>
      </c>
      <c r="H854" s="7" t="str">
        <f>IFERROR(VLOOKUP($A854,Orders[],MATCH(H$1,Orders[#Headers],0),FALSE),"CHECK")</f>
        <v>Plant 1 Canteen</v>
      </c>
      <c r="I854">
        <f>IFERROR(VLOOKUP(OrderLines[[#This Row],[OrderID]],Orders[],MATCH(OrderLines[[#Headers],[DiscountPct]],Orders[#Headers],0),FALSE),"CHECK")</f>
        <v>0.1</v>
      </c>
      <c r="J854" t="str">
        <f>IFERROR(VLOOKUP(OrderLines[[#This Row],[OrderID]],Orders[],MATCH(OrderLines[[#Headers],[Shift]],Orders[#Headers],0),FALSE),"CHECK")</f>
        <v>Breakfast</v>
      </c>
      <c r="K854" s="11">
        <f>OrderLines[[#This Row],[Qty]] * OrderLines[[#This Row],[UnitPrice]] * (1-OrderLines[[#This Row],[DiscountPct]])</f>
        <v>48.78</v>
      </c>
      <c r="L854">
        <f>OrderLines[[#This Row],[Qty]]*OrderLines[[#This Row],[UnitCost]]</f>
        <v>21.95</v>
      </c>
    </row>
    <row r="855" spans="1:12" x14ac:dyDescent="0.25">
      <c r="A855" t="s">
        <v>370</v>
      </c>
      <c r="B855" t="s">
        <v>410</v>
      </c>
      <c r="C855">
        <v>1</v>
      </c>
      <c r="D855" s="9">
        <f>IFERROR(VLOOKUP($B855,Menu[],MATCH(D$1,Menu[#Headers],0),FALSE),"CHECK")</f>
        <v>20.11</v>
      </c>
      <c r="E855" s="9">
        <f>IFERROR(VLOOKUP($B855,Menu[],MATCH(E$1,Menu[#Headers],0),FALSE),"CHECK")</f>
        <v>8</v>
      </c>
      <c r="F855" t="str">
        <f>IFERROR(VLOOKUP($B855,Menu[],MATCH(F$1,Menu[#Headers],0),FALSE),"CHECK")</f>
        <v>Beverage</v>
      </c>
      <c r="G855" s="7">
        <f>IFERROR(INT(VLOOKUP($A855,Orders[],MATCH("OrderDateTime",Orders[#Headers],0),FALSE)),"CHECK")</f>
        <v>45851</v>
      </c>
      <c r="H855" s="7" t="str">
        <f>IFERROR(VLOOKUP($A855,Orders[],MATCH(H$1,Orders[#Headers],0),FALSE),"CHECK")</f>
        <v>Plant 1 Canteen</v>
      </c>
      <c r="I855">
        <f>IFERROR(VLOOKUP(OrderLines[[#This Row],[OrderID]],Orders[],MATCH(OrderLines[[#Headers],[DiscountPct]],Orders[#Headers],0),FALSE),"CHECK")</f>
        <v>0.15</v>
      </c>
      <c r="J855" t="str">
        <f>IFERROR(VLOOKUP(OrderLines[[#This Row],[OrderID]],Orders[],MATCH(OrderLines[[#Headers],[Shift]],Orders[#Headers],0),FALSE),"CHECK")</f>
        <v>Breakfast</v>
      </c>
      <c r="K855" s="11">
        <f>OrderLines[[#This Row],[Qty]] * OrderLines[[#This Row],[UnitPrice]] * (1-OrderLines[[#This Row],[DiscountPct]])</f>
        <v>17.093499999999999</v>
      </c>
      <c r="L855">
        <f>OrderLines[[#This Row],[Qty]]*OrderLines[[#This Row],[UnitCost]]</f>
        <v>8</v>
      </c>
    </row>
    <row r="856" spans="1:12" x14ac:dyDescent="0.25">
      <c r="A856" t="s">
        <v>370</v>
      </c>
      <c r="B856" t="s">
        <v>403</v>
      </c>
      <c r="C856">
        <v>2</v>
      </c>
      <c r="D856" s="9">
        <f>IFERROR(VLOOKUP($B856,Menu[],MATCH(D$1,Menu[#Headers],0),FALSE),"CHECK")</f>
        <v>76.55</v>
      </c>
      <c r="E856" s="9">
        <f>IFERROR(VLOOKUP($B856,Menu[],MATCH(E$1,Menu[#Headers],0),FALSE),"CHECK")</f>
        <v>38.229999999999997</v>
      </c>
      <c r="F856" t="str">
        <f>IFERROR(VLOOKUP($B856,Menu[],MATCH(F$1,Menu[#Headers],0),FALSE),"CHECK")</f>
        <v>Dessert</v>
      </c>
      <c r="G856" s="7">
        <f>IFERROR(INT(VLOOKUP($A856,Orders[],MATCH("OrderDateTime",Orders[#Headers],0),FALSE)),"CHECK")</f>
        <v>45851</v>
      </c>
      <c r="H856" s="7" t="str">
        <f>IFERROR(VLOOKUP($A856,Orders[],MATCH(H$1,Orders[#Headers],0),FALSE),"CHECK")</f>
        <v>Plant 1 Canteen</v>
      </c>
      <c r="I856">
        <f>IFERROR(VLOOKUP(OrderLines[[#This Row],[OrderID]],Orders[],MATCH(OrderLines[[#Headers],[DiscountPct]],Orders[#Headers],0),FALSE),"CHECK")</f>
        <v>0.15</v>
      </c>
      <c r="J856" t="str">
        <f>IFERROR(VLOOKUP(OrderLines[[#This Row],[OrderID]],Orders[],MATCH(OrderLines[[#Headers],[Shift]],Orders[#Headers],0),FALSE),"CHECK")</f>
        <v>Breakfast</v>
      </c>
      <c r="K856" s="11">
        <f>OrderLines[[#This Row],[Qty]] * OrderLines[[#This Row],[UnitPrice]] * (1-OrderLines[[#This Row],[DiscountPct]])</f>
        <v>130.13499999999999</v>
      </c>
      <c r="L856">
        <f>OrderLines[[#This Row],[Qty]]*OrderLines[[#This Row],[UnitCost]]</f>
        <v>76.459999999999994</v>
      </c>
    </row>
    <row r="857" spans="1:12" x14ac:dyDescent="0.25">
      <c r="A857" t="s">
        <v>371</v>
      </c>
      <c r="B857" t="s">
        <v>416</v>
      </c>
      <c r="C857">
        <v>2</v>
      </c>
      <c r="D857" s="9">
        <f>IFERROR(VLOOKUP($B857,Menu[],MATCH(D$1,Menu[#Headers],0),FALSE),"CHECK")</f>
        <v>227.61</v>
      </c>
      <c r="E857" s="9">
        <f>IFERROR(VLOOKUP($B857,Menu[],MATCH(E$1,Menu[#Headers],0),FALSE),"CHECK")</f>
        <v>96.22</v>
      </c>
      <c r="F857" t="str">
        <f>IFERROR(VLOOKUP($B857,Menu[],MATCH(F$1,Menu[#Headers],0),FALSE),"CHECK")</f>
        <v>Hot Meal</v>
      </c>
      <c r="G857" s="7">
        <f>IFERROR(INT(VLOOKUP($A857,Orders[],MATCH("OrderDateTime",Orders[#Headers],0),FALSE)),"CHECK")</f>
        <v>45845</v>
      </c>
      <c r="H857" s="7" t="str">
        <f>IFERROR(VLOOKUP($A857,Orders[],MATCH(H$1,Orders[#Headers],0),FALSE),"CHECK")</f>
        <v>Plant 1 Canteen</v>
      </c>
      <c r="I857">
        <f>IFERROR(VLOOKUP(OrderLines[[#This Row],[OrderID]],Orders[],MATCH(OrderLines[[#Headers],[DiscountPct]],Orders[#Headers],0),FALSE),"CHECK")</f>
        <v>0.03</v>
      </c>
      <c r="J857" t="str">
        <f>IFERROR(VLOOKUP(OrderLines[[#This Row],[OrderID]],Orders[],MATCH(OrderLines[[#Headers],[Shift]],Orders[#Headers],0),FALSE),"CHECK")</f>
        <v>Breakfast</v>
      </c>
      <c r="K857" s="11">
        <f>OrderLines[[#This Row],[Qty]] * OrderLines[[#This Row],[UnitPrice]] * (1-OrderLines[[#This Row],[DiscountPct]])</f>
        <v>441.5634</v>
      </c>
      <c r="L857">
        <f>OrderLines[[#This Row],[Qty]]*OrderLines[[#This Row],[UnitCost]]</f>
        <v>192.44</v>
      </c>
    </row>
    <row r="858" spans="1:12" x14ac:dyDescent="0.25">
      <c r="A858" t="s">
        <v>371</v>
      </c>
      <c r="B858" t="s">
        <v>413</v>
      </c>
      <c r="C858">
        <v>1</v>
      </c>
      <c r="D858" s="9">
        <f>IFERROR(VLOOKUP($B858,Menu[],MATCH(D$1,Menu[#Headers],0),FALSE),"CHECK")</f>
        <v>54.2</v>
      </c>
      <c r="E858" s="9">
        <f>IFERROR(VLOOKUP($B858,Menu[],MATCH(E$1,Menu[#Headers],0),FALSE),"CHECK")</f>
        <v>21.95</v>
      </c>
      <c r="F858" t="str">
        <f>IFERROR(VLOOKUP($B858,Menu[],MATCH(F$1,Menu[#Headers],0),FALSE),"CHECK")</f>
        <v>Dessert</v>
      </c>
      <c r="G858" s="7">
        <f>IFERROR(INT(VLOOKUP($A858,Orders[],MATCH("OrderDateTime",Orders[#Headers],0),FALSE)),"CHECK")</f>
        <v>45845</v>
      </c>
      <c r="H858" s="7" t="str">
        <f>IFERROR(VLOOKUP($A858,Orders[],MATCH(H$1,Orders[#Headers],0),FALSE),"CHECK")</f>
        <v>Plant 1 Canteen</v>
      </c>
      <c r="I858">
        <f>IFERROR(VLOOKUP(OrderLines[[#This Row],[OrderID]],Orders[],MATCH(OrderLines[[#Headers],[DiscountPct]],Orders[#Headers],0),FALSE),"CHECK")</f>
        <v>0.03</v>
      </c>
      <c r="J858" t="str">
        <f>IFERROR(VLOOKUP(OrderLines[[#This Row],[OrderID]],Orders[],MATCH(OrderLines[[#Headers],[Shift]],Orders[#Headers],0),FALSE),"CHECK")</f>
        <v>Breakfast</v>
      </c>
      <c r="K858" s="11">
        <f>OrderLines[[#This Row],[Qty]] * OrderLines[[#This Row],[UnitPrice]] * (1-OrderLines[[#This Row],[DiscountPct]])</f>
        <v>52.573999999999998</v>
      </c>
      <c r="L858">
        <f>OrderLines[[#This Row],[Qty]]*OrderLines[[#This Row],[UnitCost]]</f>
        <v>21.95</v>
      </c>
    </row>
    <row r="859" spans="1:12" x14ac:dyDescent="0.25">
      <c r="A859" t="s">
        <v>371</v>
      </c>
      <c r="B859" t="s">
        <v>419</v>
      </c>
      <c r="C859">
        <v>2</v>
      </c>
      <c r="D859" s="9">
        <f>IFERROR(VLOOKUP($B859,Menu[],MATCH(D$1,Menu[#Headers],0),FALSE),"CHECK")</f>
        <v>50.19</v>
      </c>
      <c r="E859" s="9">
        <f>IFERROR(VLOOKUP($B859,Menu[],MATCH(E$1,Menu[#Headers],0),FALSE),"CHECK")</f>
        <v>22.61</v>
      </c>
      <c r="F859" t="str">
        <f>IFERROR(VLOOKUP($B859,Menu[],MATCH(F$1,Menu[#Headers],0),FALSE),"CHECK")</f>
        <v>Snack</v>
      </c>
      <c r="G859" s="7">
        <f>IFERROR(INT(VLOOKUP($A859,Orders[],MATCH("OrderDateTime",Orders[#Headers],0),FALSE)),"CHECK")</f>
        <v>45845</v>
      </c>
      <c r="H859" s="7" t="str">
        <f>IFERROR(VLOOKUP($A859,Orders[],MATCH(H$1,Orders[#Headers],0),FALSE),"CHECK")</f>
        <v>Plant 1 Canteen</v>
      </c>
      <c r="I859">
        <f>IFERROR(VLOOKUP(OrderLines[[#This Row],[OrderID]],Orders[],MATCH(OrderLines[[#Headers],[DiscountPct]],Orders[#Headers],0),FALSE),"CHECK")</f>
        <v>0.03</v>
      </c>
      <c r="J859" t="str">
        <f>IFERROR(VLOOKUP(OrderLines[[#This Row],[OrderID]],Orders[],MATCH(OrderLines[[#Headers],[Shift]],Orders[#Headers],0),FALSE),"CHECK")</f>
        <v>Breakfast</v>
      </c>
      <c r="K859" s="11">
        <f>OrderLines[[#This Row],[Qty]] * OrderLines[[#This Row],[UnitPrice]] * (1-OrderLines[[#This Row],[DiscountPct]])</f>
        <v>97.368599999999986</v>
      </c>
      <c r="L859">
        <f>OrderLines[[#This Row],[Qty]]*OrderLines[[#This Row],[UnitCost]]</f>
        <v>45.22</v>
      </c>
    </row>
    <row r="860" spans="1:12" x14ac:dyDescent="0.25">
      <c r="A860" t="s">
        <v>371</v>
      </c>
      <c r="B860" t="s">
        <v>404</v>
      </c>
      <c r="C860">
        <v>2</v>
      </c>
      <c r="D860" s="9">
        <f>IFERROR(VLOOKUP($B860,Menu[],MATCH(D$1,Menu[#Headers],0),FALSE),"CHECK")</f>
        <v>32.979999999999997</v>
      </c>
      <c r="E860" s="9">
        <f>IFERROR(VLOOKUP($B860,Menu[],MATCH(E$1,Menu[#Headers],0),FALSE),"CHECK")</f>
        <v>11.84</v>
      </c>
      <c r="F860" t="str">
        <f>IFERROR(VLOOKUP($B860,Menu[],MATCH(F$1,Menu[#Headers],0),FALSE),"CHECK")</f>
        <v>Beverage</v>
      </c>
      <c r="G860" s="7">
        <f>IFERROR(INT(VLOOKUP($A860,Orders[],MATCH("OrderDateTime",Orders[#Headers],0),FALSE)),"CHECK")</f>
        <v>45845</v>
      </c>
      <c r="H860" s="7" t="str">
        <f>IFERROR(VLOOKUP($A860,Orders[],MATCH(H$1,Orders[#Headers],0),FALSE),"CHECK")</f>
        <v>Plant 1 Canteen</v>
      </c>
      <c r="I860">
        <f>IFERROR(VLOOKUP(OrderLines[[#This Row],[OrderID]],Orders[],MATCH(OrderLines[[#Headers],[DiscountPct]],Orders[#Headers],0),FALSE),"CHECK")</f>
        <v>0.03</v>
      </c>
      <c r="J860" t="str">
        <f>IFERROR(VLOOKUP(OrderLines[[#This Row],[OrderID]],Orders[],MATCH(OrderLines[[#Headers],[Shift]],Orders[#Headers],0),FALSE),"CHECK")</f>
        <v>Breakfast</v>
      </c>
      <c r="K860" s="11">
        <f>OrderLines[[#This Row],[Qty]] * OrderLines[[#This Row],[UnitPrice]] * (1-OrderLines[[#This Row],[DiscountPct]])</f>
        <v>63.981199999999994</v>
      </c>
      <c r="L860">
        <f>OrderLines[[#This Row],[Qty]]*OrderLines[[#This Row],[UnitCost]]</f>
        <v>23.68</v>
      </c>
    </row>
    <row r="861" spans="1:12" x14ac:dyDescent="0.25">
      <c r="A861" t="s">
        <v>372</v>
      </c>
      <c r="B861" t="s">
        <v>405</v>
      </c>
      <c r="C861">
        <v>2</v>
      </c>
      <c r="D861" s="9">
        <f>IFERROR(VLOOKUP($B861,Menu[],MATCH(D$1,Menu[#Headers],0),FALSE),"CHECK")</f>
        <v>170.83</v>
      </c>
      <c r="E861" s="9">
        <f>IFERROR(VLOOKUP($B861,Menu[],MATCH(E$1,Menu[#Headers],0),FALSE),"CHECK")</f>
        <v>74.069999999999993</v>
      </c>
      <c r="F861" t="str">
        <f>IFERROR(VLOOKUP($B861,Menu[],MATCH(F$1,Menu[#Headers],0),FALSE),"CHECK")</f>
        <v>Hot Meal</v>
      </c>
      <c r="G861" s="7">
        <f>IFERROR(INT(VLOOKUP($A861,Orders[],MATCH("OrderDateTime",Orders[#Headers],0),FALSE)),"CHECK")</f>
        <v>45840</v>
      </c>
      <c r="H861" s="7" t="str">
        <f>IFERROR(VLOOKUP($A861,Orders[],MATCH(H$1,Orders[#Headers],0),FALSE),"CHECK")</f>
        <v>Head Office Café</v>
      </c>
      <c r="I861">
        <f>IFERROR(VLOOKUP(OrderLines[[#This Row],[OrderID]],Orders[],MATCH(OrderLines[[#Headers],[DiscountPct]],Orders[#Headers],0),FALSE),"CHECK")</f>
        <v>0.09</v>
      </c>
      <c r="J861" t="str">
        <f>IFERROR(VLOOKUP(OrderLines[[#This Row],[OrderID]],Orders[],MATCH(OrderLines[[#Headers],[Shift]],Orders[#Headers],0),FALSE),"CHECK")</f>
        <v>Dinner</v>
      </c>
      <c r="K861" s="11">
        <f>OrderLines[[#This Row],[Qty]] * OrderLines[[#This Row],[UnitPrice]] * (1-OrderLines[[#This Row],[DiscountPct]])</f>
        <v>310.91060000000004</v>
      </c>
      <c r="L861">
        <f>OrderLines[[#This Row],[Qty]]*OrderLines[[#This Row],[UnitCost]]</f>
        <v>148.13999999999999</v>
      </c>
    </row>
    <row r="862" spans="1:12" x14ac:dyDescent="0.25">
      <c r="A862" t="s">
        <v>372</v>
      </c>
      <c r="B862" t="s">
        <v>414</v>
      </c>
      <c r="C862">
        <v>2</v>
      </c>
      <c r="D862" s="9">
        <f>IFERROR(VLOOKUP($B862,Menu[],MATCH(D$1,Menu[#Headers],0),FALSE),"CHECK")</f>
        <v>116.8</v>
      </c>
      <c r="E862" s="9">
        <f>IFERROR(VLOOKUP($B862,Menu[],MATCH(E$1,Menu[#Headers],0),FALSE),"CHECK")</f>
        <v>48.97</v>
      </c>
      <c r="F862" t="str">
        <f>IFERROR(VLOOKUP($B862,Menu[],MATCH(F$1,Menu[#Headers],0),FALSE),"CHECK")</f>
        <v>Dessert</v>
      </c>
      <c r="G862" s="7">
        <f>IFERROR(INT(VLOOKUP($A862,Orders[],MATCH("OrderDateTime",Orders[#Headers],0),FALSE)),"CHECK")</f>
        <v>45840</v>
      </c>
      <c r="H862" s="7" t="str">
        <f>IFERROR(VLOOKUP($A862,Orders[],MATCH(H$1,Orders[#Headers],0),FALSE),"CHECK")</f>
        <v>Head Office Café</v>
      </c>
      <c r="I862">
        <f>IFERROR(VLOOKUP(OrderLines[[#This Row],[OrderID]],Orders[],MATCH(OrderLines[[#Headers],[DiscountPct]],Orders[#Headers],0),FALSE),"CHECK")</f>
        <v>0.09</v>
      </c>
      <c r="J862" t="str">
        <f>IFERROR(VLOOKUP(OrderLines[[#This Row],[OrderID]],Orders[],MATCH(OrderLines[[#Headers],[Shift]],Orders[#Headers],0),FALSE),"CHECK")</f>
        <v>Dinner</v>
      </c>
      <c r="K862" s="11">
        <f>OrderLines[[#This Row],[Qty]] * OrderLines[[#This Row],[UnitPrice]] * (1-OrderLines[[#This Row],[DiscountPct]])</f>
        <v>212.57599999999999</v>
      </c>
      <c r="L862">
        <f>OrderLines[[#This Row],[Qty]]*OrderLines[[#This Row],[UnitCost]]</f>
        <v>97.94</v>
      </c>
    </row>
    <row r="863" spans="1:12" x14ac:dyDescent="0.25">
      <c r="A863" t="s">
        <v>372</v>
      </c>
      <c r="B863" t="s">
        <v>417</v>
      </c>
      <c r="C863">
        <v>1</v>
      </c>
      <c r="D863" s="9">
        <f>IFERROR(VLOOKUP($B863,Menu[],MATCH(D$1,Menu[#Headers],0),FALSE),"CHECK")</f>
        <v>146.4</v>
      </c>
      <c r="E863" s="9">
        <f>IFERROR(VLOOKUP($B863,Menu[],MATCH(E$1,Menu[#Headers],0),FALSE),"CHECK")</f>
        <v>80.92</v>
      </c>
      <c r="F863" t="str">
        <f>IFERROR(VLOOKUP($B863,Menu[],MATCH(F$1,Menu[#Headers],0),FALSE),"CHECK")</f>
        <v>Hot Meal</v>
      </c>
      <c r="G863" s="7">
        <f>IFERROR(INT(VLOOKUP($A863,Orders[],MATCH("OrderDateTime",Orders[#Headers],0),FALSE)),"CHECK")</f>
        <v>45840</v>
      </c>
      <c r="H863" s="7" t="str">
        <f>IFERROR(VLOOKUP($A863,Orders[],MATCH(H$1,Orders[#Headers],0),FALSE),"CHECK")</f>
        <v>Head Office Café</v>
      </c>
      <c r="I863">
        <f>IFERROR(VLOOKUP(OrderLines[[#This Row],[OrderID]],Orders[],MATCH(OrderLines[[#Headers],[DiscountPct]],Orders[#Headers],0),FALSE),"CHECK")</f>
        <v>0.09</v>
      </c>
      <c r="J863" t="str">
        <f>IFERROR(VLOOKUP(OrderLines[[#This Row],[OrderID]],Orders[],MATCH(OrderLines[[#Headers],[Shift]],Orders[#Headers],0),FALSE),"CHECK")</f>
        <v>Dinner</v>
      </c>
      <c r="K863" s="11">
        <f>OrderLines[[#This Row],[Qty]] * OrderLines[[#This Row],[UnitPrice]] * (1-OrderLines[[#This Row],[DiscountPct]])</f>
        <v>133.22400000000002</v>
      </c>
      <c r="L863">
        <f>OrderLines[[#This Row],[Qty]]*OrderLines[[#This Row],[UnitCost]]</f>
        <v>80.92</v>
      </c>
    </row>
    <row r="864" spans="1:12" x14ac:dyDescent="0.25">
      <c r="A864" t="s">
        <v>373</v>
      </c>
      <c r="B864" t="s">
        <v>419</v>
      </c>
      <c r="C864">
        <v>2</v>
      </c>
      <c r="D864" s="9">
        <f>IFERROR(VLOOKUP($B864,Menu[],MATCH(D$1,Menu[#Headers],0),FALSE),"CHECK")</f>
        <v>50.19</v>
      </c>
      <c r="E864" s="9">
        <f>IFERROR(VLOOKUP($B864,Menu[],MATCH(E$1,Menu[#Headers],0),FALSE),"CHECK")</f>
        <v>22.61</v>
      </c>
      <c r="F864" t="str">
        <f>IFERROR(VLOOKUP($B864,Menu[],MATCH(F$1,Menu[#Headers],0),FALSE),"CHECK")</f>
        <v>Snack</v>
      </c>
      <c r="G864" s="7">
        <f>IFERROR(INT(VLOOKUP($A864,Orders[],MATCH("OrderDateTime",Orders[#Headers],0),FALSE)),"CHECK")</f>
        <v>45853</v>
      </c>
      <c r="H864" s="7" t="str">
        <f>IFERROR(VLOOKUP($A864,Orders[],MATCH(H$1,Orders[#Headers],0),FALSE),"CHECK")</f>
        <v>Plant 2 Canteen</v>
      </c>
      <c r="I864">
        <f>IFERROR(VLOOKUP(OrderLines[[#This Row],[OrderID]],Orders[],MATCH(OrderLines[[#Headers],[DiscountPct]],Orders[#Headers],0),FALSE),"CHECK")</f>
        <v>7.0000000000000007E-2</v>
      </c>
      <c r="J864" t="str">
        <f>IFERROR(VLOOKUP(OrderLines[[#This Row],[OrderID]],Orders[],MATCH(OrderLines[[#Headers],[Shift]],Orders[#Headers],0),FALSE),"CHECK")</f>
        <v>Breakfast</v>
      </c>
      <c r="K864" s="11">
        <f>OrderLines[[#This Row],[Qty]] * OrderLines[[#This Row],[UnitPrice]] * (1-OrderLines[[#This Row],[DiscountPct]])</f>
        <v>93.353399999999993</v>
      </c>
      <c r="L864">
        <f>OrderLines[[#This Row],[Qty]]*OrderLines[[#This Row],[UnitCost]]</f>
        <v>45.22</v>
      </c>
    </row>
    <row r="865" spans="1:12" x14ac:dyDescent="0.25">
      <c r="A865" t="s">
        <v>373</v>
      </c>
      <c r="B865" t="s">
        <v>412</v>
      </c>
      <c r="C865">
        <v>2</v>
      </c>
      <c r="D865" s="9">
        <f>IFERROR(VLOOKUP($B865,Menu[],MATCH(D$1,Menu[#Headers],0),FALSE),"CHECK")</f>
        <v>57.07</v>
      </c>
      <c r="E865" s="9">
        <f>IFERROR(VLOOKUP($B865,Menu[],MATCH(E$1,Menu[#Headers],0),FALSE),"CHECK")</f>
        <v>29.14</v>
      </c>
      <c r="F865" t="str">
        <f>IFERROR(VLOOKUP($B865,Menu[],MATCH(F$1,Menu[#Headers],0),FALSE),"CHECK")</f>
        <v>Dessert</v>
      </c>
      <c r="G865" s="7">
        <f>IFERROR(INT(VLOOKUP($A865,Orders[],MATCH("OrderDateTime",Orders[#Headers],0),FALSE)),"CHECK")</f>
        <v>45853</v>
      </c>
      <c r="H865" s="7" t="str">
        <f>IFERROR(VLOOKUP($A865,Orders[],MATCH(H$1,Orders[#Headers],0),FALSE),"CHECK")</f>
        <v>Plant 2 Canteen</v>
      </c>
      <c r="I865">
        <f>IFERROR(VLOOKUP(OrderLines[[#This Row],[OrderID]],Orders[],MATCH(OrderLines[[#Headers],[DiscountPct]],Orders[#Headers],0),FALSE),"CHECK")</f>
        <v>7.0000000000000007E-2</v>
      </c>
      <c r="J865" t="str">
        <f>IFERROR(VLOOKUP(OrderLines[[#This Row],[OrderID]],Orders[],MATCH(OrderLines[[#Headers],[Shift]],Orders[#Headers],0),FALSE),"CHECK")</f>
        <v>Breakfast</v>
      </c>
      <c r="K865" s="11">
        <f>OrderLines[[#This Row],[Qty]] * OrderLines[[#This Row],[UnitPrice]] * (1-OrderLines[[#This Row],[DiscountPct]])</f>
        <v>106.1502</v>
      </c>
      <c r="L865">
        <f>OrderLines[[#This Row],[Qty]]*OrderLines[[#This Row],[UnitCost]]</f>
        <v>58.28</v>
      </c>
    </row>
    <row r="866" spans="1:12" x14ac:dyDescent="0.25">
      <c r="A866" t="s">
        <v>374</v>
      </c>
      <c r="B866" t="s">
        <v>417</v>
      </c>
      <c r="C866">
        <v>1</v>
      </c>
      <c r="D866" s="9">
        <f>IFERROR(VLOOKUP($B866,Menu[],MATCH(D$1,Menu[#Headers],0),FALSE),"CHECK")</f>
        <v>146.4</v>
      </c>
      <c r="E866" s="9">
        <f>IFERROR(VLOOKUP($B866,Menu[],MATCH(E$1,Menu[#Headers],0),FALSE),"CHECK")</f>
        <v>80.92</v>
      </c>
      <c r="F866" t="str">
        <f>IFERROR(VLOOKUP($B866,Menu[],MATCH(F$1,Menu[#Headers],0),FALSE),"CHECK")</f>
        <v>Hot Meal</v>
      </c>
      <c r="G866" s="7">
        <f>IFERROR(INT(VLOOKUP($A866,Orders[],MATCH("OrderDateTime",Orders[#Headers],0),FALSE)),"CHECK")</f>
        <v>45862</v>
      </c>
      <c r="H866" s="7" t="str">
        <f>IFERROR(VLOOKUP($A866,Orders[],MATCH(H$1,Orders[#Headers],0),FALSE),"CHECK")</f>
        <v>Head Office Café</v>
      </c>
      <c r="I866">
        <f>IFERROR(VLOOKUP(OrderLines[[#This Row],[OrderID]],Orders[],MATCH(OrderLines[[#Headers],[DiscountPct]],Orders[#Headers],0),FALSE),"CHECK")</f>
        <v>0.15</v>
      </c>
      <c r="J866" t="str">
        <f>IFERROR(VLOOKUP(OrderLines[[#This Row],[OrderID]],Orders[],MATCH(OrderLines[[#Headers],[Shift]],Orders[#Headers],0),FALSE),"CHECK")</f>
        <v>Lunch</v>
      </c>
      <c r="K866" s="11">
        <f>OrderLines[[#This Row],[Qty]] * OrderLines[[#This Row],[UnitPrice]] * (1-OrderLines[[#This Row],[DiscountPct]])</f>
        <v>124.44</v>
      </c>
      <c r="L866">
        <f>OrderLines[[#This Row],[Qty]]*OrderLines[[#This Row],[UnitCost]]</f>
        <v>80.92</v>
      </c>
    </row>
    <row r="867" spans="1:12" x14ac:dyDescent="0.25">
      <c r="A867" t="s">
        <v>375</v>
      </c>
      <c r="B867" t="s">
        <v>409</v>
      </c>
      <c r="C867">
        <v>1</v>
      </c>
      <c r="D867" s="9">
        <f>IFERROR(VLOOKUP($B867,Menu[],MATCH(D$1,Menu[#Headers],0),FALSE),"CHECK")</f>
        <v>28.43</v>
      </c>
      <c r="E867" s="9">
        <f>IFERROR(VLOOKUP($B867,Menu[],MATCH(E$1,Menu[#Headers],0),FALSE),"CHECK")</f>
        <v>13.89</v>
      </c>
      <c r="F867" t="str">
        <f>IFERROR(VLOOKUP($B867,Menu[],MATCH(F$1,Menu[#Headers],0),FALSE),"CHECK")</f>
        <v>Beverage</v>
      </c>
      <c r="G867" s="7">
        <f>IFERROR(INT(VLOOKUP($A867,Orders[],MATCH("OrderDateTime",Orders[#Headers],0),FALSE)),"CHECK")</f>
        <v>45890</v>
      </c>
      <c r="H867" s="7" t="str">
        <f>IFERROR(VLOOKUP($A867,Orders[],MATCH(H$1,Orders[#Headers],0),FALSE),"CHECK")</f>
        <v>Plant 2 Canteen</v>
      </c>
      <c r="I867">
        <f>IFERROR(VLOOKUP(OrderLines[[#This Row],[OrderID]],Orders[],MATCH(OrderLines[[#Headers],[DiscountPct]],Orders[#Headers],0),FALSE),"CHECK")</f>
        <v>0.03</v>
      </c>
      <c r="J867" t="str">
        <f>IFERROR(VLOOKUP(OrderLines[[#This Row],[OrderID]],Orders[],MATCH(OrderLines[[#Headers],[Shift]],Orders[#Headers],0),FALSE),"CHECK")</f>
        <v>Breakfast</v>
      </c>
      <c r="K867" s="11">
        <f>OrderLines[[#This Row],[Qty]] * OrderLines[[#This Row],[UnitPrice]] * (1-OrderLines[[#This Row],[DiscountPct]])</f>
        <v>27.577099999999998</v>
      </c>
      <c r="L867">
        <f>OrderLines[[#This Row],[Qty]]*OrderLines[[#This Row],[UnitCost]]</f>
        <v>13.89</v>
      </c>
    </row>
    <row r="868" spans="1:12" x14ac:dyDescent="0.25">
      <c r="A868" t="s">
        <v>375</v>
      </c>
      <c r="B868" t="s">
        <v>402</v>
      </c>
      <c r="C868">
        <v>1</v>
      </c>
      <c r="D868" s="9">
        <f>IFERROR(VLOOKUP($B868,Menu[],MATCH(D$1,Menu[#Headers],0),FALSE),"CHECK")</f>
        <v>30.34</v>
      </c>
      <c r="E868" s="9">
        <f>IFERROR(VLOOKUP($B868,Menu[],MATCH(E$1,Menu[#Headers],0),FALSE),"CHECK")</f>
        <v>14.18</v>
      </c>
      <c r="F868" t="str">
        <f>IFERROR(VLOOKUP($B868,Menu[],MATCH(F$1,Menu[#Headers],0),FALSE),"CHECK")</f>
        <v>Beverage</v>
      </c>
      <c r="G868" s="7">
        <f>IFERROR(INT(VLOOKUP($A868,Orders[],MATCH("OrderDateTime",Orders[#Headers],0),FALSE)),"CHECK")</f>
        <v>45890</v>
      </c>
      <c r="H868" s="7" t="str">
        <f>IFERROR(VLOOKUP($A868,Orders[],MATCH(H$1,Orders[#Headers],0),FALSE),"CHECK")</f>
        <v>Plant 2 Canteen</v>
      </c>
      <c r="I868">
        <f>IFERROR(VLOOKUP(OrderLines[[#This Row],[OrderID]],Orders[],MATCH(OrderLines[[#Headers],[DiscountPct]],Orders[#Headers],0),FALSE),"CHECK")</f>
        <v>0.03</v>
      </c>
      <c r="J868" t="str">
        <f>IFERROR(VLOOKUP(OrderLines[[#This Row],[OrderID]],Orders[],MATCH(OrderLines[[#Headers],[Shift]],Orders[#Headers],0),FALSE),"CHECK")</f>
        <v>Breakfast</v>
      </c>
      <c r="K868" s="11">
        <f>OrderLines[[#This Row],[Qty]] * OrderLines[[#This Row],[UnitPrice]] * (1-OrderLines[[#This Row],[DiscountPct]])</f>
        <v>29.4298</v>
      </c>
      <c r="L868">
        <f>OrderLines[[#This Row],[Qty]]*OrderLines[[#This Row],[UnitCost]]</f>
        <v>14.18</v>
      </c>
    </row>
    <row r="869" spans="1:12" x14ac:dyDescent="0.25">
      <c r="A869" t="s">
        <v>375</v>
      </c>
      <c r="B869" t="s">
        <v>404</v>
      </c>
      <c r="C869">
        <v>3</v>
      </c>
      <c r="D869" s="9">
        <f>IFERROR(VLOOKUP($B869,Menu[],MATCH(D$1,Menu[#Headers],0),FALSE),"CHECK")</f>
        <v>32.979999999999997</v>
      </c>
      <c r="E869" s="9">
        <f>IFERROR(VLOOKUP($B869,Menu[],MATCH(E$1,Menu[#Headers],0),FALSE),"CHECK")</f>
        <v>11.84</v>
      </c>
      <c r="F869" t="str">
        <f>IFERROR(VLOOKUP($B869,Menu[],MATCH(F$1,Menu[#Headers],0),FALSE),"CHECK")</f>
        <v>Beverage</v>
      </c>
      <c r="G869" s="7">
        <f>IFERROR(INT(VLOOKUP($A869,Orders[],MATCH("OrderDateTime",Orders[#Headers],0),FALSE)),"CHECK")</f>
        <v>45890</v>
      </c>
      <c r="H869" s="7" t="str">
        <f>IFERROR(VLOOKUP($A869,Orders[],MATCH(H$1,Orders[#Headers],0),FALSE),"CHECK")</f>
        <v>Plant 2 Canteen</v>
      </c>
      <c r="I869">
        <f>IFERROR(VLOOKUP(OrderLines[[#This Row],[OrderID]],Orders[],MATCH(OrderLines[[#Headers],[DiscountPct]],Orders[#Headers],0),FALSE),"CHECK")</f>
        <v>0.03</v>
      </c>
      <c r="J869" t="str">
        <f>IFERROR(VLOOKUP(OrderLines[[#This Row],[OrderID]],Orders[],MATCH(OrderLines[[#Headers],[Shift]],Orders[#Headers],0),FALSE),"CHECK")</f>
        <v>Breakfast</v>
      </c>
      <c r="K869" s="11">
        <f>OrderLines[[#This Row],[Qty]] * OrderLines[[#This Row],[UnitPrice]] * (1-OrderLines[[#This Row],[DiscountPct]])</f>
        <v>95.971800000000002</v>
      </c>
      <c r="L869">
        <f>OrderLines[[#This Row],[Qty]]*OrderLines[[#This Row],[UnitCost]]</f>
        <v>35.519999999999996</v>
      </c>
    </row>
    <row r="870" spans="1:12" x14ac:dyDescent="0.25">
      <c r="A870" t="s">
        <v>376</v>
      </c>
      <c r="B870" t="s">
        <v>414</v>
      </c>
      <c r="C870">
        <v>2</v>
      </c>
      <c r="D870" s="9">
        <f>IFERROR(VLOOKUP($B870,Menu[],MATCH(D$1,Menu[#Headers],0),FALSE),"CHECK")</f>
        <v>116.8</v>
      </c>
      <c r="E870" s="9">
        <f>IFERROR(VLOOKUP($B870,Menu[],MATCH(E$1,Menu[#Headers],0),FALSE),"CHECK")</f>
        <v>48.97</v>
      </c>
      <c r="F870" t="str">
        <f>IFERROR(VLOOKUP($B870,Menu[],MATCH(F$1,Menu[#Headers],0),FALSE),"CHECK")</f>
        <v>Dessert</v>
      </c>
      <c r="G870" s="7">
        <f>IFERROR(INT(VLOOKUP($A870,Orders[],MATCH("OrderDateTime",Orders[#Headers],0),FALSE)),"CHECK")</f>
        <v>45888</v>
      </c>
      <c r="H870" s="7" t="str">
        <f>IFERROR(VLOOKUP($A870,Orders[],MATCH(H$1,Orders[#Headers],0),FALSE),"CHECK")</f>
        <v>Head Office Café</v>
      </c>
      <c r="I870">
        <f>IFERROR(VLOOKUP(OrderLines[[#This Row],[OrderID]],Orders[],MATCH(OrderLines[[#Headers],[DiscountPct]],Orders[#Headers],0),FALSE),"CHECK")</f>
        <v>0.03</v>
      </c>
      <c r="J870" t="str">
        <f>IFERROR(VLOOKUP(OrderLines[[#This Row],[OrderID]],Orders[],MATCH(OrderLines[[#Headers],[Shift]],Orders[#Headers],0),FALSE),"CHECK")</f>
        <v>Lunch</v>
      </c>
      <c r="K870" s="11">
        <f>OrderLines[[#This Row],[Qty]] * OrderLines[[#This Row],[UnitPrice]] * (1-OrderLines[[#This Row],[DiscountPct]])</f>
        <v>226.59199999999998</v>
      </c>
      <c r="L870">
        <f>OrderLines[[#This Row],[Qty]]*OrderLines[[#This Row],[UnitCost]]</f>
        <v>97.94</v>
      </c>
    </row>
    <row r="871" spans="1:12" x14ac:dyDescent="0.25">
      <c r="A871" t="s">
        <v>376</v>
      </c>
      <c r="B871" t="s">
        <v>412</v>
      </c>
      <c r="C871">
        <v>3</v>
      </c>
      <c r="D871" s="9">
        <f>IFERROR(VLOOKUP($B871,Menu[],MATCH(D$1,Menu[#Headers],0),FALSE),"CHECK")</f>
        <v>57.07</v>
      </c>
      <c r="E871" s="9">
        <f>IFERROR(VLOOKUP($B871,Menu[],MATCH(E$1,Menu[#Headers],0),FALSE),"CHECK")</f>
        <v>29.14</v>
      </c>
      <c r="F871" t="str">
        <f>IFERROR(VLOOKUP($B871,Menu[],MATCH(F$1,Menu[#Headers],0),FALSE),"CHECK")</f>
        <v>Dessert</v>
      </c>
      <c r="G871" s="7">
        <f>IFERROR(INT(VLOOKUP($A871,Orders[],MATCH("OrderDateTime",Orders[#Headers],0),FALSE)),"CHECK")</f>
        <v>45888</v>
      </c>
      <c r="H871" s="7" t="str">
        <f>IFERROR(VLOOKUP($A871,Orders[],MATCH(H$1,Orders[#Headers],0),FALSE),"CHECK")</f>
        <v>Head Office Café</v>
      </c>
      <c r="I871">
        <f>IFERROR(VLOOKUP(OrderLines[[#This Row],[OrderID]],Orders[],MATCH(OrderLines[[#Headers],[DiscountPct]],Orders[#Headers],0),FALSE),"CHECK")</f>
        <v>0.03</v>
      </c>
      <c r="J871" t="str">
        <f>IFERROR(VLOOKUP(OrderLines[[#This Row],[OrderID]],Orders[],MATCH(OrderLines[[#Headers],[Shift]],Orders[#Headers],0),FALSE),"CHECK")</f>
        <v>Lunch</v>
      </c>
      <c r="K871" s="11">
        <f>OrderLines[[#This Row],[Qty]] * OrderLines[[#This Row],[UnitPrice]] * (1-OrderLines[[#This Row],[DiscountPct]])</f>
        <v>166.0737</v>
      </c>
      <c r="L871">
        <f>OrderLines[[#This Row],[Qty]]*OrderLines[[#This Row],[UnitCost]]</f>
        <v>87.42</v>
      </c>
    </row>
    <row r="872" spans="1:12" x14ac:dyDescent="0.25">
      <c r="A872" t="s">
        <v>377</v>
      </c>
      <c r="B872" t="s">
        <v>401</v>
      </c>
      <c r="C872">
        <v>3</v>
      </c>
      <c r="D872" s="9">
        <f>IFERROR(VLOOKUP($B872,Menu[],MATCH(D$1,Menu[#Headers],0),FALSE),"CHECK")</f>
        <v>52.45</v>
      </c>
      <c r="E872" s="9">
        <f>IFERROR(VLOOKUP($B872,Menu[],MATCH(E$1,Menu[#Headers],0),FALSE),"CHECK")</f>
        <v>25.8</v>
      </c>
      <c r="F872" t="str">
        <f>IFERROR(VLOOKUP($B872,Menu[],MATCH(F$1,Menu[#Headers],0),FALSE),"CHECK")</f>
        <v>Snack</v>
      </c>
      <c r="G872" s="7">
        <f>IFERROR(INT(VLOOKUP($A872,Orders[],MATCH("OrderDateTime",Orders[#Headers],0),FALSE)),"CHECK")</f>
        <v>45884</v>
      </c>
      <c r="H872" s="7" t="str">
        <f>IFERROR(VLOOKUP($A872,Orders[],MATCH(H$1,Orders[#Headers],0),FALSE),"CHECK")</f>
        <v>Plant 1 Canteen</v>
      </c>
      <c r="I872">
        <f>IFERROR(VLOOKUP(OrderLines[[#This Row],[OrderID]],Orders[],MATCH(OrderLines[[#Headers],[DiscountPct]],Orders[#Headers],0),FALSE),"CHECK")</f>
        <v>0.04</v>
      </c>
      <c r="J872" t="str">
        <f>IFERROR(VLOOKUP(OrderLines[[#This Row],[OrderID]],Orders[],MATCH(OrderLines[[#Headers],[Shift]],Orders[#Headers],0),FALSE),"CHECK")</f>
        <v>Dinner</v>
      </c>
      <c r="K872" s="11">
        <f>OrderLines[[#This Row],[Qty]] * OrderLines[[#This Row],[UnitPrice]] * (1-OrderLines[[#This Row],[DiscountPct]])</f>
        <v>151.05600000000001</v>
      </c>
      <c r="L872">
        <f>OrderLines[[#This Row],[Qty]]*OrderLines[[#This Row],[UnitCost]]</f>
        <v>77.400000000000006</v>
      </c>
    </row>
    <row r="873" spans="1:12" x14ac:dyDescent="0.25">
      <c r="A873" t="s">
        <v>377</v>
      </c>
      <c r="B873" t="s">
        <v>404</v>
      </c>
      <c r="C873">
        <v>1</v>
      </c>
      <c r="D873" s="9">
        <f>IFERROR(VLOOKUP($B873,Menu[],MATCH(D$1,Menu[#Headers],0),FALSE),"CHECK")</f>
        <v>32.979999999999997</v>
      </c>
      <c r="E873" s="9">
        <f>IFERROR(VLOOKUP($B873,Menu[],MATCH(E$1,Menu[#Headers],0),FALSE),"CHECK")</f>
        <v>11.84</v>
      </c>
      <c r="F873" t="str">
        <f>IFERROR(VLOOKUP($B873,Menu[],MATCH(F$1,Menu[#Headers],0),FALSE),"CHECK")</f>
        <v>Beverage</v>
      </c>
      <c r="G873" s="7">
        <f>IFERROR(INT(VLOOKUP($A873,Orders[],MATCH("OrderDateTime",Orders[#Headers],0),FALSE)),"CHECK")</f>
        <v>45884</v>
      </c>
      <c r="H873" s="7" t="str">
        <f>IFERROR(VLOOKUP($A873,Orders[],MATCH(H$1,Orders[#Headers],0),FALSE),"CHECK")</f>
        <v>Plant 1 Canteen</v>
      </c>
      <c r="I873">
        <f>IFERROR(VLOOKUP(OrderLines[[#This Row],[OrderID]],Orders[],MATCH(OrderLines[[#Headers],[DiscountPct]],Orders[#Headers],0),FALSE),"CHECK")</f>
        <v>0.04</v>
      </c>
      <c r="J873" t="str">
        <f>IFERROR(VLOOKUP(OrderLines[[#This Row],[OrderID]],Orders[],MATCH(OrderLines[[#Headers],[Shift]],Orders[#Headers],0),FALSE),"CHECK")</f>
        <v>Dinner</v>
      </c>
      <c r="K873" s="11">
        <f>OrderLines[[#This Row],[Qty]] * OrderLines[[#This Row],[UnitPrice]] * (1-OrderLines[[#This Row],[DiscountPct]])</f>
        <v>31.660799999999995</v>
      </c>
      <c r="L873">
        <f>OrderLines[[#This Row],[Qty]]*OrderLines[[#This Row],[UnitCost]]</f>
        <v>11.84</v>
      </c>
    </row>
    <row r="874" spans="1:12" x14ac:dyDescent="0.25">
      <c r="A874" t="s">
        <v>377</v>
      </c>
      <c r="B874" t="s">
        <v>413</v>
      </c>
      <c r="C874">
        <v>1</v>
      </c>
      <c r="D874" s="9">
        <f>IFERROR(VLOOKUP($B874,Menu[],MATCH(D$1,Menu[#Headers],0),FALSE),"CHECK")</f>
        <v>54.2</v>
      </c>
      <c r="E874" s="9">
        <f>IFERROR(VLOOKUP($B874,Menu[],MATCH(E$1,Menu[#Headers],0),FALSE),"CHECK")</f>
        <v>21.95</v>
      </c>
      <c r="F874" t="str">
        <f>IFERROR(VLOOKUP($B874,Menu[],MATCH(F$1,Menu[#Headers],0),FALSE),"CHECK")</f>
        <v>Dessert</v>
      </c>
      <c r="G874" s="7">
        <f>IFERROR(INT(VLOOKUP($A874,Orders[],MATCH("OrderDateTime",Orders[#Headers],0),FALSE)),"CHECK")</f>
        <v>45884</v>
      </c>
      <c r="H874" s="7" t="str">
        <f>IFERROR(VLOOKUP($A874,Orders[],MATCH(H$1,Orders[#Headers],0),FALSE),"CHECK")</f>
        <v>Plant 1 Canteen</v>
      </c>
      <c r="I874">
        <f>IFERROR(VLOOKUP(OrderLines[[#This Row],[OrderID]],Orders[],MATCH(OrderLines[[#Headers],[DiscountPct]],Orders[#Headers],0),FALSE),"CHECK")</f>
        <v>0.04</v>
      </c>
      <c r="J874" t="str">
        <f>IFERROR(VLOOKUP(OrderLines[[#This Row],[OrderID]],Orders[],MATCH(OrderLines[[#Headers],[Shift]],Orders[#Headers],0),FALSE),"CHECK")</f>
        <v>Dinner</v>
      </c>
      <c r="K874" s="11">
        <f>OrderLines[[#This Row],[Qty]] * OrderLines[[#This Row],[UnitPrice]] * (1-OrderLines[[#This Row],[DiscountPct]])</f>
        <v>52.032000000000004</v>
      </c>
      <c r="L874">
        <f>OrderLines[[#This Row],[Qty]]*OrderLines[[#This Row],[UnitCost]]</f>
        <v>21.95</v>
      </c>
    </row>
    <row r="875" spans="1:12" x14ac:dyDescent="0.25">
      <c r="A875" t="s">
        <v>377</v>
      </c>
      <c r="B875" t="s">
        <v>402</v>
      </c>
      <c r="C875">
        <v>1</v>
      </c>
      <c r="D875" s="9">
        <f>IFERROR(VLOOKUP($B875,Menu[],MATCH(D$1,Menu[#Headers],0),FALSE),"CHECK")</f>
        <v>30.34</v>
      </c>
      <c r="E875" s="9">
        <f>IFERROR(VLOOKUP($B875,Menu[],MATCH(E$1,Menu[#Headers],0),FALSE),"CHECK")</f>
        <v>14.18</v>
      </c>
      <c r="F875" t="str">
        <f>IFERROR(VLOOKUP($B875,Menu[],MATCH(F$1,Menu[#Headers],0),FALSE),"CHECK")</f>
        <v>Beverage</v>
      </c>
      <c r="G875" s="7">
        <f>IFERROR(INT(VLOOKUP($A875,Orders[],MATCH("OrderDateTime",Orders[#Headers],0),FALSE)),"CHECK")</f>
        <v>45884</v>
      </c>
      <c r="H875" s="7" t="str">
        <f>IFERROR(VLOOKUP($A875,Orders[],MATCH(H$1,Orders[#Headers],0),FALSE),"CHECK")</f>
        <v>Plant 1 Canteen</v>
      </c>
      <c r="I875">
        <f>IFERROR(VLOOKUP(OrderLines[[#This Row],[OrderID]],Orders[],MATCH(OrderLines[[#Headers],[DiscountPct]],Orders[#Headers],0),FALSE),"CHECK")</f>
        <v>0.04</v>
      </c>
      <c r="J875" t="str">
        <f>IFERROR(VLOOKUP(OrderLines[[#This Row],[OrderID]],Orders[],MATCH(OrderLines[[#Headers],[Shift]],Orders[#Headers],0),FALSE),"CHECK")</f>
        <v>Dinner</v>
      </c>
      <c r="K875" s="11">
        <f>OrderLines[[#This Row],[Qty]] * OrderLines[[#This Row],[UnitPrice]] * (1-OrderLines[[#This Row],[DiscountPct]])</f>
        <v>29.1264</v>
      </c>
      <c r="L875">
        <f>OrderLines[[#This Row],[Qty]]*OrderLines[[#This Row],[UnitCost]]</f>
        <v>14.18</v>
      </c>
    </row>
    <row r="876" spans="1:12" x14ac:dyDescent="0.25">
      <c r="A876" t="s">
        <v>378</v>
      </c>
      <c r="B876" t="s">
        <v>418</v>
      </c>
      <c r="C876">
        <v>1</v>
      </c>
      <c r="D876" s="9">
        <f>IFERROR(VLOOKUP($B876,Menu[],MATCH(D$1,Menu[#Headers],0),FALSE),"CHECK")</f>
        <v>39.950000000000003</v>
      </c>
      <c r="E876" s="9">
        <f>IFERROR(VLOOKUP($B876,Menu[],MATCH(E$1,Menu[#Headers],0),FALSE),"CHECK")</f>
        <v>15.51</v>
      </c>
      <c r="F876" t="str">
        <f>IFERROR(VLOOKUP($B876,Menu[],MATCH(F$1,Menu[#Headers],0),FALSE),"CHECK")</f>
        <v>Snack</v>
      </c>
      <c r="G876" s="7">
        <f>IFERROR(INT(VLOOKUP($A876,Orders[],MATCH("OrderDateTime",Orders[#Headers],0),FALSE)),"CHECK")</f>
        <v>45863</v>
      </c>
      <c r="H876" s="7" t="str">
        <f>IFERROR(VLOOKUP($A876,Orders[],MATCH(H$1,Orders[#Headers],0),FALSE),"CHECK")</f>
        <v>Head Office Café</v>
      </c>
      <c r="I876">
        <f>IFERROR(VLOOKUP(OrderLines[[#This Row],[OrderID]],Orders[],MATCH(OrderLines[[#Headers],[DiscountPct]],Orders[#Headers],0),FALSE),"CHECK")</f>
        <v>0</v>
      </c>
      <c r="J876" t="str">
        <f>IFERROR(VLOOKUP(OrderLines[[#This Row],[OrderID]],Orders[],MATCH(OrderLines[[#Headers],[Shift]],Orders[#Headers],0),FALSE),"CHECK")</f>
        <v>Dinner</v>
      </c>
      <c r="K876" s="11">
        <f>OrderLines[[#This Row],[Qty]] * OrderLines[[#This Row],[UnitPrice]] * (1-OrderLines[[#This Row],[DiscountPct]])</f>
        <v>39.950000000000003</v>
      </c>
      <c r="L876">
        <f>OrderLines[[#This Row],[Qty]]*OrderLines[[#This Row],[UnitCost]]</f>
        <v>15.51</v>
      </c>
    </row>
    <row r="877" spans="1:12" x14ac:dyDescent="0.25">
      <c r="A877" t="s">
        <v>378</v>
      </c>
      <c r="B877" t="s">
        <v>403</v>
      </c>
      <c r="C877">
        <v>3</v>
      </c>
      <c r="D877" s="9">
        <f>IFERROR(VLOOKUP($B877,Menu[],MATCH(D$1,Menu[#Headers],0),FALSE),"CHECK")</f>
        <v>76.55</v>
      </c>
      <c r="E877" s="9">
        <f>IFERROR(VLOOKUP($B877,Menu[],MATCH(E$1,Menu[#Headers],0),FALSE),"CHECK")</f>
        <v>38.229999999999997</v>
      </c>
      <c r="F877" t="str">
        <f>IFERROR(VLOOKUP($B877,Menu[],MATCH(F$1,Menu[#Headers],0),FALSE),"CHECK")</f>
        <v>Dessert</v>
      </c>
      <c r="G877" s="7">
        <f>IFERROR(INT(VLOOKUP($A877,Orders[],MATCH("OrderDateTime",Orders[#Headers],0),FALSE)),"CHECK")</f>
        <v>45863</v>
      </c>
      <c r="H877" s="7" t="str">
        <f>IFERROR(VLOOKUP($A877,Orders[],MATCH(H$1,Orders[#Headers],0),FALSE),"CHECK")</f>
        <v>Head Office Café</v>
      </c>
      <c r="I877">
        <f>IFERROR(VLOOKUP(OrderLines[[#This Row],[OrderID]],Orders[],MATCH(OrderLines[[#Headers],[DiscountPct]],Orders[#Headers],0),FALSE),"CHECK")</f>
        <v>0</v>
      </c>
      <c r="J877" t="str">
        <f>IFERROR(VLOOKUP(OrderLines[[#This Row],[OrderID]],Orders[],MATCH(OrderLines[[#Headers],[Shift]],Orders[#Headers],0),FALSE),"CHECK")</f>
        <v>Dinner</v>
      </c>
      <c r="K877" s="11">
        <f>OrderLines[[#This Row],[Qty]] * OrderLines[[#This Row],[UnitPrice]] * (1-OrderLines[[#This Row],[DiscountPct]])</f>
        <v>229.64999999999998</v>
      </c>
      <c r="L877">
        <f>OrderLines[[#This Row],[Qty]]*OrderLines[[#This Row],[UnitCost]]</f>
        <v>114.69</v>
      </c>
    </row>
    <row r="878" spans="1:12" x14ac:dyDescent="0.25">
      <c r="A878" t="s">
        <v>378</v>
      </c>
      <c r="B878" t="s">
        <v>417</v>
      </c>
      <c r="C878">
        <v>1</v>
      </c>
      <c r="D878" s="9">
        <f>IFERROR(VLOOKUP($B878,Menu[],MATCH(D$1,Menu[#Headers],0),FALSE),"CHECK")</f>
        <v>146.4</v>
      </c>
      <c r="E878" s="9">
        <f>IFERROR(VLOOKUP($B878,Menu[],MATCH(E$1,Menu[#Headers],0),FALSE),"CHECK")</f>
        <v>80.92</v>
      </c>
      <c r="F878" t="str">
        <f>IFERROR(VLOOKUP($B878,Menu[],MATCH(F$1,Menu[#Headers],0),FALSE),"CHECK")</f>
        <v>Hot Meal</v>
      </c>
      <c r="G878" s="7">
        <f>IFERROR(INT(VLOOKUP($A878,Orders[],MATCH("OrderDateTime",Orders[#Headers],0),FALSE)),"CHECK")</f>
        <v>45863</v>
      </c>
      <c r="H878" s="7" t="str">
        <f>IFERROR(VLOOKUP($A878,Orders[],MATCH(H$1,Orders[#Headers],0),FALSE),"CHECK")</f>
        <v>Head Office Café</v>
      </c>
      <c r="I878">
        <f>IFERROR(VLOOKUP(OrderLines[[#This Row],[OrderID]],Orders[],MATCH(OrderLines[[#Headers],[DiscountPct]],Orders[#Headers],0),FALSE),"CHECK")</f>
        <v>0</v>
      </c>
      <c r="J878" t="str">
        <f>IFERROR(VLOOKUP(OrderLines[[#This Row],[OrderID]],Orders[],MATCH(OrderLines[[#Headers],[Shift]],Orders[#Headers],0),FALSE),"CHECK")</f>
        <v>Dinner</v>
      </c>
      <c r="K878" s="11">
        <f>OrderLines[[#This Row],[Qty]] * OrderLines[[#This Row],[UnitPrice]] * (1-OrderLines[[#This Row],[DiscountPct]])</f>
        <v>146.4</v>
      </c>
      <c r="L878">
        <f>OrderLines[[#This Row],[Qty]]*OrderLines[[#This Row],[UnitCost]]</f>
        <v>80.92</v>
      </c>
    </row>
    <row r="879" spans="1:12" x14ac:dyDescent="0.25">
      <c r="A879" t="s">
        <v>379</v>
      </c>
      <c r="B879" t="s">
        <v>401</v>
      </c>
      <c r="C879">
        <v>1</v>
      </c>
      <c r="D879" s="9">
        <f>IFERROR(VLOOKUP($B879,Menu[],MATCH(D$1,Menu[#Headers],0),FALSE),"CHECK")</f>
        <v>52.45</v>
      </c>
      <c r="E879" s="9">
        <f>IFERROR(VLOOKUP($B879,Menu[],MATCH(E$1,Menu[#Headers],0),FALSE),"CHECK")</f>
        <v>25.8</v>
      </c>
      <c r="F879" t="str">
        <f>IFERROR(VLOOKUP($B879,Menu[],MATCH(F$1,Menu[#Headers],0),FALSE),"CHECK")</f>
        <v>Snack</v>
      </c>
      <c r="G879" s="7">
        <f>IFERROR(INT(VLOOKUP($A879,Orders[],MATCH("OrderDateTime",Orders[#Headers],0),FALSE)),"CHECK")</f>
        <v>45872</v>
      </c>
      <c r="H879" s="7" t="str">
        <f>IFERROR(VLOOKUP($A879,Orders[],MATCH(H$1,Orders[#Headers],0),FALSE),"CHECK")</f>
        <v>Plant 1 Canteen</v>
      </c>
      <c r="I879">
        <f>IFERROR(VLOOKUP(OrderLines[[#This Row],[OrderID]],Orders[],MATCH(OrderLines[[#Headers],[DiscountPct]],Orders[#Headers],0),FALSE),"CHECK")</f>
        <v>0.04</v>
      </c>
      <c r="J879" t="str">
        <f>IFERROR(VLOOKUP(OrderLines[[#This Row],[OrderID]],Orders[],MATCH(OrderLines[[#Headers],[Shift]],Orders[#Headers],0),FALSE),"CHECK")</f>
        <v>Dinner</v>
      </c>
      <c r="K879" s="11">
        <f>OrderLines[[#This Row],[Qty]] * OrderLines[[#This Row],[UnitPrice]] * (1-OrderLines[[#This Row],[DiscountPct]])</f>
        <v>50.352000000000004</v>
      </c>
      <c r="L879">
        <f>OrderLines[[#This Row],[Qty]]*OrderLines[[#This Row],[UnitCost]]</f>
        <v>25.8</v>
      </c>
    </row>
    <row r="880" spans="1:12" x14ac:dyDescent="0.25">
      <c r="A880" t="s">
        <v>379</v>
      </c>
      <c r="B880" t="s">
        <v>409</v>
      </c>
      <c r="C880">
        <v>2</v>
      </c>
      <c r="D880" s="9">
        <f>IFERROR(VLOOKUP($B880,Menu[],MATCH(D$1,Menu[#Headers],0),FALSE),"CHECK")</f>
        <v>28.43</v>
      </c>
      <c r="E880" s="9">
        <f>IFERROR(VLOOKUP($B880,Menu[],MATCH(E$1,Menu[#Headers],0),FALSE),"CHECK")</f>
        <v>13.89</v>
      </c>
      <c r="F880" t="str">
        <f>IFERROR(VLOOKUP($B880,Menu[],MATCH(F$1,Menu[#Headers],0),FALSE),"CHECK")</f>
        <v>Beverage</v>
      </c>
      <c r="G880" s="7">
        <f>IFERROR(INT(VLOOKUP($A880,Orders[],MATCH("OrderDateTime",Orders[#Headers],0),FALSE)),"CHECK")</f>
        <v>45872</v>
      </c>
      <c r="H880" s="7" t="str">
        <f>IFERROR(VLOOKUP($A880,Orders[],MATCH(H$1,Orders[#Headers],0),FALSE),"CHECK")</f>
        <v>Plant 1 Canteen</v>
      </c>
      <c r="I880">
        <f>IFERROR(VLOOKUP(OrderLines[[#This Row],[OrderID]],Orders[],MATCH(OrderLines[[#Headers],[DiscountPct]],Orders[#Headers],0),FALSE),"CHECK")</f>
        <v>0.04</v>
      </c>
      <c r="J880" t="str">
        <f>IFERROR(VLOOKUP(OrderLines[[#This Row],[OrderID]],Orders[],MATCH(OrderLines[[#Headers],[Shift]],Orders[#Headers],0),FALSE),"CHECK")</f>
        <v>Dinner</v>
      </c>
      <c r="K880" s="11">
        <f>OrderLines[[#This Row],[Qty]] * OrderLines[[#This Row],[UnitPrice]] * (1-OrderLines[[#This Row],[DiscountPct]])</f>
        <v>54.585599999999999</v>
      </c>
      <c r="L880">
        <f>OrderLines[[#This Row],[Qty]]*OrderLines[[#This Row],[UnitCost]]</f>
        <v>27.78</v>
      </c>
    </row>
    <row r="881" spans="1:12" x14ac:dyDescent="0.25">
      <c r="A881" t="s">
        <v>380</v>
      </c>
      <c r="B881" t="s">
        <v>413</v>
      </c>
      <c r="C881">
        <v>2</v>
      </c>
      <c r="D881" s="9">
        <f>IFERROR(VLOOKUP($B881,Menu[],MATCH(D$1,Menu[#Headers],0),FALSE),"CHECK")</f>
        <v>54.2</v>
      </c>
      <c r="E881" s="9">
        <f>IFERROR(VLOOKUP($B881,Menu[],MATCH(E$1,Menu[#Headers],0),FALSE),"CHECK")</f>
        <v>21.95</v>
      </c>
      <c r="F881" t="str">
        <f>IFERROR(VLOOKUP($B881,Menu[],MATCH(F$1,Menu[#Headers],0),FALSE),"CHECK")</f>
        <v>Dessert</v>
      </c>
      <c r="G881" s="7">
        <f>IFERROR(INT(VLOOKUP($A881,Orders[],MATCH("OrderDateTime",Orders[#Headers],0),FALSE)),"CHECK")</f>
        <v>45895</v>
      </c>
      <c r="H881" s="7" t="str">
        <f>IFERROR(VLOOKUP($A881,Orders[],MATCH(H$1,Orders[#Headers],0),FALSE),"CHECK")</f>
        <v>Head Office Café</v>
      </c>
      <c r="I881">
        <f>IFERROR(VLOOKUP(OrderLines[[#This Row],[OrderID]],Orders[],MATCH(OrderLines[[#Headers],[DiscountPct]],Orders[#Headers],0),FALSE),"CHECK")</f>
        <v>0.03</v>
      </c>
      <c r="J881" t="str">
        <f>IFERROR(VLOOKUP(OrderLines[[#This Row],[OrderID]],Orders[],MATCH(OrderLines[[#Headers],[Shift]],Orders[#Headers],0),FALSE),"CHECK")</f>
        <v>Dinner</v>
      </c>
      <c r="K881" s="11">
        <f>OrderLines[[#This Row],[Qty]] * OrderLines[[#This Row],[UnitPrice]] * (1-OrderLines[[#This Row],[DiscountPct]])</f>
        <v>105.148</v>
      </c>
      <c r="L881">
        <f>OrderLines[[#This Row],[Qty]]*OrderLines[[#This Row],[UnitCost]]</f>
        <v>43.9</v>
      </c>
    </row>
    <row r="882" spans="1:12" x14ac:dyDescent="0.25">
      <c r="A882" t="s">
        <v>381</v>
      </c>
      <c r="B882" t="s">
        <v>406</v>
      </c>
      <c r="C882">
        <v>2</v>
      </c>
      <c r="D882" s="9">
        <f>IFERROR(VLOOKUP($B882,Menu[],MATCH(D$1,Menu[#Headers],0),FALSE),"CHECK")</f>
        <v>38.06</v>
      </c>
      <c r="E882" s="9">
        <f>IFERROR(VLOOKUP($B882,Menu[],MATCH(E$1,Menu[#Headers],0),FALSE),"CHECK")</f>
        <v>19.55</v>
      </c>
      <c r="F882" t="str">
        <f>IFERROR(VLOOKUP($B882,Menu[],MATCH(F$1,Menu[#Headers],0),FALSE),"CHECK")</f>
        <v>Snack</v>
      </c>
      <c r="G882" s="7">
        <f>IFERROR(INT(VLOOKUP($A882,Orders[],MATCH("OrderDateTime",Orders[#Headers],0),FALSE)),"CHECK")</f>
        <v>45873</v>
      </c>
      <c r="H882" s="7" t="str">
        <f>IFERROR(VLOOKUP($A882,Orders[],MATCH(H$1,Orders[#Headers],0),FALSE),"CHECK")</f>
        <v>Head Office Café</v>
      </c>
      <c r="I882">
        <f>IFERROR(VLOOKUP(OrderLines[[#This Row],[OrderID]],Orders[],MATCH(OrderLines[[#Headers],[DiscountPct]],Orders[#Headers],0),FALSE),"CHECK")</f>
        <v>7.0000000000000007E-2</v>
      </c>
      <c r="J882" t="str">
        <f>IFERROR(VLOOKUP(OrderLines[[#This Row],[OrderID]],Orders[],MATCH(OrderLines[[#Headers],[Shift]],Orders[#Headers],0),FALSE),"CHECK")</f>
        <v>Breakfast</v>
      </c>
      <c r="K882" s="11">
        <f>OrderLines[[#This Row],[Qty]] * OrderLines[[#This Row],[UnitPrice]] * (1-OrderLines[[#This Row],[DiscountPct]])</f>
        <v>70.791600000000003</v>
      </c>
      <c r="L882">
        <f>OrderLines[[#This Row],[Qty]]*OrderLines[[#This Row],[UnitCost]]</f>
        <v>39.1</v>
      </c>
    </row>
    <row r="883" spans="1:12" x14ac:dyDescent="0.25">
      <c r="A883" t="s">
        <v>381</v>
      </c>
      <c r="B883" t="s">
        <v>413</v>
      </c>
      <c r="C883">
        <v>1</v>
      </c>
      <c r="D883" s="9">
        <f>IFERROR(VLOOKUP($B883,Menu[],MATCH(D$1,Menu[#Headers],0),FALSE),"CHECK")</f>
        <v>54.2</v>
      </c>
      <c r="E883" s="9">
        <f>IFERROR(VLOOKUP($B883,Menu[],MATCH(E$1,Menu[#Headers],0),FALSE),"CHECK")</f>
        <v>21.95</v>
      </c>
      <c r="F883" t="str">
        <f>IFERROR(VLOOKUP($B883,Menu[],MATCH(F$1,Menu[#Headers],0),FALSE),"CHECK")</f>
        <v>Dessert</v>
      </c>
      <c r="G883" s="7">
        <f>IFERROR(INT(VLOOKUP($A883,Orders[],MATCH("OrderDateTime",Orders[#Headers],0),FALSE)),"CHECK")</f>
        <v>45873</v>
      </c>
      <c r="H883" s="7" t="str">
        <f>IFERROR(VLOOKUP($A883,Orders[],MATCH(H$1,Orders[#Headers],0),FALSE),"CHECK")</f>
        <v>Head Office Café</v>
      </c>
      <c r="I883">
        <f>IFERROR(VLOOKUP(OrderLines[[#This Row],[OrderID]],Orders[],MATCH(OrderLines[[#Headers],[DiscountPct]],Orders[#Headers],0),FALSE),"CHECK")</f>
        <v>7.0000000000000007E-2</v>
      </c>
      <c r="J883" t="str">
        <f>IFERROR(VLOOKUP(OrderLines[[#This Row],[OrderID]],Orders[],MATCH(OrderLines[[#Headers],[Shift]],Orders[#Headers],0),FALSE),"CHECK")</f>
        <v>Breakfast</v>
      </c>
      <c r="K883" s="11">
        <f>OrderLines[[#This Row],[Qty]] * OrderLines[[#This Row],[UnitPrice]] * (1-OrderLines[[#This Row],[DiscountPct]])</f>
        <v>50.405999999999999</v>
      </c>
      <c r="L883">
        <f>OrderLines[[#This Row],[Qty]]*OrderLines[[#This Row],[UnitCost]]</f>
        <v>21.95</v>
      </c>
    </row>
    <row r="884" spans="1:12" x14ac:dyDescent="0.25">
      <c r="A884" t="s">
        <v>381</v>
      </c>
      <c r="B884" t="s">
        <v>419</v>
      </c>
      <c r="C884">
        <v>2</v>
      </c>
      <c r="D884" s="9">
        <f>IFERROR(VLOOKUP($B884,Menu[],MATCH(D$1,Menu[#Headers],0),FALSE),"CHECK")</f>
        <v>50.19</v>
      </c>
      <c r="E884" s="9">
        <f>IFERROR(VLOOKUP($B884,Menu[],MATCH(E$1,Menu[#Headers],0),FALSE),"CHECK")</f>
        <v>22.61</v>
      </c>
      <c r="F884" t="str">
        <f>IFERROR(VLOOKUP($B884,Menu[],MATCH(F$1,Menu[#Headers],0),FALSE),"CHECK")</f>
        <v>Snack</v>
      </c>
      <c r="G884" s="7">
        <f>IFERROR(INT(VLOOKUP($A884,Orders[],MATCH("OrderDateTime",Orders[#Headers],0),FALSE)),"CHECK")</f>
        <v>45873</v>
      </c>
      <c r="H884" s="7" t="str">
        <f>IFERROR(VLOOKUP($A884,Orders[],MATCH(H$1,Orders[#Headers],0),FALSE),"CHECK")</f>
        <v>Head Office Café</v>
      </c>
      <c r="I884">
        <f>IFERROR(VLOOKUP(OrderLines[[#This Row],[OrderID]],Orders[],MATCH(OrderLines[[#Headers],[DiscountPct]],Orders[#Headers],0),FALSE),"CHECK")</f>
        <v>7.0000000000000007E-2</v>
      </c>
      <c r="J884" t="str">
        <f>IFERROR(VLOOKUP(OrderLines[[#This Row],[OrderID]],Orders[],MATCH(OrderLines[[#Headers],[Shift]],Orders[#Headers],0),FALSE),"CHECK")</f>
        <v>Breakfast</v>
      </c>
      <c r="K884" s="11">
        <f>OrderLines[[#This Row],[Qty]] * OrderLines[[#This Row],[UnitPrice]] * (1-OrderLines[[#This Row],[DiscountPct]])</f>
        <v>93.353399999999993</v>
      </c>
      <c r="L884">
        <f>OrderLines[[#This Row],[Qty]]*OrderLines[[#This Row],[UnitCost]]</f>
        <v>45.22</v>
      </c>
    </row>
    <row r="885" spans="1:12" x14ac:dyDescent="0.25">
      <c r="A885" t="s">
        <v>382</v>
      </c>
      <c r="B885" t="s">
        <v>411</v>
      </c>
      <c r="C885">
        <v>1</v>
      </c>
      <c r="D885" s="9">
        <f>IFERROR(VLOOKUP($B885,Menu[],MATCH(D$1,Menu[#Headers],0),FALSE),"CHECK")</f>
        <v>22.2</v>
      </c>
      <c r="E885" s="9">
        <f>IFERROR(VLOOKUP($B885,Menu[],MATCH(E$1,Menu[#Headers],0),FALSE),"CHECK")</f>
        <v>9.3800000000000008</v>
      </c>
      <c r="F885" t="str">
        <f>IFERROR(VLOOKUP($B885,Menu[],MATCH(F$1,Menu[#Headers],0),FALSE),"CHECK")</f>
        <v>Beverage</v>
      </c>
      <c r="G885" s="7">
        <f>IFERROR(INT(VLOOKUP($A885,Orders[],MATCH("OrderDateTime",Orders[#Headers],0),FALSE)),"CHECK")</f>
        <v>45884</v>
      </c>
      <c r="H885" s="7" t="str">
        <f>IFERROR(VLOOKUP($A885,Orders[],MATCH(H$1,Orders[#Headers],0),FALSE),"CHECK")</f>
        <v>Head Office Café</v>
      </c>
      <c r="I885">
        <f>IFERROR(VLOOKUP(OrderLines[[#This Row],[OrderID]],Orders[],MATCH(OrderLines[[#Headers],[DiscountPct]],Orders[#Headers],0),FALSE),"CHECK")</f>
        <v>7.0000000000000007E-2</v>
      </c>
      <c r="J885" t="str">
        <f>IFERROR(VLOOKUP(OrderLines[[#This Row],[OrderID]],Orders[],MATCH(OrderLines[[#Headers],[Shift]],Orders[#Headers],0),FALSE),"CHECK")</f>
        <v>Breakfast</v>
      </c>
      <c r="K885" s="11">
        <f>OrderLines[[#This Row],[Qty]] * OrderLines[[#This Row],[UnitPrice]] * (1-OrderLines[[#This Row],[DiscountPct]])</f>
        <v>20.645999999999997</v>
      </c>
      <c r="L885">
        <f>OrderLines[[#This Row],[Qty]]*OrderLines[[#This Row],[UnitCost]]</f>
        <v>9.3800000000000008</v>
      </c>
    </row>
    <row r="886" spans="1:12" x14ac:dyDescent="0.25">
      <c r="A886" t="s">
        <v>382</v>
      </c>
      <c r="B886" t="s">
        <v>413</v>
      </c>
      <c r="C886">
        <v>3</v>
      </c>
      <c r="D886" s="9">
        <f>IFERROR(VLOOKUP($B886,Menu[],MATCH(D$1,Menu[#Headers],0),FALSE),"CHECK")</f>
        <v>54.2</v>
      </c>
      <c r="E886" s="9">
        <f>IFERROR(VLOOKUP($B886,Menu[],MATCH(E$1,Menu[#Headers],0),FALSE),"CHECK")</f>
        <v>21.95</v>
      </c>
      <c r="F886" t="str">
        <f>IFERROR(VLOOKUP($B886,Menu[],MATCH(F$1,Menu[#Headers],0),FALSE),"CHECK")</f>
        <v>Dessert</v>
      </c>
      <c r="G886" s="7">
        <f>IFERROR(INT(VLOOKUP($A886,Orders[],MATCH("OrderDateTime",Orders[#Headers],0),FALSE)),"CHECK")</f>
        <v>45884</v>
      </c>
      <c r="H886" s="7" t="str">
        <f>IFERROR(VLOOKUP($A886,Orders[],MATCH(H$1,Orders[#Headers],0),FALSE),"CHECK")</f>
        <v>Head Office Café</v>
      </c>
      <c r="I886">
        <f>IFERROR(VLOOKUP(OrderLines[[#This Row],[OrderID]],Orders[],MATCH(OrderLines[[#Headers],[DiscountPct]],Orders[#Headers],0),FALSE),"CHECK")</f>
        <v>7.0000000000000007E-2</v>
      </c>
      <c r="J886" t="str">
        <f>IFERROR(VLOOKUP(OrderLines[[#This Row],[OrderID]],Orders[],MATCH(OrderLines[[#Headers],[Shift]],Orders[#Headers],0),FALSE),"CHECK")</f>
        <v>Breakfast</v>
      </c>
      <c r="K886" s="11">
        <f>OrderLines[[#This Row],[Qty]] * OrderLines[[#This Row],[UnitPrice]] * (1-OrderLines[[#This Row],[DiscountPct]])</f>
        <v>151.21800000000002</v>
      </c>
      <c r="L886">
        <f>OrderLines[[#This Row],[Qty]]*OrderLines[[#This Row],[UnitCost]]</f>
        <v>65.849999999999994</v>
      </c>
    </row>
    <row r="887" spans="1:12" x14ac:dyDescent="0.25">
      <c r="A887" t="s">
        <v>382</v>
      </c>
      <c r="B887" t="s">
        <v>416</v>
      </c>
      <c r="C887">
        <v>2</v>
      </c>
      <c r="D887" s="9">
        <f>IFERROR(VLOOKUP($B887,Menu[],MATCH(D$1,Menu[#Headers],0),FALSE),"CHECK")</f>
        <v>227.61</v>
      </c>
      <c r="E887" s="9">
        <f>IFERROR(VLOOKUP($B887,Menu[],MATCH(E$1,Menu[#Headers],0),FALSE),"CHECK")</f>
        <v>96.22</v>
      </c>
      <c r="F887" t="str">
        <f>IFERROR(VLOOKUP($B887,Menu[],MATCH(F$1,Menu[#Headers],0),FALSE),"CHECK")</f>
        <v>Hot Meal</v>
      </c>
      <c r="G887" s="7">
        <f>IFERROR(INT(VLOOKUP($A887,Orders[],MATCH("OrderDateTime",Orders[#Headers],0),FALSE)),"CHECK")</f>
        <v>45884</v>
      </c>
      <c r="H887" s="7" t="str">
        <f>IFERROR(VLOOKUP($A887,Orders[],MATCH(H$1,Orders[#Headers],0),FALSE),"CHECK")</f>
        <v>Head Office Café</v>
      </c>
      <c r="I887">
        <f>IFERROR(VLOOKUP(OrderLines[[#This Row],[OrderID]],Orders[],MATCH(OrderLines[[#Headers],[DiscountPct]],Orders[#Headers],0),FALSE),"CHECK")</f>
        <v>7.0000000000000007E-2</v>
      </c>
      <c r="J887" t="str">
        <f>IFERROR(VLOOKUP(OrderLines[[#This Row],[OrderID]],Orders[],MATCH(OrderLines[[#Headers],[Shift]],Orders[#Headers],0),FALSE),"CHECK")</f>
        <v>Breakfast</v>
      </c>
      <c r="K887" s="11">
        <f>OrderLines[[#This Row],[Qty]] * OrderLines[[#This Row],[UnitPrice]] * (1-OrderLines[[#This Row],[DiscountPct]])</f>
        <v>423.3546</v>
      </c>
      <c r="L887">
        <f>OrderLines[[#This Row],[Qty]]*OrderLines[[#This Row],[UnitCost]]</f>
        <v>192.44</v>
      </c>
    </row>
    <row r="888" spans="1:12" x14ac:dyDescent="0.25">
      <c r="A888" t="s">
        <v>383</v>
      </c>
      <c r="B888" t="s">
        <v>410</v>
      </c>
      <c r="C888">
        <v>1</v>
      </c>
      <c r="D888" s="9">
        <f>IFERROR(VLOOKUP($B888,Menu[],MATCH(D$1,Menu[#Headers],0),FALSE),"CHECK")</f>
        <v>20.11</v>
      </c>
      <c r="E888" s="9">
        <f>IFERROR(VLOOKUP($B888,Menu[],MATCH(E$1,Menu[#Headers],0),FALSE),"CHECK")</f>
        <v>8</v>
      </c>
      <c r="F888" t="str">
        <f>IFERROR(VLOOKUP($B888,Menu[],MATCH(F$1,Menu[#Headers],0),FALSE),"CHECK")</f>
        <v>Beverage</v>
      </c>
      <c r="G888" s="7">
        <f>IFERROR(INT(VLOOKUP($A888,Orders[],MATCH("OrderDateTime",Orders[#Headers],0),FALSE)),"CHECK")</f>
        <v>45852</v>
      </c>
      <c r="H888" s="7" t="str">
        <f>IFERROR(VLOOKUP($A888,Orders[],MATCH(H$1,Orders[#Headers],0),FALSE),"CHECK")</f>
        <v>Plant 1 Canteen</v>
      </c>
      <c r="I888">
        <f>IFERROR(VLOOKUP(OrderLines[[#This Row],[OrderID]],Orders[],MATCH(OrderLines[[#Headers],[DiscountPct]],Orders[#Headers],0),FALSE),"CHECK")</f>
        <v>0.14000000000000001</v>
      </c>
      <c r="J888" t="str">
        <f>IFERROR(VLOOKUP(OrderLines[[#This Row],[OrderID]],Orders[],MATCH(OrderLines[[#Headers],[Shift]],Orders[#Headers],0),FALSE),"CHECK")</f>
        <v>Breakfast</v>
      </c>
      <c r="K888" s="11">
        <f>OrderLines[[#This Row],[Qty]] * OrderLines[[#This Row],[UnitPrice]] * (1-OrderLines[[#This Row],[DiscountPct]])</f>
        <v>17.294599999999999</v>
      </c>
      <c r="L888">
        <f>OrderLines[[#This Row],[Qty]]*OrderLines[[#This Row],[UnitCost]]</f>
        <v>8</v>
      </c>
    </row>
    <row r="889" spans="1:12" x14ac:dyDescent="0.25">
      <c r="A889" t="s">
        <v>383</v>
      </c>
      <c r="B889" t="s">
        <v>409</v>
      </c>
      <c r="C889">
        <v>2</v>
      </c>
      <c r="D889" s="9">
        <f>IFERROR(VLOOKUP($B889,Menu[],MATCH(D$1,Menu[#Headers],0),FALSE),"CHECK")</f>
        <v>28.43</v>
      </c>
      <c r="E889" s="9">
        <f>IFERROR(VLOOKUP($B889,Menu[],MATCH(E$1,Menu[#Headers],0),FALSE),"CHECK")</f>
        <v>13.89</v>
      </c>
      <c r="F889" t="str">
        <f>IFERROR(VLOOKUP($B889,Menu[],MATCH(F$1,Menu[#Headers],0),FALSE),"CHECK")</f>
        <v>Beverage</v>
      </c>
      <c r="G889" s="7">
        <f>IFERROR(INT(VLOOKUP($A889,Orders[],MATCH("OrderDateTime",Orders[#Headers],0),FALSE)),"CHECK")</f>
        <v>45852</v>
      </c>
      <c r="H889" s="7" t="str">
        <f>IFERROR(VLOOKUP($A889,Orders[],MATCH(H$1,Orders[#Headers],0),FALSE),"CHECK")</f>
        <v>Plant 1 Canteen</v>
      </c>
      <c r="I889">
        <f>IFERROR(VLOOKUP(OrderLines[[#This Row],[OrderID]],Orders[],MATCH(OrderLines[[#Headers],[DiscountPct]],Orders[#Headers],0),FALSE),"CHECK")</f>
        <v>0.14000000000000001</v>
      </c>
      <c r="J889" t="str">
        <f>IFERROR(VLOOKUP(OrderLines[[#This Row],[OrderID]],Orders[],MATCH(OrderLines[[#Headers],[Shift]],Orders[#Headers],0),FALSE),"CHECK")</f>
        <v>Breakfast</v>
      </c>
      <c r="K889" s="11">
        <f>OrderLines[[#This Row],[Qty]] * OrderLines[[#This Row],[UnitPrice]] * (1-OrderLines[[#This Row],[DiscountPct]])</f>
        <v>48.8996</v>
      </c>
      <c r="L889">
        <f>OrderLines[[#This Row],[Qty]]*OrderLines[[#This Row],[UnitCost]]</f>
        <v>27.78</v>
      </c>
    </row>
    <row r="890" spans="1:12" x14ac:dyDescent="0.25">
      <c r="A890" t="s">
        <v>384</v>
      </c>
      <c r="B890" t="s">
        <v>417</v>
      </c>
      <c r="C890">
        <v>2</v>
      </c>
      <c r="D890" s="9">
        <f>IFERROR(VLOOKUP($B890,Menu[],MATCH(D$1,Menu[#Headers],0),FALSE),"CHECK")</f>
        <v>146.4</v>
      </c>
      <c r="E890" s="9">
        <f>IFERROR(VLOOKUP($B890,Menu[],MATCH(E$1,Menu[#Headers],0),FALSE),"CHECK")</f>
        <v>80.92</v>
      </c>
      <c r="F890" t="str">
        <f>IFERROR(VLOOKUP($B890,Menu[],MATCH(F$1,Menu[#Headers],0),FALSE),"CHECK")</f>
        <v>Hot Meal</v>
      </c>
      <c r="G890" s="7">
        <f>IFERROR(INT(VLOOKUP($A890,Orders[],MATCH("OrderDateTime",Orders[#Headers],0),FALSE)),"CHECK")</f>
        <v>45867</v>
      </c>
      <c r="H890" s="7" t="str">
        <f>IFERROR(VLOOKUP($A890,Orders[],MATCH(H$1,Orders[#Headers],0),FALSE),"CHECK")</f>
        <v>Plant 1 Canteen</v>
      </c>
      <c r="I890">
        <f>IFERROR(VLOOKUP(OrderLines[[#This Row],[OrderID]],Orders[],MATCH(OrderLines[[#Headers],[DiscountPct]],Orders[#Headers],0),FALSE),"CHECK")</f>
        <v>0.1</v>
      </c>
      <c r="J890" t="str">
        <f>IFERROR(VLOOKUP(OrderLines[[#This Row],[OrderID]],Orders[],MATCH(OrderLines[[#Headers],[Shift]],Orders[#Headers],0),FALSE),"CHECK")</f>
        <v>Dinner</v>
      </c>
      <c r="K890" s="11">
        <f>OrderLines[[#This Row],[Qty]] * OrderLines[[#This Row],[UnitPrice]] * (1-OrderLines[[#This Row],[DiscountPct]])</f>
        <v>263.52000000000004</v>
      </c>
      <c r="L890">
        <f>OrderLines[[#This Row],[Qty]]*OrderLines[[#This Row],[UnitCost]]</f>
        <v>161.84</v>
      </c>
    </row>
    <row r="891" spans="1:12" x14ac:dyDescent="0.25">
      <c r="A891" t="s">
        <v>384</v>
      </c>
      <c r="B891" t="s">
        <v>415</v>
      </c>
      <c r="C891">
        <v>1</v>
      </c>
      <c r="D891" s="9">
        <f>IFERROR(VLOOKUP($B891,Menu[],MATCH(D$1,Menu[#Headers],0),FALSE),"CHECK")</f>
        <v>256.91000000000003</v>
      </c>
      <c r="E891" s="9">
        <f>IFERROR(VLOOKUP($B891,Menu[],MATCH(E$1,Menu[#Headers],0),FALSE),"CHECK")</f>
        <v>121.24</v>
      </c>
      <c r="F891" t="str">
        <f>IFERROR(VLOOKUP($B891,Menu[],MATCH(F$1,Menu[#Headers],0),FALSE),"CHECK")</f>
        <v>Hot Meal</v>
      </c>
      <c r="G891" s="7">
        <f>IFERROR(INT(VLOOKUP($A891,Orders[],MATCH("OrderDateTime",Orders[#Headers],0),FALSE)),"CHECK")</f>
        <v>45867</v>
      </c>
      <c r="H891" s="7" t="str">
        <f>IFERROR(VLOOKUP($A891,Orders[],MATCH(H$1,Orders[#Headers],0),FALSE),"CHECK")</f>
        <v>Plant 1 Canteen</v>
      </c>
      <c r="I891">
        <f>IFERROR(VLOOKUP(OrderLines[[#This Row],[OrderID]],Orders[],MATCH(OrderLines[[#Headers],[DiscountPct]],Orders[#Headers],0),FALSE),"CHECK")</f>
        <v>0.1</v>
      </c>
      <c r="J891" t="str">
        <f>IFERROR(VLOOKUP(OrderLines[[#This Row],[OrderID]],Orders[],MATCH(OrderLines[[#Headers],[Shift]],Orders[#Headers],0),FALSE),"CHECK")</f>
        <v>Dinner</v>
      </c>
      <c r="K891" s="11">
        <f>OrderLines[[#This Row],[Qty]] * OrderLines[[#This Row],[UnitPrice]] * (1-OrderLines[[#This Row],[DiscountPct]])</f>
        <v>231.21900000000002</v>
      </c>
      <c r="L891">
        <f>OrderLines[[#This Row],[Qty]]*OrderLines[[#This Row],[UnitCost]]</f>
        <v>121.24</v>
      </c>
    </row>
    <row r="892" spans="1:12" x14ac:dyDescent="0.25">
      <c r="A892" t="s">
        <v>385</v>
      </c>
      <c r="B892" t="s">
        <v>405</v>
      </c>
      <c r="C892">
        <v>2</v>
      </c>
      <c r="D892" s="9">
        <f>IFERROR(VLOOKUP($B892,Menu[],MATCH(D$1,Menu[#Headers],0),FALSE),"CHECK")</f>
        <v>170.83</v>
      </c>
      <c r="E892" s="9">
        <f>IFERROR(VLOOKUP($B892,Menu[],MATCH(E$1,Menu[#Headers],0),FALSE),"CHECK")</f>
        <v>74.069999999999993</v>
      </c>
      <c r="F892" t="str">
        <f>IFERROR(VLOOKUP($B892,Menu[],MATCH(F$1,Menu[#Headers],0),FALSE),"CHECK")</f>
        <v>Hot Meal</v>
      </c>
      <c r="G892" s="7">
        <f>IFERROR(INT(VLOOKUP($A892,Orders[],MATCH("OrderDateTime",Orders[#Headers],0),FALSE)),"CHECK")</f>
        <v>45869</v>
      </c>
      <c r="H892" s="7" t="str">
        <f>IFERROR(VLOOKUP($A892,Orders[],MATCH(H$1,Orders[#Headers],0),FALSE),"CHECK")</f>
        <v>Plant 2 Canteen</v>
      </c>
      <c r="I892">
        <f>IFERROR(VLOOKUP(OrderLines[[#This Row],[OrderID]],Orders[],MATCH(OrderLines[[#Headers],[DiscountPct]],Orders[#Headers],0),FALSE),"CHECK")</f>
        <v>0.04</v>
      </c>
      <c r="J892" t="str">
        <f>IFERROR(VLOOKUP(OrderLines[[#This Row],[OrderID]],Orders[],MATCH(OrderLines[[#Headers],[Shift]],Orders[#Headers],0),FALSE),"CHECK")</f>
        <v>Dinner</v>
      </c>
      <c r="K892" s="11">
        <f>OrderLines[[#This Row],[Qty]] * OrderLines[[#This Row],[UnitPrice]] * (1-OrderLines[[#This Row],[DiscountPct]])</f>
        <v>327.99360000000001</v>
      </c>
      <c r="L892">
        <f>OrderLines[[#This Row],[Qty]]*OrderLines[[#This Row],[UnitCost]]</f>
        <v>148.13999999999999</v>
      </c>
    </row>
    <row r="893" spans="1:12" x14ac:dyDescent="0.25">
      <c r="A893" t="s">
        <v>385</v>
      </c>
      <c r="B893" t="s">
        <v>415</v>
      </c>
      <c r="C893">
        <v>3</v>
      </c>
      <c r="D893" s="9">
        <f>IFERROR(VLOOKUP($B893,Menu[],MATCH(D$1,Menu[#Headers],0),FALSE),"CHECK")</f>
        <v>256.91000000000003</v>
      </c>
      <c r="E893" s="9">
        <f>IFERROR(VLOOKUP($B893,Menu[],MATCH(E$1,Menu[#Headers],0),FALSE),"CHECK")</f>
        <v>121.24</v>
      </c>
      <c r="F893" t="str">
        <f>IFERROR(VLOOKUP($B893,Menu[],MATCH(F$1,Menu[#Headers],0),FALSE),"CHECK")</f>
        <v>Hot Meal</v>
      </c>
      <c r="G893" s="7">
        <f>IFERROR(INT(VLOOKUP($A893,Orders[],MATCH("OrderDateTime",Orders[#Headers],0),FALSE)),"CHECK")</f>
        <v>45869</v>
      </c>
      <c r="H893" s="7" t="str">
        <f>IFERROR(VLOOKUP($A893,Orders[],MATCH(H$1,Orders[#Headers],0),FALSE),"CHECK")</f>
        <v>Plant 2 Canteen</v>
      </c>
      <c r="I893">
        <f>IFERROR(VLOOKUP(OrderLines[[#This Row],[OrderID]],Orders[],MATCH(OrderLines[[#Headers],[DiscountPct]],Orders[#Headers],0),FALSE),"CHECK")</f>
        <v>0.04</v>
      </c>
      <c r="J893" t="str">
        <f>IFERROR(VLOOKUP(OrderLines[[#This Row],[OrderID]],Orders[],MATCH(OrderLines[[#Headers],[Shift]],Orders[#Headers],0),FALSE),"CHECK")</f>
        <v>Dinner</v>
      </c>
      <c r="K893" s="11">
        <f>OrderLines[[#This Row],[Qty]] * OrderLines[[#This Row],[UnitPrice]] * (1-OrderLines[[#This Row],[DiscountPct]])</f>
        <v>739.9008</v>
      </c>
      <c r="L893">
        <f>OrderLines[[#This Row],[Qty]]*OrderLines[[#This Row],[UnitCost]]</f>
        <v>363.71999999999997</v>
      </c>
    </row>
    <row r="894" spans="1:12" x14ac:dyDescent="0.25">
      <c r="A894" t="s">
        <v>385</v>
      </c>
      <c r="B894" t="s">
        <v>408</v>
      </c>
      <c r="C894">
        <v>1</v>
      </c>
      <c r="D894" s="9">
        <f>IFERROR(VLOOKUP($B894,Menu[],MATCH(D$1,Menu[#Headers],0),FALSE),"CHECK")</f>
        <v>70.540000000000006</v>
      </c>
      <c r="E894" s="9">
        <f>IFERROR(VLOOKUP($B894,Menu[],MATCH(E$1,Menu[#Headers],0),FALSE),"CHECK")</f>
        <v>35.81</v>
      </c>
      <c r="F894" t="str">
        <f>IFERROR(VLOOKUP($B894,Menu[],MATCH(F$1,Menu[#Headers],0),FALSE),"CHECK")</f>
        <v>Snack</v>
      </c>
      <c r="G894" s="7">
        <f>IFERROR(INT(VLOOKUP($A894,Orders[],MATCH("OrderDateTime",Orders[#Headers],0),FALSE)),"CHECK")</f>
        <v>45869</v>
      </c>
      <c r="H894" s="7" t="str">
        <f>IFERROR(VLOOKUP($A894,Orders[],MATCH(H$1,Orders[#Headers],0),FALSE),"CHECK")</f>
        <v>Plant 2 Canteen</v>
      </c>
      <c r="I894">
        <f>IFERROR(VLOOKUP(OrderLines[[#This Row],[OrderID]],Orders[],MATCH(OrderLines[[#Headers],[DiscountPct]],Orders[#Headers],0),FALSE),"CHECK")</f>
        <v>0.04</v>
      </c>
      <c r="J894" t="str">
        <f>IFERROR(VLOOKUP(OrderLines[[#This Row],[OrderID]],Orders[],MATCH(OrderLines[[#Headers],[Shift]],Orders[#Headers],0),FALSE),"CHECK")</f>
        <v>Dinner</v>
      </c>
      <c r="K894" s="11">
        <f>OrderLines[[#This Row],[Qty]] * OrderLines[[#This Row],[UnitPrice]] * (1-OrderLines[[#This Row],[DiscountPct]])</f>
        <v>67.718400000000003</v>
      </c>
      <c r="L894">
        <f>OrderLines[[#This Row],[Qty]]*OrderLines[[#This Row],[UnitCost]]</f>
        <v>35.81</v>
      </c>
    </row>
    <row r="895" spans="1:12" x14ac:dyDescent="0.25">
      <c r="A895" t="s">
        <v>385</v>
      </c>
      <c r="B895" t="s">
        <v>412</v>
      </c>
      <c r="C895">
        <v>2</v>
      </c>
      <c r="D895" s="9">
        <f>IFERROR(VLOOKUP($B895,Menu[],MATCH(D$1,Menu[#Headers],0),FALSE),"CHECK")</f>
        <v>57.07</v>
      </c>
      <c r="E895" s="9">
        <f>IFERROR(VLOOKUP($B895,Menu[],MATCH(E$1,Menu[#Headers],0),FALSE),"CHECK")</f>
        <v>29.14</v>
      </c>
      <c r="F895" t="str">
        <f>IFERROR(VLOOKUP($B895,Menu[],MATCH(F$1,Menu[#Headers],0),FALSE),"CHECK")</f>
        <v>Dessert</v>
      </c>
      <c r="G895" s="7">
        <f>IFERROR(INT(VLOOKUP($A895,Orders[],MATCH("OrderDateTime",Orders[#Headers],0),FALSE)),"CHECK")</f>
        <v>45869</v>
      </c>
      <c r="H895" s="7" t="str">
        <f>IFERROR(VLOOKUP($A895,Orders[],MATCH(H$1,Orders[#Headers],0),FALSE),"CHECK")</f>
        <v>Plant 2 Canteen</v>
      </c>
      <c r="I895">
        <f>IFERROR(VLOOKUP(OrderLines[[#This Row],[OrderID]],Orders[],MATCH(OrderLines[[#Headers],[DiscountPct]],Orders[#Headers],0),FALSE),"CHECK")</f>
        <v>0.04</v>
      </c>
      <c r="J895" t="str">
        <f>IFERROR(VLOOKUP(OrderLines[[#This Row],[OrderID]],Orders[],MATCH(OrderLines[[#Headers],[Shift]],Orders[#Headers],0),FALSE),"CHECK")</f>
        <v>Dinner</v>
      </c>
      <c r="K895" s="11">
        <f>OrderLines[[#This Row],[Qty]] * OrderLines[[#This Row],[UnitPrice]] * (1-OrderLines[[#This Row],[DiscountPct]])</f>
        <v>109.5744</v>
      </c>
      <c r="L895">
        <f>OrderLines[[#This Row],[Qty]]*OrderLines[[#This Row],[UnitCost]]</f>
        <v>58.28</v>
      </c>
    </row>
    <row r="896" spans="1:12" x14ac:dyDescent="0.25">
      <c r="A896" t="s">
        <v>386</v>
      </c>
      <c r="B896" t="s">
        <v>414</v>
      </c>
      <c r="C896">
        <v>1</v>
      </c>
      <c r="D896" s="9">
        <f>IFERROR(VLOOKUP($B896,Menu[],MATCH(D$1,Menu[#Headers],0),FALSE),"CHECK")</f>
        <v>116.8</v>
      </c>
      <c r="E896" s="9">
        <f>IFERROR(VLOOKUP($B896,Menu[],MATCH(E$1,Menu[#Headers],0),FALSE),"CHECK")</f>
        <v>48.97</v>
      </c>
      <c r="F896" t="str">
        <f>IFERROR(VLOOKUP($B896,Menu[],MATCH(F$1,Menu[#Headers],0),FALSE),"CHECK")</f>
        <v>Dessert</v>
      </c>
      <c r="G896" s="7">
        <f>IFERROR(INT(VLOOKUP($A896,Orders[],MATCH("OrderDateTime",Orders[#Headers],0),FALSE)),"CHECK")</f>
        <v>45885</v>
      </c>
      <c r="H896" s="7" t="str">
        <f>IFERROR(VLOOKUP($A896,Orders[],MATCH(H$1,Orders[#Headers],0),FALSE),"CHECK")</f>
        <v>Plant 2 Canteen</v>
      </c>
      <c r="I896">
        <f>IFERROR(VLOOKUP(OrderLines[[#This Row],[OrderID]],Orders[],MATCH(OrderLines[[#Headers],[DiscountPct]],Orders[#Headers],0),FALSE),"CHECK")</f>
        <v>0.02</v>
      </c>
      <c r="J896" t="str">
        <f>IFERROR(VLOOKUP(OrderLines[[#This Row],[OrderID]],Orders[],MATCH(OrderLines[[#Headers],[Shift]],Orders[#Headers],0),FALSE),"CHECK")</f>
        <v>Breakfast</v>
      </c>
      <c r="K896" s="11">
        <f>OrderLines[[#This Row],[Qty]] * OrderLines[[#This Row],[UnitPrice]] * (1-OrderLines[[#This Row],[DiscountPct]])</f>
        <v>114.464</v>
      </c>
      <c r="L896">
        <f>OrderLines[[#This Row],[Qty]]*OrderLines[[#This Row],[UnitCost]]</f>
        <v>48.97</v>
      </c>
    </row>
    <row r="897" spans="1:12" x14ac:dyDescent="0.25">
      <c r="A897" t="s">
        <v>386</v>
      </c>
      <c r="B897" t="s">
        <v>407</v>
      </c>
      <c r="C897">
        <v>1</v>
      </c>
      <c r="D897" s="9">
        <f>IFERROR(VLOOKUP($B897,Menu[],MATCH(D$1,Menu[#Headers],0),FALSE),"CHECK")</f>
        <v>246.09</v>
      </c>
      <c r="E897" s="9">
        <f>IFERROR(VLOOKUP($B897,Menu[],MATCH(E$1,Menu[#Headers],0),FALSE),"CHECK")</f>
        <v>112.08</v>
      </c>
      <c r="F897" t="str">
        <f>IFERROR(VLOOKUP($B897,Menu[],MATCH(F$1,Menu[#Headers],0),FALSE),"CHECK")</f>
        <v>Hot Meal</v>
      </c>
      <c r="G897" s="7">
        <f>IFERROR(INT(VLOOKUP($A897,Orders[],MATCH("OrderDateTime",Orders[#Headers],0),FALSE)),"CHECK")</f>
        <v>45885</v>
      </c>
      <c r="H897" s="7" t="str">
        <f>IFERROR(VLOOKUP($A897,Orders[],MATCH(H$1,Orders[#Headers],0),FALSE),"CHECK")</f>
        <v>Plant 2 Canteen</v>
      </c>
      <c r="I897">
        <f>IFERROR(VLOOKUP(OrderLines[[#This Row],[OrderID]],Orders[],MATCH(OrderLines[[#Headers],[DiscountPct]],Orders[#Headers],0),FALSE),"CHECK")</f>
        <v>0.02</v>
      </c>
      <c r="J897" t="str">
        <f>IFERROR(VLOOKUP(OrderLines[[#This Row],[OrderID]],Orders[],MATCH(OrderLines[[#Headers],[Shift]],Orders[#Headers],0),FALSE),"CHECK")</f>
        <v>Breakfast</v>
      </c>
      <c r="K897" s="11">
        <f>OrderLines[[#This Row],[Qty]] * OrderLines[[#This Row],[UnitPrice]] * (1-OrderLines[[#This Row],[DiscountPct]])</f>
        <v>241.16820000000001</v>
      </c>
      <c r="L897">
        <f>OrderLines[[#This Row],[Qty]]*OrderLines[[#This Row],[UnitCost]]</f>
        <v>112.08</v>
      </c>
    </row>
    <row r="898" spans="1:12" x14ac:dyDescent="0.25">
      <c r="A898" t="s">
        <v>386</v>
      </c>
      <c r="B898" t="s">
        <v>403</v>
      </c>
      <c r="C898">
        <v>3</v>
      </c>
      <c r="D898" s="9">
        <f>IFERROR(VLOOKUP($B898,Menu[],MATCH(D$1,Menu[#Headers],0),FALSE),"CHECK")</f>
        <v>76.55</v>
      </c>
      <c r="E898" s="9">
        <f>IFERROR(VLOOKUP($B898,Menu[],MATCH(E$1,Menu[#Headers],0),FALSE),"CHECK")</f>
        <v>38.229999999999997</v>
      </c>
      <c r="F898" t="str">
        <f>IFERROR(VLOOKUP($B898,Menu[],MATCH(F$1,Menu[#Headers],0),FALSE),"CHECK")</f>
        <v>Dessert</v>
      </c>
      <c r="G898" s="7">
        <f>IFERROR(INT(VLOOKUP($A898,Orders[],MATCH("OrderDateTime",Orders[#Headers],0),FALSE)),"CHECK")</f>
        <v>45885</v>
      </c>
      <c r="H898" s="7" t="str">
        <f>IFERROR(VLOOKUP($A898,Orders[],MATCH(H$1,Orders[#Headers],0),FALSE),"CHECK")</f>
        <v>Plant 2 Canteen</v>
      </c>
      <c r="I898">
        <f>IFERROR(VLOOKUP(OrderLines[[#This Row],[OrderID]],Orders[],MATCH(OrderLines[[#Headers],[DiscountPct]],Orders[#Headers],0),FALSE),"CHECK")</f>
        <v>0.02</v>
      </c>
      <c r="J898" t="str">
        <f>IFERROR(VLOOKUP(OrderLines[[#This Row],[OrderID]],Orders[],MATCH(OrderLines[[#Headers],[Shift]],Orders[#Headers],0),FALSE),"CHECK")</f>
        <v>Breakfast</v>
      </c>
      <c r="K898" s="11">
        <f>OrderLines[[#This Row],[Qty]] * OrderLines[[#This Row],[UnitPrice]] * (1-OrderLines[[#This Row],[DiscountPct]])</f>
        <v>225.05699999999996</v>
      </c>
      <c r="L898">
        <f>OrderLines[[#This Row],[Qty]]*OrderLines[[#This Row],[UnitCost]]</f>
        <v>114.69</v>
      </c>
    </row>
    <row r="899" spans="1:12" x14ac:dyDescent="0.25">
      <c r="A899" t="s">
        <v>386</v>
      </c>
      <c r="B899" t="s">
        <v>405</v>
      </c>
      <c r="C899">
        <v>2</v>
      </c>
      <c r="D899" s="9">
        <f>IFERROR(VLOOKUP($B899,Menu[],MATCH(D$1,Menu[#Headers],0),FALSE),"CHECK")</f>
        <v>170.83</v>
      </c>
      <c r="E899" s="9">
        <f>IFERROR(VLOOKUP($B899,Menu[],MATCH(E$1,Menu[#Headers],0),FALSE),"CHECK")</f>
        <v>74.069999999999993</v>
      </c>
      <c r="F899" t="str">
        <f>IFERROR(VLOOKUP($B899,Menu[],MATCH(F$1,Menu[#Headers],0),FALSE),"CHECK")</f>
        <v>Hot Meal</v>
      </c>
      <c r="G899" s="7">
        <f>IFERROR(INT(VLOOKUP($A899,Orders[],MATCH("OrderDateTime",Orders[#Headers],0),FALSE)),"CHECK")</f>
        <v>45885</v>
      </c>
      <c r="H899" s="7" t="str">
        <f>IFERROR(VLOOKUP($A899,Orders[],MATCH(H$1,Orders[#Headers],0),FALSE),"CHECK")</f>
        <v>Plant 2 Canteen</v>
      </c>
      <c r="I899">
        <f>IFERROR(VLOOKUP(OrderLines[[#This Row],[OrderID]],Orders[],MATCH(OrderLines[[#Headers],[DiscountPct]],Orders[#Headers],0),FALSE),"CHECK")</f>
        <v>0.02</v>
      </c>
      <c r="J899" t="str">
        <f>IFERROR(VLOOKUP(OrderLines[[#This Row],[OrderID]],Orders[],MATCH(OrderLines[[#Headers],[Shift]],Orders[#Headers],0),FALSE),"CHECK")</f>
        <v>Breakfast</v>
      </c>
      <c r="K899" s="11">
        <f>OrderLines[[#This Row],[Qty]] * OrderLines[[#This Row],[UnitPrice]] * (1-OrderLines[[#This Row],[DiscountPct]])</f>
        <v>334.82679999999999</v>
      </c>
      <c r="L899">
        <f>OrderLines[[#This Row],[Qty]]*OrderLines[[#This Row],[UnitCost]]</f>
        <v>148.13999999999999</v>
      </c>
    </row>
    <row r="900" spans="1:12" x14ac:dyDescent="0.25">
      <c r="A900" t="s">
        <v>387</v>
      </c>
      <c r="B900" t="s">
        <v>404</v>
      </c>
      <c r="C900">
        <v>2</v>
      </c>
      <c r="D900" s="9">
        <f>IFERROR(VLOOKUP($B900,Menu[],MATCH(D$1,Menu[#Headers],0),FALSE),"CHECK")</f>
        <v>32.979999999999997</v>
      </c>
      <c r="E900" s="9">
        <f>IFERROR(VLOOKUP($B900,Menu[],MATCH(E$1,Menu[#Headers],0),FALSE),"CHECK")</f>
        <v>11.84</v>
      </c>
      <c r="F900" t="str">
        <f>IFERROR(VLOOKUP($B900,Menu[],MATCH(F$1,Menu[#Headers],0),FALSE),"CHECK")</f>
        <v>Beverage</v>
      </c>
      <c r="G900" s="7">
        <f>IFERROR(INT(VLOOKUP($A900,Orders[],MATCH("OrderDateTime",Orders[#Headers],0),FALSE)),"CHECK")</f>
        <v>45867</v>
      </c>
      <c r="H900" s="7" t="str">
        <f>IFERROR(VLOOKUP($A900,Orders[],MATCH(H$1,Orders[#Headers],0),FALSE),"CHECK")</f>
        <v>Plant 2 Canteen</v>
      </c>
      <c r="I900">
        <f>IFERROR(VLOOKUP(OrderLines[[#This Row],[OrderID]],Orders[],MATCH(OrderLines[[#Headers],[DiscountPct]],Orders[#Headers],0),FALSE),"CHECK")</f>
        <v>0.08</v>
      </c>
      <c r="J900" t="str">
        <f>IFERROR(VLOOKUP(OrderLines[[#This Row],[OrderID]],Orders[],MATCH(OrderLines[[#Headers],[Shift]],Orders[#Headers],0),FALSE),"CHECK")</f>
        <v>Breakfast</v>
      </c>
      <c r="K900" s="11">
        <f>OrderLines[[#This Row],[Qty]] * OrderLines[[#This Row],[UnitPrice]] * (1-OrderLines[[#This Row],[DiscountPct]])</f>
        <v>60.683199999999999</v>
      </c>
      <c r="L900">
        <f>OrderLines[[#This Row],[Qty]]*OrderLines[[#This Row],[UnitCost]]</f>
        <v>23.68</v>
      </c>
    </row>
    <row r="901" spans="1:12" x14ac:dyDescent="0.25">
      <c r="A901" t="s">
        <v>387</v>
      </c>
      <c r="B901" t="s">
        <v>417</v>
      </c>
      <c r="C901">
        <v>2</v>
      </c>
      <c r="D901" s="9">
        <f>IFERROR(VLOOKUP($B901,Menu[],MATCH(D$1,Menu[#Headers],0),FALSE),"CHECK")</f>
        <v>146.4</v>
      </c>
      <c r="E901" s="9">
        <f>IFERROR(VLOOKUP($B901,Menu[],MATCH(E$1,Menu[#Headers],0),FALSE),"CHECK")</f>
        <v>80.92</v>
      </c>
      <c r="F901" t="str">
        <f>IFERROR(VLOOKUP($B901,Menu[],MATCH(F$1,Menu[#Headers],0),FALSE),"CHECK")</f>
        <v>Hot Meal</v>
      </c>
      <c r="G901" s="7">
        <f>IFERROR(INT(VLOOKUP($A901,Orders[],MATCH("OrderDateTime",Orders[#Headers],0),FALSE)),"CHECK")</f>
        <v>45867</v>
      </c>
      <c r="H901" s="7" t="str">
        <f>IFERROR(VLOOKUP($A901,Orders[],MATCH(H$1,Orders[#Headers],0),FALSE),"CHECK")</f>
        <v>Plant 2 Canteen</v>
      </c>
      <c r="I901">
        <f>IFERROR(VLOOKUP(OrderLines[[#This Row],[OrderID]],Orders[],MATCH(OrderLines[[#Headers],[DiscountPct]],Orders[#Headers],0),FALSE),"CHECK")</f>
        <v>0.08</v>
      </c>
      <c r="J901" t="str">
        <f>IFERROR(VLOOKUP(OrderLines[[#This Row],[OrderID]],Orders[],MATCH(OrderLines[[#Headers],[Shift]],Orders[#Headers],0),FALSE),"CHECK")</f>
        <v>Breakfast</v>
      </c>
      <c r="K901" s="11">
        <f>OrderLines[[#This Row],[Qty]] * OrderLines[[#This Row],[UnitPrice]] * (1-OrderLines[[#This Row],[DiscountPct]])</f>
        <v>269.37600000000003</v>
      </c>
      <c r="L901">
        <f>OrderLines[[#This Row],[Qty]]*OrderLines[[#This Row],[UnitCost]]</f>
        <v>161.84</v>
      </c>
    </row>
    <row r="902" spans="1:12" x14ac:dyDescent="0.25">
      <c r="A902" t="s">
        <v>387</v>
      </c>
      <c r="B902" t="s">
        <v>409</v>
      </c>
      <c r="C902">
        <v>1</v>
      </c>
      <c r="D902" s="9">
        <f>IFERROR(VLOOKUP($B902,Menu[],MATCH(D$1,Menu[#Headers],0),FALSE),"CHECK")</f>
        <v>28.43</v>
      </c>
      <c r="E902" s="9">
        <f>IFERROR(VLOOKUP($B902,Menu[],MATCH(E$1,Menu[#Headers],0),FALSE),"CHECK")</f>
        <v>13.89</v>
      </c>
      <c r="F902" t="str">
        <f>IFERROR(VLOOKUP($B902,Menu[],MATCH(F$1,Menu[#Headers],0),FALSE),"CHECK")</f>
        <v>Beverage</v>
      </c>
      <c r="G902" s="7">
        <f>IFERROR(INT(VLOOKUP($A902,Orders[],MATCH("OrderDateTime",Orders[#Headers],0),FALSE)),"CHECK")</f>
        <v>45867</v>
      </c>
      <c r="H902" s="7" t="str">
        <f>IFERROR(VLOOKUP($A902,Orders[],MATCH(H$1,Orders[#Headers],0),FALSE),"CHECK")</f>
        <v>Plant 2 Canteen</v>
      </c>
      <c r="I902">
        <f>IFERROR(VLOOKUP(OrderLines[[#This Row],[OrderID]],Orders[],MATCH(OrderLines[[#Headers],[DiscountPct]],Orders[#Headers],0),FALSE),"CHECK")</f>
        <v>0.08</v>
      </c>
      <c r="J902" t="str">
        <f>IFERROR(VLOOKUP(OrderLines[[#This Row],[OrderID]],Orders[],MATCH(OrderLines[[#Headers],[Shift]],Orders[#Headers],0),FALSE),"CHECK")</f>
        <v>Breakfast</v>
      </c>
      <c r="K902" s="11">
        <f>OrderLines[[#This Row],[Qty]] * OrderLines[[#This Row],[UnitPrice]] * (1-OrderLines[[#This Row],[DiscountPct]])</f>
        <v>26.1556</v>
      </c>
      <c r="L902">
        <f>OrderLines[[#This Row],[Qty]]*OrderLines[[#This Row],[UnitCost]]</f>
        <v>13.89</v>
      </c>
    </row>
    <row r="903" spans="1:12" x14ac:dyDescent="0.25">
      <c r="A903" t="s">
        <v>388</v>
      </c>
      <c r="B903" t="s">
        <v>402</v>
      </c>
      <c r="C903">
        <v>2</v>
      </c>
      <c r="D903" s="9">
        <f>IFERROR(VLOOKUP($B903,Menu[],MATCH(D$1,Menu[#Headers],0),FALSE),"CHECK")</f>
        <v>30.34</v>
      </c>
      <c r="E903" s="9">
        <f>IFERROR(VLOOKUP($B903,Menu[],MATCH(E$1,Menu[#Headers],0),FALSE),"CHECK")</f>
        <v>14.18</v>
      </c>
      <c r="F903" t="str">
        <f>IFERROR(VLOOKUP($B903,Menu[],MATCH(F$1,Menu[#Headers],0),FALSE),"CHECK")</f>
        <v>Beverage</v>
      </c>
      <c r="G903" s="7">
        <f>IFERROR(INT(VLOOKUP($A903,Orders[],MATCH("OrderDateTime",Orders[#Headers],0),FALSE)),"CHECK")</f>
        <v>45865</v>
      </c>
      <c r="H903" s="7" t="str">
        <f>IFERROR(VLOOKUP($A903,Orders[],MATCH(H$1,Orders[#Headers],0),FALSE),"CHECK")</f>
        <v>Plant 1 Canteen</v>
      </c>
      <c r="I903">
        <f>IFERROR(VLOOKUP(OrderLines[[#This Row],[OrderID]],Orders[],MATCH(OrderLines[[#Headers],[DiscountPct]],Orders[#Headers],0),FALSE),"CHECK")</f>
        <v>0.01</v>
      </c>
      <c r="J903" t="str">
        <f>IFERROR(VLOOKUP(OrderLines[[#This Row],[OrderID]],Orders[],MATCH(OrderLines[[#Headers],[Shift]],Orders[#Headers],0),FALSE),"CHECK")</f>
        <v>Dinner</v>
      </c>
      <c r="K903" s="11">
        <f>OrderLines[[#This Row],[Qty]] * OrderLines[[#This Row],[UnitPrice]] * (1-OrderLines[[#This Row],[DiscountPct]])</f>
        <v>60.0732</v>
      </c>
      <c r="L903">
        <f>OrderLines[[#This Row],[Qty]]*OrderLines[[#This Row],[UnitCost]]</f>
        <v>28.36</v>
      </c>
    </row>
    <row r="904" spans="1:12" x14ac:dyDescent="0.25">
      <c r="A904" t="s">
        <v>389</v>
      </c>
      <c r="B904" t="s">
        <v>410</v>
      </c>
      <c r="C904">
        <v>1</v>
      </c>
      <c r="D904" s="9">
        <f>IFERROR(VLOOKUP($B904,Menu[],MATCH(D$1,Menu[#Headers],0),FALSE),"CHECK")</f>
        <v>20.11</v>
      </c>
      <c r="E904" s="9">
        <f>IFERROR(VLOOKUP($B904,Menu[],MATCH(E$1,Menu[#Headers],0),FALSE),"CHECK")</f>
        <v>8</v>
      </c>
      <c r="F904" t="str">
        <f>IFERROR(VLOOKUP($B904,Menu[],MATCH(F$1,Menu[#Headers],0),FALSE),"CHECK")</f>
        <v>Beverage</v>
      </c>
      <c r="G904" s="7">
        <f>IFERROR(INT(VLOOKUP($A904,Orders[],MATCH("OrderDateTime",Orders[#Headers],0),FALSE)),"CHECK")</f>
        <v>45881</v>
      </c>
      <c r="H904" s="7" t="str">
        <f>IFERROR(VLOOKUP($A904,Orders[],MATCH(H$1,Orders[#Headers],0),FALSE),"CHECK")</f>
        <v>Plant 2 Canteen</v>
      </c>
      <c r="I904">
        <f>IFERROR(VLOOKUP(OrderLines[[#This Row],[OrderID]],Orders[],MATCH(OrderLines[[#Headers],[DiscountPct]],Orders[#Headers],0),FALSE),"CHECK")</f>
        <v>0.13</v>
      </c>
      <c r="J904" t="str">
        <f>IFERROR(VLOOKUP(OrderLines[[#This Row],[OrderID]],Orders[],MATCH(OrderLines[[#Headers],[Shift]],Orders[#Headers],0),FALSE),"CHECK")</f>
        <v>Dinner</v>
      </c>
      <c r="K904" s="11">
        <f>OrderLines[[#This Row],[Qty]] * OrderLines[[#This Row],[UnitPrice]] * (1-OrderLines[[#This Row],[DiscountPct]])</f>
        <v>17.495699999999999</v>
      </c>
      <c r="L904">
        <f>OrderLines[[#This Row],[Qty]]*OrderLines[[#This Row],[UnitCost]]</f>
        <v>8</v>
      </c>
    </row>
    <row r="905" spans="1:12" x14ac:dyDescent="0.25">
      <c r="A905" t="s">
        <v>389</v>
      </c>
      <c r="B905" t="s">
        <v>413</v>
      </c>
      <c r="C905">
        <v>2</v>
      </c>
      <c r="D905" s="9">
        <f>IFERROR(VLOOKUP($B905,Menu[],MATCH(D$1,Menu[#Headers],0),FALSE),"CHECK")</f>
        <v>54.2</v>
      </c>
      <c r="E905" s="9">
        <f>IFERROR(VLOOKUP($B905,Menu[],MATCH(E$1,Menu[#Headers],0),FALSE),"CHECK")</f>
        <v>21.95</v>
      </c>
      <c r="F905" t="str">
        <f>IFERROR(VLOOKUP($B905,Menu[],MATCH(F$1,Menu[#Headers],0),FALSE),"CHECK")</f>
        <v>Dessert</v>
      </c>
      <c r="G905" s="7">
        <f>IFERROR(INT(VLOOKUP($A905,Orders[],MATCH("OrderDateTime",Orders[#Headers],0),FALSE)),"CHECK")</f>
        <v>45881</v>
      </c>
      <c r="H905" s="7" t="str">
        <f>IFERROR(VLOOKUP($A905,Orders[],MATCH(H$1,Orders[#Headers],0),FALSE),"CHECK")</f>
        <v>Plant 2 Canteen</v>
      </c>
      <c r="I905">
        <f>IFERROR(VLOOKUP(OrderLines[[#This Row],[OrderID]],Orders[],MATCH(OrderLines[[#Headers],[DiscountPct]],Orders[#Headers],0),FALSE),"CHECK")</f>
        <v>0.13</v>
      </c>
      <c r="J905" t="str">
        <f>IFERROR(VLOOKUP(OrderLines[[#This Row],[OrderID]],Orders[],MATCH(OrderLines[[#Headers],[Shift]],Orders[#Headers],0),FALSE),"CHECK")</f>
        <v>Dinner</v>
      </c>
      <c r="K905" s="11">
        <f>OrderLines[[#This Row],[Qty]] * OrderLines[[#This Row],[UnitPrice]] * (1-OrderLines[[#This Row],[DiscountPct]])</f>
        <v>94.308000000000007</v>
      </c>
      <c r="L905">
        <f>OrderLines[[#This Row],[Qty]]*OrderLines[[#This Row],[UnitCost]]</f>
        <v>43.9</v>
      </c>
    </row>
    <row r="906" spans="1:12" x14ac:dyDescent="0.25">
      <c r="A906" t="s">
        <v>389</v>
      </c>
      <c r="B906" t="s">
        <v>402</v>
      </c>
      <c r="C906">
        <v>1</v>
      </c>
      <c r="D906" s="9">
        <f>IFERROR(VLOOKUP($B906,Menu[],MATCH(D$1,Menu[#Headers],0),FALSE),"CHECK")</f>
        <v>30.34</v>
      </c>
      <c r="E906" s="9">
        <f>IFERROR(VLOOKUP($B906,Menu[],MATCH(E$1,Menu[#Headers],0),FALSE),"CHECK")</f>
        <v>14.18</v>
      </c>
      <c r="F906" t="str">
        <f>IFERROR(VLOOKUP($B906,Menu[],MATCH(F$1,Menu[#Headers],0),FALSE),"CHECK")</f>
        <v>Beverage</v>
      </c>
      <c r="G906" s="7">
        <f>IFERROR(INT(VLOOKUP($A906,Orders[],MATCH("OrderDateTime",Orders[#Headers],0),FALSE)),"CHECK")</f>
        <v>45881</v>
      </c>
      <c r="H906" s="7" t="str">
        <f>IFERROR(VLOOKUP($A906,Orders[],MATCH(H$1,Orders[#Headers],0),FALSE),"CHECK")</f>
        <v>Plant 2 Canteen</v>
      </c>
      <c r="I906">
        <f>IFERROR(VLOOKUP(OrderLines[[#This Row],[OrderID]],Orders[],MATCH(OrderLines[[#Headers],[DiscountPct]],Orders[#Headers],0),FALSE),"CHECK")</f>
        <v>0.13</v>
      </c>
      <c r="J906" t="str">
        <f>IFERROR(VLOOKUP(OrderLines[[#This Row],[OrderID]],Orders[],MATCH(OrderLines[[#Headers],[Shift]],Orders[#Headers],0),FALSE),"CHECK")</f>
        <v>Dinner</v>
      </c>
      <c r="K906" s="11">
        <f>OrderLines[[#This Row],[Qty]] * OrderLines[[#This Row],[UnitPrice]] * (1-OrderLines[[#This Row],[DiscountPct]])</f>
        <v>26.395800000000001</v>
      </c>
      <c r="L906">
        <f>OrderLines[[#This Row],[Qty]]*OrderLines[[#This Row],[UnitCost]]</f>
        <v>14.18</v>
      </c>
    </row>
    <row r="907" spans="1:12" x14ac:dyDescent="0.25">
      <c r="A907" t="s">
        <v>389</v>
      </c>
      <c r="B907" t="s">
        <v>406</v>
      </c>
      <c r="C907">
        <v>2</v>
      </c>
      <c r="D907" s="9">
        <f>IFERROR(VLOOKUP($B907,Menu[],MATCH(D$1,Menu[#Headers],0),FALSE),"CHECK")</f>
        <v>38.06</v>
      </c>
      <c r="E907" s="9">
        <f>IFERROR(VLOOKUP($B907,Menu[],MATCH(E$1,Menu[#Headers],0),FALSE),"CHECK")</f>
        <v>19.55</v>
      </c>
      <c r="F907" t="str">
        <f>IFERROR(VLOOKUP($B907,Menu[],MATCH(F$1,Menu[#Headers],0),FALSE),"CHECK")</f>
        <v>Snack</v>
      </c>
      <c r="G907" s="7">
        <f>IFERROR(INT(VLOOKUP($A907,Orders[],MATCH("OrderDateTime",Orders[#Headers],0),FALSE)),"CHECK")</f>
        <v>45881</v>
      </c>
      <c r="H907" s="7" t="str">
        <f>IFERROR(VLOOKUP($A907,Orders[],MATCH(H$1,Orders[#Headers],0),FALSE),"CHECK")</f>
        <v>Plant 2 Canteen</v>
      </c>
      <c r="I907">
        <f>IFERROR(VLOOKUP(OrderLines[[#This Row],[OrderID]],Orders[],MATCH(OrderLines[[#Headers],[DiscountPct]],Orders[#Headers],0),FALSE),"CHECK")</f>
        <v>0.13</v>
      </c>
      <c r="J907" t="str">
        <f>IFERROR(VLOOKUP(OrderLines[[#This Row],[OrderID]],Orders[],MATCH(OrderLines[[#Headers],[Shift]],Orders[#Headers],0),FALSE),"CHECK")</f>
        <v>Dinner</v>
      </c>
      <c r="K907" s="11">
        <f>OrderLines[[#This Row],[Qty]] * OrderLines[[#This Row],[UnitPrice]] * (1-OrderLines[[#This Row],[DiscountPct]])</f>
        <v>66.224400000000003</v>
      </c>
      <c r="L907">
        <f>OrderLines[[#This Row],[Qty]]*OrderLines[[#This Row],[UnitCost]]</f>
        <v>39.1</v>
      </c>
    </row>
    <row r="908" spans="1:12" x14ac:dyDescent="0.25">
      <c r="A908" t="s">
        <v>390</v>
      </c>
      <c r="B908" t="s">
        <v>403</v>
      </c>
      <c r="C908">
        <v>3</v>
      </c>
      <c r="D908" s="9">
        <f>IFERROR(VLOOKUP($B908,Menu[],MATCH(D$1,Menu[#Headers],0),FALSE),"CHECK")</f>
        <v>76.55</v>
      </c>
      <c r="E908" s="9">
        <f>IFERROR(VLOOKUP($B908,Menu[],MATCH(E$1,Menu[#Headers],0),FALSE),"CHECK")</f>
        <v>38.229999999999997</v>
      </c>
      <c r="F908" t="str">
        <f>IFERROR(VLOOKUP($B908,Menu[],MATCH(F$1,Menu[#Headers],0),FALSE),"CHECK")</f>
        <v>Dessert</v>
      </c>
      <c r="G908" s="7">
        <f>IFERROR(INT(VLOOKUP($A908,Orders[],MATCH("OrderDateTime",Orders[#Headers],0),FALSE)),"CHECK")</f>
        <v>45887</v>
      </c>
      <c r="H908" s="7" t="str">
        <f>IFERROR(VLOOKUP($A908,Orders[],MATCH(H$1,Orders[#Headers],0),FALSE),"CHECK")</f>
        <v>Plant 2 Canteen</v>
      </c>
      <c r="I908">
        <f>IFERROR(VLOOKUP(OrderLines[[#This Row],[OrderID]],Orders[],MATCH(OrderLines[[#Headers],[DiscountPct]],Orders[#Headers],0),FALSE),"CHECK")</f>
        <v>0.11</v>
      </c>
      <c r="J908" t="str">
        <f>IFERROR(VLOOKUP(OrderLines[[#This Row],[OrderID]],Orders[],MATCH(OrderLines[[#Headers],[Shift]],Orders[#Headers],0),FALSE),"CHECK")</f>
        <v>Lunch</v>
      </c>
      <c r="K908" s="11">
        <f>OrderLines[[#This Row],[Qty]] * OrderLines[[#This Row],[UnitPrice]] * (1-OrderLines[[#This Row],[DiscountPct]])</f>
        <v>204.38849999999999</v>
      </c>
      <c r="L908">
        <f>OrderLines[[#This Row],[Qty]]*OrderLines[[#This Row],[UnitCost]]</f>
        <v>114.69</v>
      </c>
    </row>
    <row r="909" spans="1:12" x14ac:dyDescent="0.25">
      <c r="A909" t="s">
        <v>391</v>
      </c>
      <c r="B909" t="s">
        <v>403</v>
      </c>
      <c r="C909">
        <v>2</v>
      </c>
      <c r="D909" s="9">
        <f>IFERROR(VLOOKUP($B909,Menu[],MATCH(D$1,Menu[#Headers],0),FALSE),"CHECK")</f>
        <v>76.55</v>
      </c>
      <c r="E909" s="9">
        <f>IFERROR(VLOOKUP($B909,Menu[],MATCH(E$1,Menu[#Headers],0),FALSE),"CHECK")</f>
        <v>38.229999999999997</v>
      </c>
      <c r="F909" t="str">
        <f>IFERROR(VLOOKUP($B909,Menu[],MATCH(F$1,Menu[#Headers],0),FALSE),"CHECK")</f>
        <v>Dessert</v>
      </c>
      <c r="G909" s="7">
        <f>IFERROR(INT(VLOOKUP($A909,Orders[],MATCH("OrderDateTime",Orders[#Headers],0),FALSE)),"CHECK")</f>
        <v>45880</v>
      </c>
      <c r="H909" s="7" t="str">
        <f>IFERROR(VLOOKUP($A909,Orders[],MATCH(H$1,Orders[#Headers],0),FALSE),"CHECK")</f>
        <v>Plant 1 Canteen</v>
      </c>
      <c r="I909">
        <f>IFERROR(VLOOKUP(OrderLines[[#This Row],[OrderID]],Orders[],MATCH(OrderLines[[#Headers],[DiscountPct]],Orders[#Headers],0),FALSE),"CHECK")</f>
        <v>0.04</v>
      </c>
      <c r="J909" t="str">
        <f>IFERROR(VLOOKUP(OrderLines[[#This Row],[OrderID]],Orders[],MATCH(OrderLines[[#Headers],[Shift]],Orders[#Headers],0),FALSE),"CHECK")</f>
        <v>Lunch</v>
      </c>
      <c r="K909" s="11">
        <f>OrderLines[[#This Row],[Qty]] * OrderLines[[#This Row],[UnitPrice]] * (1-OrderLines[[#This Row],[DiscountPct]])</f>
        <v>146.976</v>
      </c>
      <c r="L909">
        <f>OrderLines[[#This Row],[Qty]]*OrderLines[[#This Row],[UnitCost]]</f>
        <v>76.459999999999994</v>
      </c>
    </row>
    <row r="910" spans="1:12" x14ac:dyDescent="0.25">
      <c r="A910" t="s">
        <v>391</v>
      </c>
      <c r="B910" t="s">
        <v>406</v>
      </c>
      <c r="C910">
        <v>1</v>
      </c>
      <c r="D910" s="9">
        <f>IFERROR(VLOOKUP($B910,Menu[],MATCH(D$1,Menu[#Headers],0),FALSE),"CHECK")</f>
        <v>38.06</v>
      </c>
      <c r="E910" s="9">
        <f>IFERROR(VLOOKUP($B910,Menu[],MATCH(E$1,Menu[#Headers],0),FALSE),"CHECK")</f>
        <v>19.55</v>
      </c>
      <c r="F910" t="str">
        <f>IFERROR(VLOOKUP($B910,Menu[],MATCH(F$1,Menu[#Headers],0),FALSE),"CHECK")</f>
        <v>Snack</v>
      </c>
      <c r="G910" s="7">
        <f>IFERROR(INT(VLOOKUP($A910,Orders[],MATCH("OrderDateTime",Orders[#Headers],0),FALSE)),"CHECK")</f>
        <v>45880</v>
      </c>
      <c r="H910" s="7" t="str">
        <f>IFERROR(VLOOKUP($A910,Orders[],MATCH(H$1,Orders[#Headers],0),FALSE),"CHECK")</f>
        <v>Plant 1 Canteen</v>
      </c>
      <c r="I910">
        <f>IFERROR(VLOOKUP(OrderLines[[#This Row],[OrderID]],Orders[],MATCH(OrderLines[[#Headers],[DiscountPct]],Orders[#Headers],0),FALSE),"CHECK")</f>
        <v>0.04</v>
      </c>
      <c r="J910" t="str">
        <f>IFERROR(VLOOKUP(OrderLines[[#This Row],[OrderID]],Orders[],MATCH(OrderLines[[#Headers],[Shift]],Orders[#Headers],0),FALSE),"CHECK")</f>
        <v>Lunch</v>
      </c>
      <c r="K910" s="11">
        <f>OrderLines[[#This Row],[Qty]] * OrderLines[[#This Row],[UnitPrice]] * (1-OrderLines[[#This Row],[DiscountPct]])</f>
        <v>36.537599999999998</v>
      </c>
      <c r="L910">
        <f>OrderLines[[#This Row],[Qty]]*OrderLines[[#This Row],[UnitCost]]</f>
        <v>19.55</v>
      </c>
    </row>
    <row r="911" spans="1:12" x14ac:dyDescent="0.25">
      <c r="A911" t="s">
        <v>392</v>
      </c>
      <c r="B911" t="s">
        <v>412</v>
      </c>
      <c r="C911">
        <v>1</v>
      </c>
      <c r="D911" s="9">
        <f>IFERROR(VLOOKUP($B911,Menu[],MATCH(D$1,Menu[#Headers],0),FALSE),"CHECK")</f>
        <v>57.07</v>
      </c>
      <c r="E911" s="9">
        <f>IFERROR(VLOOKUP($B911,Menu[],MATCH(E$1,Menu[#Headers],0),FALSE),"CHECK")</f>
        <v>29.14</v>
      </c>
      <c r="F911" t="str">
        <f>IFERROR(VLOOKUP($B911,Menu[],MATCH(F$1,Menu[#Headers],0),FALSE),"CHECK")</f>
        <v>Dessert</v>
      </c>
      <c r="G911" s="7">
        <f>IFERROR(INT(VLOOKUP($A911,Orders[],MATCH("OrderDateTime",Orders[#Headers],0),FALSE)),"CHECK")</f>
        <v>45892</v>
      </c>
      <c r="H911" s="7" t="str">
        <f>IFERROR(VLOOKUP($A911,Orders[],MATCH(H$1,Orders[#Headers],0),FALSE),"CHECK")</f>
        <v>Plant 2 Canteen</v>
      </c>
      <c r="I911">
        <f>IFERROR(VLOOKUP(OrderLines[[#This Row],[OrderID]],Orders[],MATCH(OrderLines[[#Headers],[DiscountPct]],Orders[#Headers],0),FALSE),"CHECK")</f>
        <v>0</v>
      </c>
      <c r="J911" t="str">
        <f>IFERROR(VLOOKUP(OrderLines[[#This Row],[OrderID]],Orders[],MATCH(OrderLines[[#Headers],[Shift]],Orders[#Headers],0),FALSE),"CHECK")</f>
        <v>Breakfast</v>
      </c>
      <c r="K911" s="11">
        <f>OrderLines[[#This Row],[Qty]] * OrderLines[[#This Row],[UnitPrice]] * (1-OrderLines[[#This Row],[DiscountPct]])</f>
        <v>57.07</v>
      </c>
      <c r="L911">
        <f>OrderLines[[#This Row],[Qty]]*OrderLines[[#This Row],[UnitCost]]</f>
        <v>29.14</v>
      </c>
    </row>
    <row r="912" spans="1:12" x14ac:dyDescent="0.25">
      <c r="A912" t="s">
        <v>392</v>
      </c>
      <c r="B912" t="s">
        <v>402</v>
      </c>
      <c r="C912">
        <v>1</v>
      </c>
      <c r="D912" s="9">
        <f>IFERROR(VLOOKUP($B912,Menu[],MATCH(D$1,Menu[#Headers],0),FALSE),"CHECK")</f>
        <v>30.34</v>
      </c>
      <c r="E912" s="9">
        <f>IFERROR(VLOOKUP($B912,Menu[],MATCH(E$1,Menu[#Headers],0),FALSE),"CHECK")</f>
        <v>14.18</v>
      </c>
      <c r="F912" t="str">
        <f>IFERROR(VLOOKUP($B912,Menu[],MATCH(F$1,Menu[#Headers],0),FALSE),"CHECK")</f>
        <v>Beverage</v>
      </c>
      <c r="G912" s="7">
        <f>IFERROR(INT(VLOOKUP($A912,Orders[],MATCH("OrderDateTime",Orders[#Headers],0),FALSE)),"CHECK")</f>
        <v>45892</v>
      </c>
      <c r="H912" s="7" t="str">
        <f>IFERROR(VLOOKUP($A912,Orders[],MATCH(H$1,Orders[#Headers],0),FALSE),"CHECK")</f>
        <v>Plant 2 Canteen</v>
      </c>
      <c r="I912">
        <f>IFERROR(VLOOKUP(OrderLines[[#This Row],[OrderID]],Orders[],MATCH(OrderLines[[#Headers],[DiscountPct]],Orders[#Headers],0),FALSE),"CHECK")</f>
        <v>0</v>
      </c>
      <c r="J912" t="str">
        <f>IFERROR(VLOOKUP(OrderLines[[#This Row],[OrderID]],Orders[],MATCH(OrderLines[[#Headers],[Shift]],Orders[#Headers],0),FALSE),"CHECK")</f>
        <v>Breakfast</v>
      </c>
      <c r="K912" s="11">
        <f>OrderLines[[#This Row],[Qty]] * OrderLines[[#This Row],[UnitPrice]] * (1-OrderLines[[#This Row],[DiscountPct]])</f>
        <v>30.34</v>
      </c>
      <c r="L912">
        <f>OrderLines[[#This Row],[Qty]]*OrderLines[[#This Row],[UnitCost]]</f>
        <v>14.18</v>
      </c>
    </row>
    <row r="913" spans="1:12" x14ac:dyDescent="0.25">
      <c r="A913" t="s">
        <v>393</v>
      </c>
      <c r="B913" t="s">
        <v>419</v>
      </c>
      <c r="C913">
        <v>2</v>
      </c>
      <c r="D913" s="9">
        <f>IFERROR(VLOOKUP($B913,Menu[],MATCH(D$1,Menu[#Headers],0),FALSE),"CHECK")</f>
        <v>50.19</v>
      </c>
      <c r="E913" s="9">
        <f>IFERROR(VLOOKUP($B913,Menu[],MATCH(E$1,Menu[#Headers],0),FALSE),"CHECK")</f>
        <v>22.61</v>
      </c>
      <c r="F913" t="str">
        <f>IFERROR(VLOOKUP($B913,Menu[],MATCH(F$1,Menu[#Headers],0),FALSE),"CHECK")</f>
        <v>Snack</v>
      </c>
      <c r="G913" s="7">
        <f>IFERROR(INT(VLOOKUP($A913,Orders[],MATCH("OrderDateTime",Orders[#Headers],0),FALSE)),"CHECK")</f>
        <v>45871</v>
      </c>
      <c r="H913" s="7" t="str">
        <f>IFERROR(VLOOKUP($A913,Orders[],MATCH(H$1,Orders[#Headers],0),FALSE),"CHECK")</f>
        <v>Head Office Café</v>
      </c>
      <c r="I913">
        <f>IFERROR(VLOOKUP(OrderLines[[#This Row],[OrderID]],Orders[],MATCH(OrderLines[[#Headers],[DiscountPct]],Orders[#Headers],0),FALSE),"CHECK")</f>
        <v>0.11</v>
      </c>
      <c r="J913" t="str">
        <f>IFERROR(VLOOKUP(OrderLines[[#This Row],[OrderID]],Orders[],MATCH(OrderLines[[#Headers],[Shift]],Orders[#Headers],0),FALSE),"CHECK")</f>
        <v>Breakfast</v>
      </c>
      <c r="K913" s="11">
        <f>OrderLines[[#This Row],[Qty]] * OrderLines[[#This Row],[UnitPrice]] * (1-OrderLines[[#This Row],[DiscountPct]])</f>
        <v>89.338200000000001</v>
      </c>
      <c r="L913">
        <f>OrderLines[[#This Row],[Qty]]*OrderLines[[#This Row],[UnitCost]]</f>
        <v>45.22</v>
      </c>
    </row>
    <row r="914" spans="1:12" x14ac:dyDescent="0.25">
      <c r="A914" t="s">
        <v>393</v>
      </c>
      <c r="B914" t="s">
        <v>416</v>
      </c>
      <c r="C914">
        <v>2</v>
      </c>
      <c r="D914" s="9">
        <f>IFERROR(VLOOKUP($B914,Menu[],MATCH(D$1,Menu[#Headers],0),FALSE),"CHECK")</f>
        <v>227.61</v>
      </c>
      <c r="E914" s="9">
        <f>IFERROR(VLOOKUP($B914,Menu[],MATCH(E$1,Menu[#Headers],0),FALSE),"CHECK")</f>
        <v>96.22</v>
      </c>
      <c r="F914" t="str">
        <f>IFERROR(VLOOKUP($B914,Menu[],MATCH(F$1,Menu[#Headers],0),FALSE),"CHECK")</f>
        <v>Hot Meal</v>
      </c>
      <c r="G914" s="7">
        <f>IFERROR(INT(VLOOKUP($A914,Orders[],MATCH("OrderDateTime",Orders[#Headers],0),FALSE)),"CHECK")</f>
        <v>45871</v>
      </c>
      <c r="H914" s="7" t="str">
        <f>IFERROR(VLOOKUP($A914,Orders[],MATCH(H$1,Orders[#Headers],0),FALSE),"CHECK")</f>
        <v>Head Office Café</v>
      </c>
      <c r="I914">
        <f>IFERROR(VLOOKUP(OrderLines[[#This Row],[OrderID]],Orders[],MATCH(OrderLines[[#Headers],[DiscountPct]],Orders[#Headers],0),FALSE),"CHECK")</f>
        <v>0.11</v>
      </c>
      <c r="J914" t="str">
        <f>IFERROR(VLOOKUP(OrderLines[[#This Row],[OrderID]],Orders[],MATCH(OrderLines[[#Headers],[Shift]],Orders[#Headers],0),FALSE),"CHECK")</f>
        <v>Breakfast</v>
      </c>
      <c r="K914" s="11">
        <f>OrderLines[[#This Row],[Qty]] * OrderLines[[#This Row],[UnitPrice]] * (1-OrderLines[[#This Row],[DiscountPct]])</f>
        <v>405.14580000000001</v>
      </c>
      <c r="L914">
        <f>OrderLines[[#This Row],[Qty]]*OrderLines[[#This Row],[UnitCost]]</f>
        <v>192.44</v>
      </c>
    </row>
    <row r="915" spans="1:12" x14ac:dyDescent="0.25">
      <c r="A915" t="s">
        <v>393</v>
      </c>
      <c r="B915" t="s">
        <v>405</v>
      </c>
      <c r="C915">
        <v>1</v>
      </c>
      <c r="D915" s="9">
        <f>IFERROR(VLOOKUP($B915,Menu[],MATCH(D$1,Menu[#Headers],0),FALSE),"CHECK")</f>
        <v>170.83</v>
      </c>
      <c r="E915" s="9">
        <f>IFERROR(VLOOKUP($B915,Menu[],MATCH(E$1,Menu[#Headers],0),FALSE),"CHECK")</f>
        <v>74.069999999999993</v>
      </c>
      <c r="F915" t="str">
        <f>IFERROR(VLOOKUP($B915,Menu[],MATCH(F$1,Menu[#Headers],0),FALSE),"CHECK")</f>
        <v>Hot Meal</v>
      </c>
      <c r="G915" s="7">
        <f>IFERROR(INT(VLOOKUP($A915,Orders[],MATCH("OrderDateTime",Orders[#Headers],0),FALSE)),"CHECK")</f>
        <v>45871</v>
      </c>
      <c r="H915" s="7" t="str">
        <f>IFERROR(VLOOKUP($A915,Orders[],MATCH(H$1,Orders[#Headers],0),FALSE),"CHECK")</f>
        <v>Head Office Café</v>
      </c>
      <c r="I915">
        <f>IFERROR(VLOOKUP(OrderLines[[#This Row],[OrderID]],Orders[],MATCH(OrderLines[[#Headers],[DiscountPct]],Orders[#Headers],0),FALSE),"CHECK")</f>
        <v>0.11</v>
      </c>
      <c r="J915" t="str">
        <f>IFERROR(VLOOKUP(OrderLines[[#This Row],[OrderID]],Orders[],MATCH(OrderLines[[#Headers],[Shift]],Orders[#Headers],0),FALSE),"CHECK")</f>
        <v>Breakfast</v>
      </c>
      <c r="K915" s="11">
        <f>OrderLines[[#This Row],[Qty]] * OrderLines[[#This Row],[UnitPrice]] * (1-OrderLines[[#This Row],[DiscountPct]])</f>
        <v>152.03870000000001</v>
      </c>
      <c r="L915">
        <f>OrderLines[[#This Row],[Qty]]*OrderLines[[#This Row],[UnitCost]]</f>
        <v>74.069999999999993</v>
      </c>
    </row>
    <row r="916" spans="1:12" x14ac:dyDescent="0.25">
      <c r="A916" t="s">
        <v>393</v>
      </c>
      <c r="B916" t="s">
        <v>402</v>
      </c>
      <c r="C916">
        <v>2</v>
      </c>
      <c r="D916" s="9">
        <f>IFERROR(VLOOKUP($B916,Menu[],MATCH(D$1,Menu[#Headers],0),FALSE),"CHECK")</f>
        <v>30.34</v>
      </c>
      <c r="E916" s="9">
        <f>IFERROR(VLOOKUP($B916,Menu[],MATCH(E$1,Menu[#Headers],0),FALSE),"CHECK")</f>
        <v>14.18</v>
      </c>
      <c r="F916" t="str">
        <f>IFERROR(VLOOKUP($B916,Menu[],MATCH(F$1,Menu[#Headers],0),FALSE),"CHECK")</f>
        <v>Beverage</v>
      </c>
      <c r="G916" s="7">
        <f>IFERROR(INT(VLOOKUP($A916,Orders[],MATCH("OrderDateTime",Orders[#Headers],0),FALSE)),"CHECK")</f>
        <v>45871</v>
      </c>
      <c r="H916" s="7" t="str">
        <f>IFERROR(VLOOKUP($A916,Orders[],MATCH(H$1,Orders[#Headers],0),FALSE),"CHECK")</f>
        <v>Head Office Café</v>
      </c>
      <c r="I916">
        <f>IFERROR(VLOOKUP(OrderLines[[#This Row],[OrderID]],Orders[],MATCH(OrderLines[[#Headers],[DiscountPct]],Orders[#Headers],0),FALSE),"CHECK")</f>
        <v>0.11</v>
      </c>
      <c r="J916" t="str">
        <f>IFERROR(VLOOKUP(OrderLines[[#This Row],[OrderID]],Orders[],MATCH(OrderLines[[#Headers],[Shift]],Orders[#Headers],0),FALSE),"CHECK")</f>
        <v>Breakfast</v>
      </c>
      <c r="K916" s="11">
        <f>OrderLines[[#This Row],[Qty]] * OrderLines[[#This Row],[UnitPrice]] * (1-OrderLines[[#This Row],[DiscountPct]])</f>
        <v>54.005200000000002</v>
      </c>
      <c r="L916">
        <f>OrderLines[[#This Row],[Qty]]*OrderLines[[#This Row],[UnitCost]]</f>
        <v>28.36</v>
      </c>
    </row>
    <row r="917" spans="1:12" x14ac:dyDescent="0.25">
      <c r="A917" t="s">
        <v>394</v>
      </c>
      <c r="B917" t="s">
        <v>410</v>
      </c>
      <c r="C917">
        <v>1</v>
      </c>
      <c r="D917" s="9">
        <f>IFERROR(VLOOKUP($B917,Menu[],MATCH(D$1,Menu[#Headers],0),FALSE),"CHECK")</f>
        <v>20.11</v>
      </c>
      <c r="E917" s="9">
        <f>IFERROR(VLOOKUP($B917,Menu[],MATCH(E$1,Menu[#Headers],0),FALSE),"CHECK")</f>
        <v>8</v>
      </c>
      <c r="F917" t="str">
        <f>IFERROR(VLOOKUP($B917,Menu[],MATCH(F$1,Menu[#Headers],0),FALSE),"CHECK")</f>
        <v>Beverage</v>
      </c>
      <c r="G917" s="7">
        <f>IFERROR(INT(VLOOKUP($A917,Orders[],MATCH("OrderDateTime",Orders[#Headers],0),FALSE)),"CHECK")</f>
        <v>45897</v>
      </c>
      <c r="H917" s="7" t="str">
        <f>IFERROR(VLOOKUP($A917,Orders[],MATCH(H$1,Orders[#Headers],0),FALSE),"CHECK")</f>
        <v>Head Office Café</v>
      </c>
      <c r="I917">
        <f>IFERROR(VLOOKUP(OrderLines[[#This Row],[OrderID]],Orders[],MATCH(OrderLines[[#Headers],[DiscountPct]],Orders[#Headers],0),FALSE),"CHECK")</f>
        <v>0.06</v>
      </c>
      <c r="J917" t="str">
        <f>IFERROR(VLOOKUP(OrderLines[[#This Row],[OrderID]],Orders[],MATCH(OrderLines[[#Headers],[Shift]],Orders[#Headers],0),FALSE),"CHECK")</f>
        <v>Dinner</v>
      </c>
      <c r="K917" s="11">
        <f>OrderLines[[#This Row],[Qty]] * OrderLines[[#This Row],[UnitPrice]] * (1-OrderLines[[#This Row],[DiscountPct]])</f>
        <v>18.903399999999998</v>
      </c>
      <c r="L917">
        <f>OrderLines[[#This Row],[Qty]]*OrderLines[[#This Row],[UnitCost]]</f>
        <v>8</v>
      </c>
    </row>
    <row r="918" spans="1:12" x14ac:dyDescent="0.25">
      <c r="A918" t="s">
        <v>394</v>
      </c>
      <c r="B918" t="s">
        <v>411</v>
      </c>
      <c r="C918">
        <v>1</v>
      </c>
      <c r="D918" s="9">
        <f>IFERROR(VLOOKUP($B918,Menu[],MATCH(D$1,Menu[#Headers],0),FALSE),"CHECK")</f>
        <v>22.2</v>
      </c>
      <c r="E918" s="9">
        <f>IFERROR(VLOOKUP($B918,Menu[],MATCH(E$1,Menu[#Headers],0),FALSE),"CHECK")</f>
        <v>9.3800000000000008</v>
      </c>
      <c r="F918" t="str">
        <f>IFERROR(VLOOKUP($B918,Menu[],MATCH(F$1,Menu[#Headers],0),FALSE),"CHECK")</f>
        <v>Beverage</v>
      </c>
      <c r="G918" s="7">
        <f>IFERROR(INT(VLOOKUP($A918,Orders[],MATCH("OrderDateTime",Orders[#Headers],0),FALSE)),"CHECK")</f>
        <v>45897</v>
      </c>
      <c r="H918" s="7" t="str">
        <f>IFERROR(VLOOKUP($A918,Orders[],MATCH(H$1,Orders[#Headers],0),FALSE),"CHECK")</f>
        <v>Head Office Café</v>
      </c>
      <c r="I918">
        <f>IFERROR(VLOOKUP(OrderLines[[#This Row],[OrderID]],Orders[],MATCH(OrderLines[[#Headers],[DiscountPct]],Orders[#Headers],0),FALSE),"CHECK")</f>
        <v>0.06</v>
      </c>
      <c r="J918" t="str">
        <f>IFERROR(VLOOKUP(OrderLines[[#This Row],[OrderID]],Orders[],MATCH(OrderLines[[#Headers],[Shift]],Orders[#Headers],0),FALSE),"CHECK")</f>
        <v>Dinner</v>
      </c>
      <c r="K918" s="11">
        <f>OrderLines[[#This Row],[Qty]] * OrderLines[[#This Row],[UnitPrice]] * (1-OrderLines[[#This Row],[DiscountPct]])</f>
        <v>20.867999999999999</v>
      </c>
      <c r="L918">
        <f>OrderLines[[#This Row],[Qty]]*OrderLines[[#This Row],[UnitCost]]</f>
        <v>9.3800000000000008</v>
      </c>
    </row>
    <row r="919" spans="1:12" x14ac:dyDescent="0.25">
      <c r="A919" t="s">
        <v>394</v>
      </c>
      <c r="B919" t="s">
        <v>412</v>
      </c>
      <c r="C919">
        <v>1</v>
      </c>
      <c r="D919" s="9">
        <f>IFERROR(VLOOKUP($B919,Menu[],MATCH(D$1,Menu[#Headers],0),FALSE),"CHECK")</f>
        <v>57.07</v>
      </c>
      <c r="E919" s="9">
        <f>IFERROR(VLOOKUP($B919,Menu[],MATCH(E$1,Menu[#Headers],0),FALSE),"CHECK")</f>
        <v>29.14</v>
      </c>
      <c r="F919" t="str">
        <f>IFERROR(VLOOKUP($B919,Menu[],MATCH(F$1,Menu[#Headers],0),FALSE),"CHECK")</f>
        <v>Dessert</v>
      </c>
      <c r="G919" s="7">
        <f>IFERROR(INT(VLOOKUP($A919,Orders[],MATCH("OrderDateTime",Orders[#Headers],0),FALSE)),"CHECK")</f>
        <v>45897</v>
      </c>
      <c r="H919" s="7" t="str">
        <f>IFERROR(VLOOKUP($A919,Orders[],MATCH(H$1,Orders[#Headers],0),FALSE),"CHECK")</f>
        <v>Head Office Café</v>
      </c>
      <c r="I919">
        <f>IFERROR(VLOOKUP(OrderLines[[#This Row],[OrderID]],Orders[],MATCH(OrderLines[[#Headers],[DiscountPct]],Orders[#Headers],0),FALSE),"CHECK")</f>
        <v>0.06</v>
      </c>
      <c r="J919" t="str">
        <f>IFERROR(VLOOKUP(OrderLines[[#This Row],[OrderID]],Orders[],MATCH(OrderLines[[#Headers],[Shift]],Orders[#Headers],0),FALSE),"CHECK")</f>
        <v>Dinner</v>
      </c>
      <c r="K919" s="11">
        <f>OrderLines[[#This Row],[Qty]] * OrderLines[[#This Row],[UnitPrice]] * (1-OrderLines[[#This Row],[DiscountPct]])</f>
        <v>53.645799999999994</v>
      </c>
      <c r="L919">
        <f>OrderLines[[#This Row],[Qty]]*OrderLines[[#This Row],[UnitCost]]</f>
        <v>29.14</v>
      </c>
    </row>
    <row r="920" spans="1:12" x14ac:dyDescent="0.25">
      <c r="A920" t="s">
        <v>395</v>
      </c>
      <c r="B920" t="s">
        <v>408</v>
      </c>
      <c r="C920">
        <v>1</v>
      </c>
      <c r="D920" s="9">
        <f>IFERROR(VLOOKUP($B920,Menu[],MATCH(D$1,Menu[#Headers],0),FALSE),"CHECK")</f>
        <v>70.540000000000006</v>
      </c>
      <c r="E920" s="9">
        <f>IFERROR(VLOOKUP($B920,Menu[],MATCH(E$1,Menu[#Headers],0),FALSE),"CHECK")</f>
        <v>35.81</v>
      </c>
      <c r="F920" t="str">
        <f>IFERROR(VLOOKUP($B920,Menu[],MATCH(F$1,Menu[#Headers],0),FALSE),"CHECK")</f>
        <v>Snack</v>
      </c>
      <c r="G920" s="7">
        <f>IFERROR(INT(VLOOKUP($A920,Orders[],MATCH("OrderDateTime",Orders[#Headers],0),FALSE)),"CHECK")</f>
        <v>45873</v>
      </c>
      <c r="H920" s="7" t="str">
        <f>IFERROR(VLOOKUP($A920,Orders[],MATCH(H$1,Orders[#Headers],0),FALSE),"CHECK")</f>
        <v>Plant 2 Canteen</v>
      </c>
      <c r="I920">
        <f>IFERROR(VLOOKUP(OrderLines[[#This Row],[OrderID]],Orders[],MATCH(OrderLines[[#Headers],[DiscountPct]],Orders[#Headers],0),FALSE),"CHECK")</f>
        <v>0.11</v>
      </c>
      <c r="J920" t="str">
        <f>IFERROR(VLOOKUP(OrderLines[[#This Row],[OrderID]],Orders[],MATCH(OrderLines[[#Headers],[Shift]],Orders[#Headers],0),FALSE),"CHECK")</f>
        <v>Breakfast</v>
      </c>
      <c r="K920" s="11">
        <f>OrderLines[[#This Row],[Qty]] * OrderLines[[#This Row],[UnitPrice]] * (1-OrderLines[[#This Row],[DiscountPct]])</f>
        <v>62.780600000000007</v>
      </c>
      <c r="L920">
        <f>OrderLines[[#This Row],[Qty]]*OrderLines[[#This Row],[UnitCost]]</f>
        <v>35.81</v>
      </c>
    </row>
    <row r="921" spans="1:12" x14ac:dyDescent="0.25">
      <c r="A921" t="s">
        <v>395</v>
      </c>
      <c r="B921" t="s">
        <v>402</v>
      </c>
      <c r="C921">
        <v>1</v>
      </c>
      <c r="D921" s="9">
        <f>IFERROR(VLOOKUP($B921,Menu[],MATCH(D$1,Menu[#Headers],0),FALSE),"CHECK")</f>
        <v>30.34</v>
      </c>
      <c r="E921" s="9">
        <f>IFERROR(VLOOKUP($B921,Menu[],MATCH(E$1,Menu[#Headers],0),FALSE),"CHECK")</f>
        <v>14.18</v>
      </c>
      <c r="F921" t="str">
        <f>IFERROR(VLOOKUP($B921,Menu[],MATCH(F$1,Menu[#Headers],0),FALSE),"CHECK")</f>
        <v>Beverage</v>
      </c>
      <c r="G921" s="7">
        <f>IFERROR(INT(VLOOKUP($A921,Orders[],MATCH("OrderDateTime",Orders[#Headers],0),FALSE)),"CHECK")</f>
        <v>45873</v>
      </c>
      <c r="H921" s="7" t="str">
        <f>IFERROR(VLOOKUP($A921,Orders[],MATCH(H$1,Orders[#Headers],0),FALSE),"CHECK")</f>
        <v>Plant 2 Canteen</v>
      </c>
      <c r="I921">
        <f>IFERROR(VLOOKUP(OrderLines[[#This Row],[OrderID]],Orders[],MATCH(OrderLines[[#Headers],[DiscountPct]],Orders[#Headers],0),FALSE),"CHECK")</f>
        <v>0.11</v>
      </c>
      <c r="J921" t="str">
        <f>IFERROR(VLOOKUP(OrderLines[[#This Row],[OrderID]],Orders[],MATCH(OrderLines[[#Headers],[Shift]],Orders[#Headers],0),FALSE),"CHECK")</f>
        <v>Breakfast</v>
      </c>
      <c r="K921" s="11">
        <f>OrderLines[[#This Row],[Qty]] * OrderLines[[#This Row],[UnitPrice]] * (1-OrderLines[[#This Row],[DiscountPct]])</f>
        <v>27.002600000000001</v>
      </c>
      <c r="L921">
        <f>OrderLines[[#This Row],[Qty]]*OrderLines[[#This Row],[UnitCost]]</f>
        <v>14.18</v>
      </c>
    </row>
    <row r="922" spans="1:12" x14ac:dyDescent="0.25">
      <c r="A922" t="s">
        <v>396</v>
      </c>
      <c r="B922" t="s">
        <v>416</v>
      </c>
      <c r="C922">
        <v>2</v>
      </c>
      <c r="D922" s="9">
        <f>IFERROR(VLOOKUP($B922,Menu[],MATCH(D$1,Menu[#Headers],0),FALSE),"CHECK")</f>
        <v>227.61</v>
      </c>
      <c r="E922" s="9">
        <f>IFERROR(VLOOKUP($B922,Menu[],MATCH(E$1,Menu[#Headers],0),FALSE),"CHECK")</f>
        <v>96.22</v>
      </c>
      <c r="F922" t="str">
        <f>IFERROR(VLOOKUP($B922,Menu[],MATCH(F$1,Menu[#Headers],0),FALSE),"CHECK")</f>
        <v>Hot Meal</v>
      </c>
      <c r="G922" s="7">
        <f>IFERROR(INT(VLOOKUP($A922,Orders[],MATCH("OrderDateTime",Orders[#Headers],0),FALSE)),"CHECK")</f>
        <v>45881</v>
      </c>
      <c r="H922" s="7" t="str">
        <f>IFERROR(VLOOKUP($A922,Orders[],MATCH(H$1,Orders[#Headers],0),FALSE),"CHECK")</f>
        <v>Plant 2 Canteen</v>
      </c>
      <c r="I922">
        <f>IFERROR(VLOOKUP(OrderLines[[#This Row],[OrderID]],Orders[],MATCH(OrderLines[[#Headers],[DiscountPct]],Orders[#Headers],0),FALSE),"CHECK")</f>
        <v>0</v>
      </c>
      <c r="J922" t="str">
        <f>IFERROR(VLOOKUP(OrderLines[[#This Row],[OrderID]],Orders[],MATCH(OrderLines[[#Headers],[Shift]],Orders[#Headers],0),FALSE),"CHECK")</f>
        <v>Lunch</v>
      </c>
      <c r="K922" s="11">
        <f>OrderLines[[#This Row],[Qty]] * OrderLines[[#This Row],[UnitPrice]] * (1-OrderLines[[#This Row],[DiscountPct]])</f>
        <v>455.22</v>
      </c>
      <c r="L922">
        <f>OrderLines[[#This Row],[Qty]]*OrderLines[[#This Row],[UnitCost]]</f>
        <v>192.44</v>
      </c>
    </row>
    <row r="923" spans="1:12" x14ac:dyDescent="0.25">
      <c r="A923" t="s">
        <v>397</v>
      </c>
      <c r="B923" t="s">
        <v>405</v>
      </c>
      <c r="C923">
        <v>1</v>
      </c>
      <c r="D923" s="9">
        <f>IFERROR(VLOOKUP($B923,Menu[],MATCH(D$1,Menu[#Headers],0),FALSE),"CHECK")</f>
        <v>170.83</v>
      </c>
      <c r="E923" s="9">
        <f>IFERROR(VLOOKUP($B923,Menu[],MATCH(E$1,Menu[#Headers],0),FALSE),"CHECK")</f>
        <v>74.069999999999993</v>
      </c>
      <c r="F923" t="str">
        <f>IFERROR(VLOOKUP($B923,Menu[],MATCH(F$1,Menu[#Headers],0),FALSE),"CHECK")</f>
        <v>Hot Meal</v>
      </c>
      <c r="G923" s="7">
        <f>IFERROR(INT(VLOOKUP($A923,Orders[],MATCH("OrderDateTime",Orders[#Headers],0),FALSE)),"CHECK")</f>
        <v>45878</v>
      </c>
      <c r="H923" s="7" t="str">
        <f>IFERROR(VLOOKUP($A923,Orders[],MATCH(H$1,Orders[#Headers],0),FALSE),"CHECK")</f>
        <v>Plant 2 Canteen</v>
      </c>
      <c r="I923">
        <f>IFERROR(VLOOKUP(OrderLines[[#This Row],[OrderID]],Orders[],MATCH(OrderLines[[#Headers],[DiscountPct]],Orders[#Headers],0),FALSE),"CHECK")</f>
        <v>0.04</v>
      </c>
      <c r="J923" t="str">
        <f>IFERROR(VLOOKUP(OrderLines[[#This Row],[OrderID]],Orders[],MATCH(OrderLines[[#Headers],[Shift]],Orders[#Headers],0),FALSE),"CHECK")</f>
        <v>Dinner</v>
      </c>
      <c r="K923" s="11">
        <f>OrderLines[[#This Row],[Qty]] * OrderLines[[#This Row],[UnitPrice]] * (1-OrderLines[[#This Row],[DiscountPct]])</f>
        <v>163.99680000000001</v>
      </c>
      <c r="L923">
        <f>OrderLines[[#This Row],[Qty]]*OrderLines[[#This Row],[UnitCost]]</f>
        <v>74.069999999999993</v>
      </c>
    </row>
    <row r="924" spans="1:12" x14ac:dyDescent="0.25">
      <c r="A924" t="s">
        <v>397</v>
      </c>
      <c r="B924" t="s">
        <v>415</v>
      </c>
      <c r="C924">
        <v>3</v>
      </c>
      <c r="D924" s="9">
        <f>IFERROR(VLOOKUP($B924,Menu[],MATCH(D$1,Menu[#Headers],0),FALSE),"CHECK")</f>
        <v>256.91000000000003</v>
      </c>
      <c r="E924" s="9">
        <f>IFERROR(VLOOKUP($B924,Menu[],MATCH(E$1,Menu[#Headers],0),FALSE),"CHECK")</f>
        <v>121.24</v>
      </c>
      <c r="F924" t="str">
        <f>IFERROR(VLOOKUP($B924,Menu[],MATCH(F$1,Menu[#Headers],0),FALSE),"CHECK")</f>
        <v>Hot Meal</v>
      </c>
      <c r="G924" s="7">
        <f>IFERROR(INT(VLOOKUP($A924,Orders[],MATCH("OrderDateTime",Orders[#Headers],0),FALSE)),"CHECK")</f>
        <v>45878</v>
      </c>
      <c r="H924" s="7" t="str">
        <f>IFERROR(VLOOKUP($A924,Orders[],MATCH(H$1,Orders[#Headers],0),FALSE),"CHECK")</f>
        <v>Plant 2 Canteen</v>
      </c>
      <c r="I924">
        <f>IFERROR(VLOOKUP(OrderLines[[#This Row],[OrderID]],Orders[],MATCH(OrderLines[[#Headers],[DiscountPct]],Orders[#Headers],0),FALSE),"CHECK")</f>
        <v>0.04</v>
      </c>
      <c r="J924" t="str">
        <f>IFERROR(VLOOKUP(OrderLines[[#This Row],[OrderID]],Orders[],MATCH(OrderLines[[#Headers],[Shift]],Orders[#Headers],0),FALSE),"CHECK")</f>
        <v>Dinner</v>
      </c>
      <c r="K924" s="11">
        <f>OrderLines[[#This Row],[Qty]] * OrderLines[[#This Row],[UnitPrice]] * (1-OrderLines[[#This Row],[DiscountPct]])</f>
        <v>739.9008</v>
      </c>
      <c r="L924">
        <f>OrderLines[[#This Row],[Qty]]*OrderLines[[#This Row],[UnitCost]]</f>
        <v>363.71999999999997</v>
      </c>
    </row>
    <row r="925" spans="1:12" x14ac:dyDescent="0.25">
      <c r="A925" t="s">
        <v>397</v>
      </c>
      <c r="B925" t="s">
        <v>402</v>
      </c>
      <c r="C925">
        <v>2</v>
      </c>
      <c r="D925" s="9">
        <f>IFERROR(VLOOKUP($B925,Menu[],MATCH(D$1,Menu[#Headers],0),FALSE),"CHECK")</f>
        <v>30.34</v>
      </c>
      <c r="E925" s="9">
        <f>IFERROR(VLOOKUP($B925,Menu[],MATCH(E$1,Menu[#Headers],0),FALSE),"CHECK")</f>
        <v>14.18</v>
      </c>
      <c r="F925" t="str">
        <f>IFERROR(VLOOKUP($B925,Menu[],MATCH(F$1,Menu[#Headers],0),FALSE),"CHECK")</f>
        <v>Beverage</v>
      </c>
      <c r="G925" s="7">
        <f>IFERROR(INT(VLOOKUP($A925,Orders[],MATCH("OrderDateTime",Orders[#Headers],0),FALSE)),"CHECK")</f>
        <v>45878</v>
      </c>
      <c r="H925" s="7" t="str">
        <f>IFERROR(VLOOKUP($A925,Orders[],MATCH(H$1,Orders[#Headers],0),FALSE),"CHECK")</f>
        <v>Plant 2 Canteen</v>
      </c>
      <c r="I925">
        <f>IFERROR(VLOOKUP(OrderLines[[#This Row],[OrderID]],Orders[],MATCH(OrderLines[[#Headers],[DiscountPct]],Orders[#Headers],0),FALSE),"CHECK")</f>
        <v>0.04</v>
      </c>
      <c r="J925" t="str">
        <f>IFERROR(VLOOKUP(OrderLines[[#This Row],[OrderID]],Orders[],MATCH(OrderLines[[#Headers],[Shift]],Orders[#Headers],0),FALSE),"CHECK")</f>
        <v>Dinner</v>
      </c>
      <c r="K925" s="11">
        <f>OrderLines[[#This Row],[Qty]] * OrderLines[[#This Row],[UnitPrice]] * (1-OrderLines[[#This Row],[DiscountPct]])</f>
        <v>58.252800000000001</v>
      </c>
      <c r="L925">
        <f>OrderLines[[#This Row],[Qty]]*OrderLines[[#This Row],[UnitCost]]</f>
        <v>28.36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514E-22F7-41E8-AB6F-1387D08886DB}">
  <dimension ref="A1:F20"/>
  <sheetViews>
    <sheetView workbookViewId="0">
      <selection activeCell="P32" sqref="P32"/>
    </sheetView>
  </sheetViews>
  <sheetFormatPr defaultRowHeight="15" x14ac:dyDescent="0.25"/>
  <cols>
    <col min="2" max="2" width="26.85546875" bestFit="1" customWidth="1"/>
    <col min="3" max="3" width="13.42578125" bestFit="1" customWidth="1"/>
    <col min="4" max="4" width="12.42578125" customWidth="1"/>
    <col min="5" max="5" width="13.28515625" bestFit="1" customWidth="1"/>
    <col min="6" max="6" width="13.85546875" bestFit="1" customWidth="1"/>
  </cols>
  <sheetData>
    <row r="1" spans="1:6" x14ac:dyDescent="0.25">
      <c r="A1" s="3" t="s">
        <v>398</v>
      </c>
      <c r="B1" s="3" t="s">
        <v>420</v>
      </c>
      <c r="C1" s="3" t="s">
        <v>421</v>
      </c>
      <c r="D1" s="3" t="s">
        <v>422</v>
      </c>
      <c r="E1" s="3" t="s">
        <v>423</v>
      </c>
      <c r="F1" s="3" t="s">
        <v>400</v>
      </c>
    </row>
    <row r="2" spans="1:6" x14ac:dyDescent="0.25">
      <c r="A2" t="s">
        <v>416</v>
      </c>
      <c r="B2" t="s">
        <v>424</v>
      </c>
      <c r="C2" t="s">
        <v>425</v>
      </c>
      <c r="D2" t="s">
        <v>426</v>
      </c>
      <c r="E2">
        <v>96.22</v>
      </c>
      <c r="F2">
        <v>227.61</v>
      </c>
    </row>
    <row r="3" spans="1:6" x14ac:dyDescent="0.25">
      <c r="A3" t="s">
        <v>415</v>
      </c>
      <c r="B3" t="s">
        <v>427</v>
      </c>
      <c r="C3" t="s">
        <v>425</v>
      </c>
      <c r="D3" t="s">
        <v>428</v>
      </c>
      <c r="E3">
        <v>121.24</v>
      </c>
      <c r="F3">
        <v>256.91000000000003</v>
      </c>
    </row>
    <row r="4" spans="1:6" x14ac:dyDescent="0.25">
      <c r="A4" t="s">
        <v>417</v>
      </c>
      <c r="B4" t="s">
        <v>429</v>
      </c>
      <c r="C4" t="s">
        <v>425</v>
      </c>
      <c r="D4" t="s">
        <v>430</v>
      </c>
      <c r="E4">
        <v>80.92</v>
      </c>
      <c r="F4">
        <v>146.4</v>
      </c>
    </row>
    <row r="5" spans="1:6" x14ac:dyDescent="0.25">
      <c r="A5" t="s">
        <v>405</v>
      </c>
      <c r="B5" t="s">
        <v>431</v>
      </c>
      <c r="C5" t="s">
        <v>425</v>
      </c>
      <c r="D5" t="s">
        <v>432</v>
      </c>
      <c r="E5">
        <v>74.069999999999993</v>
      </c>
      <c r="F5">
        <v>170.83</v>
      </c>
    </row>
    <row r="6" spans="1:6" x14ac:dyDescent="0.25">
      <c r="A6" t="s">
        <v>407</v>
      </c>
      <c r="B6" t="s">
        <v>433</v>
      </c>
      <c r="C6" t="s">
        <v>425</v>
      </c>
      <c r="D6" t="s">
        <v>434</v>
      </c>
      <c r="E6">
        <v>112.08</v>
      </c>
      <c r="F6">
        <v>246.09</v>
      </c>
    </row>
    <row r="7" spans="1:6" x14ac:dyDescent="0.25">
      <c r="A7" t="s">
        <v>418</v>
      </c>
      <c r="B7" t="s">
        <v>435</v>
      </c>
      <c r="C7" t="s">
        <v>436</v>
      </c>
      <c r="D7" t="s">
        <v>437</v>
      </c>
      <c r="E7">
        <v>15.51</v>
      </c>
      <c r="F7">
        <v>39.950000000000003</v>
      </c>
    </row>
    <row r="8" spans="1:6" x14ac:dyDescent="0.25">
      <c r="A8" t="s">
        <v>408</v>
      </c>
      <c r="B8" t="s">
        <v>438</v>
      </c>
      <c r="C8" t="s">
        <v>436</v>
      </c>
      <c r="D8" t="s">
        <v>439</v>
      </c>
      <c r="E8">
        <v>35.81</v>
      </c>
      <c r="F8">
        <v>70.540000000000006</v>
      </c>
    </row>
    <row r="9" spans="1:6" x14ac:dyDescent="0.25">
      <c r="A9" t="s">
        <v>406</v>
      </c>
      <c r="B9" t="s">
        <v>440</v>
      </c>
      <c r="C9" t="s">
        <v>436</v>
      </c>
      <c r="D9" t="s">
        <v>439</v>
      </c>
      <c r="E9">
        <v>19.55</v>
      </c>
      <c r="F9">
        <v>38.06</v>
      </c>
    </row>
    <row r="10" spans="1:6" x14ac:dyDescent="0.25">
      <c r="A10" t="s">
        <v>419</v>
      </c>
      <c r="B10" t="s">
        <v>441</v>
      </c>
      <c r="C10" t="s">
        <v>436</v>
      </c>
      <c r="D10" t="s">
        <v>434</v>
      </c>
      <c r="E10">
        <v>22.61</v>
      </c>
      <c r="F10">
        <v>50.19</v>
      </c>
    </row>
    <row r="11" spans="1:6" x14ac:dyDescent="0.25">
      <c r="A11" t="s">
        <v>401</v>
      </c>
      <c r="B11" t="s">
        <v>442</v>
      </c>
      <c r="C11" t="s">
        <v>436</v>
      </c>
      <c r="D11" t="s">
        <v>432</v>
      </c>
      <c r="E11">
        <v>25.8</v>
      </c>
      <c r="F11">
        <v>52.45</v>
      </c>
    </row>
    <row r="12" spans="1:6" x14ac:dyDescent="0.25">
      <c r="A12" t="s">
        <v>402</v>
      </c>
      <c r="B12" t="s">
        <v>443</v>
      </c>
      <c r="C12" t="s">
        <v>444</v>
      </c>
      <c r="D12" t="s">
        <v>426</v>
      </c>
      <c r="E12">
        <v>14.18</v>
      </c>
      <c r="F12">
        <v>30.34</v>
      </c>
    </row>
    <row r="13" spans="1:6" x14ac:dyDescent="0.25">
      <c r="A13" t="s">
        <v>411</v>
      </c>
      <c r="B13" t="s">
        <v>445</v>
      </c>
      <c r="C13" t="s">
        <v>444</v>
      </c>
      <c r="D13" t="s">
        <v>434</v>
      </c>
      <c r="E13">
        <v>9.3800000000000008</v>
      </c>
      <c r="F13">
        <v>22.2</v>
      </c>
    </row>
    <row r="14" spans="1:6" x14ac:dyDescent="0.25">
      <c r="A14" t="s">
        <v>404</v>
      </c>
      <c r="B14" t="s">
        <v>446</v>
      </c>
      <c r="C14" t="s">
        <v>444</v>
      </c>
      <c r="D14" t="s">
        <v>439</v>
      </c>
      <c r="E14">
        <v>11.84</v>
      </c>
      <c r="F14">
        <v>32.979999999999997</v>
      </c>
    </row>
    <row r="15" spans="1:6" x14ac:dyDescent="0.25">
      <c r="A15" t="s">
        <v>410</v>
      </c>
      <c r="B15" t="s">
        <v>447</v>
      </c>
      <c r="C15" t="s">
        <v>444</v>
      </c>
      <c r="D15" t="s">
        <v>439</v>
      </c>
      <c r="E15">
        <v>8</v>
      </c>
      <c r="F15">
        <v>20.11</v>
      </c>
    </row>
    <row r="16" spans="1:6" x14ac:dyDescent="0.25">
      <c r="A16" t="s">
        <v>409</v>
      </c>
      <c r="B16" t="s">
        <v>448</v>
      </c>
      <c r="C16" t="s">
        <v>444</v>
      </c>
      <c r="D16" t="s">
        <v>434</v>
      </c>
      <c r="E16">
        <v>13.89</v>
      </c>
      <c r="F16">
        <v>28.43</v>
      </c>
    </row>
    <row r="17" spans="1:6" x14ac:dyDescent="0.25">
      <c r="A17" t="s">
        <v>403</v>
      </c>
      <c r="B17" t="s">
        <v>449</v>
      </c>
      <c r="C17" t="s">
        <v>450</v>
      </c>
      <c r="D17" t="s">
        <v>451</v>
      </c>
      <c r="E17">
        <v>38.229999999999997</v>
      </c>
      <c r="F17">
        <v>76.55</v>
      </c>
    </row>
    <row r="18" spans="1:6" x14ac:dyDescent="0.25">
      <c r="A18" t="s">
        <v>413</v>
      </c>
      <c r="B18" t="s">
        <v>452</v>
      </c>
      <c r="C18" t="s">
        <v>450</v>
      </c>
      <c r="D18" t="s">
        <v>453</v>
      </c>
      <c r="E18">
        <v>21.95</v>
      </c>
      <c r="F18">
        <v>54.2</v>
      </c>
    </row>
    <row r="19" spans="1:6" x14ac:dyDescent="0.25">
      <c r="A19" t="s">
        <v>414</v>
      </c>
      <c r="B19" t="s">
        <v>454</v>
      </c>
      <c r="C19" t="s">
        <v>450</v>
      </c>
      <c r="D19" t="s">
        <v>451</v>
      </c>
      <c r="E19">
        <v>48.97</v>
      </c>
      <c r="F19">
        <v>116.8</v>
      </c>
    </row>
    <row r="20" spans="1:6" x14ac:dyDescent="0.25">
      <c r="A20" t="s">
        <v>412</v>
      </c>
      <c r="B20" t="s">
        <v>455</v>
      </c>
      <c r="C20" t="s">
        <v>450</v>
      </c>
      <c r="D20" t="s">
        <v>437</v>
      </c>
      <c r="E20">
        <v>29.14</v>
      </c>
      <c r="F20">
        <v>57.07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F5B3F-1AFC-418A-A212-79072EA13445}">
  <dimension ref="A1:E19"/>
  <sheetViews>
    <sheetView workbookViewId="0">
      <selection activeCell="G9" sqref="G9"/>
    </sheetView>
  </sheetViews>
  <sheetFormatPr defaultRowHeight="15" x14ac:dyDescent="0.25"/>
  <cols>
    <col min="2" max="2" width="12.5703125" customWidth="1"/>
    <col min="4" max="4" width="14.85546875" bestFit="1" customWidth="1"/>
    <col min="5" max="5" width="16.140625" customWidth="1"/>
  </cols>
  <sheetData>
    <row r="1" spans="1:5" x14ac:dyDescent="0.25">
      <c r="A1" s="3" t="s">
        <v>6</v>
      </c>
      <c r="B1" s="3" t="s">
        <v>456</v>
      </c>
      <c r="C1" s="3" t="s">
        <v>457</v>
      </c>
      <c r="D1" s="3" t="s">
        <v>2</v>
      </c>
      <c r="E1" s="3" t="s">
        <v>458</v>
      </c>
    </row>
    <row r="2" spans="1:5" x14ac:dyDescent="0.25">
      <c r="A2" t="s">
        <v>69</v>
      </c>
      <c r="B2" t="s">
        <v>459</v>
      </c>
      <c r="C2" t="s">
        <v>460</v>
      </c>
      <c r="D2" t="s">
        <v>27</v>
      </c>
      <c r="E2">
        <v>151.58000000000001</v>
      </c>
    </row>
    <row r="3" spans="1:5" x14ac:dyDescent="0.25">
      <c r="A3" t="s">
        <v>41</v>
      </c>
      <c r="B3" t="s">
        <v>461</v>
      </c>
      <c r="C3" t="s">
        <v>460</v>
      </c>
      <c r="D3" t="s">
        <v>9</v>
      </c>
      <c r="E3">
        <v>129.61000000000001</v>
      </c>
    </row>
    <row r="4" spans="1:5" x14ac:dyDescent="0.25">
      <c r="A4" t="s">
        <v>33</v>
      </c>
      <c r="B4" t="s">
        <v>462</v>
      </c>
      <c r="C4" t="s">
        <v>460</v>
      </c>
      <c r="D4" t="s">
        <v>9</v>
      </c>
      <c r="E4">
        <v>100.98</v>
      </c>
    </row>
    <row r="5" spans="1:5" x14ac:dyDescent="0.25">
      <c r="A5" t="s">
        <v>19</v>
      </c>
      <c r="B5" t="s">
        <v>461</v>
      </c>
      <c r="C5" t="s">
        <v>463</v>
      </c>
      <c r="D5" t="s">
        <v>27</v>
      </c>
      <c r="E5">
        <v>134.57</v>
      </c>
    </row>
    <row r="6" spans="1:5" x14ac:dyDescent="0.25">
      <c r="A6" t="s">
        <v>72</v>
      </c>
      <c r="B6" t="s">
        <v>464</v>
      </c>
      <c r="C6" t="s">
        <v>463</v>
      </c>
      <c r="D6" t="s">
        <v>9</v>
      </c>
      <c r="E6">
        <v>93.09</v>
      </c>
    </row>
    <row r="7" spans="1:5" x14ac:dyDescent="0.25">
      <c r="A7" t="s">
        <v>95</v>
      </c>
      <c r="B7" t="s">
        <v>465</v>
      </c>
      <c r="C7" t="s">
        <v>460</v>
      </c>
      <c r="D7" t="s">
        <v>9</v>
      </c>
      <c r="E7">
        <v>171.84</v>
      </c>
    </row>
    <row r="8" spans="1:5" x14ac:dyDescent="0.25">
      <c r="A8" t="s">
        <v>55</v>
      </c>
      <c r="B8" t="s">
        <v>466</v>
      </c>
      <c r="C8" t="s">
        <v>463</v>
      </c>
      <c r="D8" t="s">
        <v>15</v>
      </c>
      <c r="E8">
        <v>113.29</v>
      </c>
    </row>
    <row r="9" spans="1:5" x14ac:dyDescent="0.25">
      <c r="A9" t="s">
        <v>48</v>
      </c>
      <c r="B9" t="s">
        <v>467</v>
      </c>
      <c r="C9" t="s">
        <v>463</v>
      </c>
      <c r="D9" t="s">
        <v>9</v>
      </c>
      <c r="E9">
        <v>149.63</v>
      </c>
    </row>
    <row r="10" spans="1:5" x14ac:dyDescent="0.25">
      <c r="A10" t="s">
        <v>64</v>
      </c>
      <c r="B10" t="s">
        <v>468</v>
      </c>
      <c r="C10" t="s">
        <v>469</v>
      </c>
      <c r="D10" t="s">
        <v>9</v>
      </c>
      <c r="E10">
        <v>118.05</v>
      </c>
    </row>
    <row r="11" spans="1:5" x14ac:dyDescent="0.25">
      <c r="A11" t="s">
        <v>38</v>
      </c>
      <c r="B11" t="s">
        <v>470</v>
      </c>
      <c r="C11" t="s">
        <v>460</v>
      </c>
      <c r="D11" t="s">
        <v>27</v>
      </c>
      <c r="E11">
        <v>136.81</v>
      </c>
    </row>
    <row r="12" spans="1:5" x14ac:dyDescent="0.25">
      <c r="A12" t="s">
        <v>43</v>
      </c>
      <c r="B12" t="s">
        <v>471</v>
      </c>
      <c r="C12" t="s">
        <v>460</v>
      </c>
      <c r="D12" t="s">
        <v>15</v>
      </c>
      <c r="E12">
        <v>139.19999999999999</v>
      </c>
    </row>
    <row r="13" spans="1:5" x14ac:dyDescent="0.25">
      <c r="A13" t="s">
        <v>74</v>
      </c>
      <c r="B13" t="s">
        <v>472</v>
      </c>
      <c r="C13" t="s">
        <v>463</v>
      </c>
      <c r="D13" t="s">
        <v>9</v>
      </c>
      <c r="E13">
        <v>106.64</v>
      </c>
    </row>
    <row r="14" spans="1:5" x14ac:dyDescent="0.25">
      <c r="A14" t="s">
        <v>36</v>
      </c>
      <c r="B14" t="s">
        <v>471</v>
      </c>
      <c r="C14" t="s">
        <v>463</v>
      </c>
      <c r="D14" t="s">
        <v>27</v>
      </c>
      <c r="E14">
        <v>177.26</v>
      </c>
    </row>
    <row r="15" spans="1:5" x14ac:dyDescent="0.25">
      <c r="A15" t="s">
        <v>23</v>
      </c>
      <c r="B15" t="s">
        <v>472</v>
      </c>
      <c r="C15" t="s">
        <v>460</v>
      </c>
      <c r="D15" t="s">
        <v>9</v>
      </c>
      <c r="E15">
        <v>159.76</v>
      </c>
    </row>
    <row r="16" spans="1:5" x14ac:dyDescent="0.25">
      <c r="A16" t="s">
        <v>29</v>
      </c>
      <c r="B16" t="s">
        <v>473</v>
      </c>
      <c r="C16" t="s">
        <v>460</v>
      </c>
      <c r="D16" t="s">
        <v>27</v>
      </c>
      <c r="E16">
        <v>174.55</v>
      </c>
    </row>
    <row r="17" spans="1:5" x14ac:dyDescent="0.25">
      <c r="A17" t="s">
        <v>13</v>
      </c>
      <c r="B17" t="s">
        <v>473</v>
      </c>
      <c r="C17" t="s">
        <v>469</v>
      </c>
      <c r="D17" t="s">
        <v>27</v>
      </c>
      <c r="E17">
        <v>170.53</v>
      </c>
    </row>
    <row r="18" spans="1:5" x14ac:dyDescent="0.25">
      <c r="A18" t="s">
        <v>45</v>
      </c>
      <c r="B18" t="s">
        <v>474</v>
      </c>
      <c r="C18" t="s">
        <v>460</v>
      </c>
      <c r="D18" t="s">
        <v>15</v>
      </c>
      <c r="E18">
        <v>143.81</v>
      </c>
    </row>
    <row r="19" spans="1:5" x14ac:dyDescent="0.25">
      <c r="A19" t="s">
        <v>61</v>
      </c>
      <c r="B19" t="s">
        <v>461</v>
      </c>
      <c r="C19" t="s">
        <v>460</v>
      </c>
      <c r="D19" t="s">
        <v>9</v>
      </c>
      <c r="E19">
        <v>172.97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81494-AC1D-4983-9724-9AC52BF59D23}">
  <dimension ref="A1:E20"/>
  <sheetViews>
    <sheetView workbookViewId="0">
      <selection activeCell="N33" sqref="N33"/>
    </sheetView>
  </sheetViews>
  <sheetFormatPr defaultRowHeight="15" x14ac:dyDescent="0.25"/>
  <cols>
    <col min="2" max="2" width="13.42578125" customWidth="1"/>
    <col min="3" max="3" width="15" customWidth="1"/>
    <col min="4" max="4" width="15.85546875" customWidth="1"/>
    <col min="5" max="5" width="17.5703125" customWidth="1"/>
  </cols>
  <sheetData>
    <row r="1" spans="1:5" x14ac:dyDescent="0.25">
      <c r="A1" s="3" t="s">
        <v>398</v>
      </c>
      <c r="B1" s="3" t="s">
        <v>475</v>
      </c>
      <c r="C1" s="3" t="s">
        <v>476</v>
      </c>
      <c r="D1" s="3" t="s">
        <v>477</v>
      </c>
      <c r="E1" s="3" t="s">
        <v>478</v>
      </c>
    </row>
    <row r="2" spans="1:5" x14ac:dyDescent="0.25">
      <c r="A2" t="s">
        <v>416</v>
      </c>
      <c r="B2">
        <v>198</v>
      </c>
      <c r="C2">
        <v>36</v>
      </c>
      <c r="D2">
        <v>3</v>
      </c>
      <c r="E2" s="2">
        <v>45876</v>
      </c>
    </row>
    <row r="3" spans="1:5" x14ac:dyDescent="0.25">
      <c r="A3" t="s">
        <v>415</v>
      </c>
      <c r="B3">
        <v>152</v>
      </c>
      <c r="C3">
        <v>30</v>
      </c>
      <c r="D3">
        <v>6</v>
      </c>
      <c r="E3" s="2">
        <v>45861</v>
      </c>
    </row>
    <row r="4" spans="1:5" x14ac:dyDescent="0.25">
      <c r="A4" t="s">
        <v>417</v>
      </c>
      <c r="B4">
        <v>120</v>
      </c>
      <c r="C4">
        <v>25</v>
      </c>
      <c r="D4">
        <v>6</v>
      </c>
      <c r="E4" s="2">
        <v>45882</v>
      </c>
    </row>
    <row r="5" spans="1:5" x14ac:dyDescent="0.25">
      <c r="A5" t="s">
        <v>405</v>
      </c>
      <c r="B5">
        <v>130</v>
      </c>
      <c r="C5">
        <v>42</v>
      </c>
      <c r="D5">
        <v>4</v>
      </c>
      <c r="E5" s="2">
        <v>45864</v>
      </c>
    </row>
    <row r="6" spans="1:5" x14ac:dyDescent="0.25">
      <c r="A6" t="s">
        <v>407</v>
      </c>
      <c r="B6">
        <v>176</v>
      </c>
      <c r="C6">
        <v>46</v>
      </c>
      <c r="D6">
        <v>3</v>
      </c>
      <c r="E6" s="2">
        <v>45871</v>
      </c>
    </row>
    <row r="7" spans="1:5" x14ac:dyDescent="0.25">
      <c r="A7" t="s">
        <v>418</v>
      </c>
      <c r="B7">
        <v>81</v>
      </c>
      <c r="C7">
        <v>25</v>
      </c>
      <c r="D7">
        <v>3</v>
      </c>
      <c r="E7" s="2">
        <v>45868</v>
      </c>
    </row>
    <row r="8" spans="1:5" x14ac:dyDescent="0.25">
      <c r="A8" t="s">
        <v>408</v>
      </c>
      <c r="B8">
        <v>45</v>
      </c>
      <c r="C8">
        <v>57</v>
      </c>
      <c r="D8">
        <v>4</v>
      </c>
      <c r="E8" s="2">
        <v>45840</v>
      </c>
    </row>
    <row r="9" spans="1:5" x14ac:dyDescent="0.25">
      <c r="A9" t="s">
        <v>406</v>
      </c>
      <c r="B9">
        <v>89</v>
      </c>
      <c r="C9">
        <v>21</v>
      </c>
      <c r="D9">
        <v>5</v>
      </c>
      <c r="E9" s="2">
        <v>45864</v>
      </c>
    </row>
    <row r="10" spans="1:5" x14ac:dyDescent="0.25">
      <c r="A10" t="s">
        <v>419</v>
      </c>
      <c r="B10">
        <v>85</v>
      </c>
      <c r="C10">
        <v>41</v>
      </c>
      <c r="D10">
        <v>3</v>
      </c>
      <c r="E10" s="2">
        <v>45873</v>
      </c>
    </row>
    <row r="11" spans="1:5" x14ac:dyDescent="0.25">
      <c r="A11" t="s">
        <v>401</v>
      </c>
      <c r="B11">
        <v>80</v>
      </c>
      <c r="C11">
        <v>39</v>
      </c>
      <c r="D11">
        <v>2</v>
      </c>
      <c r="E11" s="2">
        <v>45861</v>
      </c>
    </row>
    <row r="12" spans="1:5" x14ac:dyDescent="0.25">
      <c r="A12" t="s">
        <v>402</v>
      </c>
      <c r="B12">
        <v>84</v>
      </c>
      <c r="C12">
        <v>44</v>
      </c>
      <c r="D12">
        <v>4</v>
      </c>
      <c r="E12" s="2">
        <v>45845</v>
      </c>
    </row>
    <row r="13" spans="1:5" x14ac:dyDescent="0.25">
      <c r="A13" t="s">
        <v>411</v>
      </c>
      <c r="B13">
        <v>55</v>
      </c>
      <c r="C13">
        <v>34</v>
      </c>
      <c r="D13">
        <v>3</v>
      </c>
      <c r="E13" s="2">
        <v>45850</v>
      </c>
    </row>
    <row r="14" spans="1:5" x14ac:dyDescent="0.25">
      <c r="A14" t="s">
        <v>404</v>
      </c>
      <c r="B14">
        <v>174</v>
      </c>
      <c r="C14">
        <v>48</v>
      </c>
      <c r="D14">
        <v>5</v>
      </c>
      <c r="E14" s="2">
        <v>45884</v>
      </c>
    </row>
    <row r="15" spans="1:5" x14ac:dyDescent="0.25">
      <c r="A15" t="s">
        <v>410</v>
      </c>
      <c r="B15">
        <v>34</v>
      </c>
      <c r="C15">
        <v>27</v>
      </c>
      <c r="D15">
        <v>3</v>
      </c>
      <c r="E15" s="2">
        <v>45868</v>
      </c>
    </row>
    <row r="16" spans="1:5" x14ac:dyDescent="0.25">
      <c r="A16" t="s">
        <v>409</v>
      </c>
      <c r="B16">
        <v>199</v>
      </c>
      <c r="C16">
        <v>56</v>
      </c>
      <c r="D16">
        <v>6</v>
      </c>
      <c r="E16" s="2">
        <v>45854</v>
      </c>
    </row>
    <row r="17" spans="1:5" x14ac:dyDescent="0.25">
      <c r="A17" t="s">
        <v>403</v>
      </c>
      <c r="B17">
        <v>192</v>
      </c>
      <c r="C17">
        <v>52</v>
      </c>
      <c r="D17">
        <v>2</v>
      </c>
      <c r="E17" s="2">
        <v>45878</v>
      </c>
    </row>
    <row r="18" spans="1:5" x14ac:dyDescent="0.25">
      <c r="A18" t="s">
        <v>413</v>
      </c>
      <c r="B18">
        <v>167</v>
      </c>
      <c r="C18">
        <v>41</v>
      </c>
      <c r="D18">
        <v>4</v>
      </c>
      <c r="E18" s="2">
        <v>45887</v>
      </c>
    </row>
    <row r="19" spans="1:5" x14ac:dyDescent="0.25">
      <c r="A19" t="s">
        <v>414</v>
      </c>
      <c r="B19">
        <v>154</v>
      </c>
      <c r="C19">
        <v>24</v>
      </c>
      <c r="D19">
        <v>6</v>
      </c>
      <c r="E19" s="2">
        <v>45869</v>
      </c>
    </row>
    <row r="20" spans="1:5" x14ac:dyDescent="0.25">
      <c r="A20" t="s">
        <v>412</v>
      </c>
      <c r="B20">
        <v>53</v>
      </c>
      <c r="C20">
        <v>58</v>
      </c>
      <c r="D20">
        <v>5</v>
      </c>
      <c r="E20" s="2">
        <v>45850</v>
      </c>
    </row>
  </sheetData>
  <conditionalFormatting sqref="A2:E20">
    <cfRule type="expression" dxfId="110" priority="1">
      <formula>$B2&lt;$C2</formula>
    </cfRule>
  </conditionalFormatting>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919B-2562-4EC6-B640-5F3C0D162820}">
  <dimension ref="A1:D11"/>
  <sheetViews>
    <sheetView workbookViewId="0">
      <selection activeCell="H14" sqref="H14"/>
    </sheetView>
  </sheetViews>
  <sheetFormatPr defaultRowHeight="15" x14ac:dyDescent="0.25"/>
  <cols>
    <col min="1" max="1" width="12.42578125" customWidth="1"/>
    <col min="2" max="2" width="15.85546875" customWidth="1"/>
  </cols>
  <sheetData>
    <row r="1" spans="1:4" x14ac:dyDescent="0.25">
      <c r="A1" s="3" t="s">
        <v>422</v>
      </c>
      <c r="B1" s="3" t="s">
        <v>479</v>
      </c>
      <c r="C1" s="3" t="s">
        <v>480</v>
      </c>
      <c r="D1" s="3" t="s">
        <v>481</v>
      </c>
    </row>
    <row r="2" spans="1:4" x14ac:dyDescent="0.25">
      <c r="A2" t="s">
        <v>428</v>
      </c>
      <c r="B2" t="s">
        <v>482</v>
      </c>
      <c r="C2" t="s">
        <v>483</v>
      </c>
      <c r="D2" t="s">
        <v>484</v>
      </c>
    </row>
    <row r="3" spans="1:4" x14ac:dyDescent="0.25">
      <c r="A3" t="s">
        <v>451</v>
      </c>
      <c r="B3" t="s">
        <v>485</v>
      </c>
      <c r="C3" t="s">
        <v>486</v>
      </c>
      <c r="D3" t="s">
        <v>487</v>
      </c>
    </row>
    <row r="4" spans="1:4" x14ac:dyDescent="0.25">
      <c r="A4" t="s">
        <v>432</v>
      </c>
      <c r="B4" t="s">
        <v>488</v>
      </c>
      <c r="C4" t="s">
        <v>486</v>
      </c>
      <c r="D4" t="s">
        <v>489</v>
      </c>
    </row>
    <row r="5" spans="1:4" x14ac:dyDescent="0.25">
      <c r="A5" t="s">
        <v>439</v>
      </c>
      <c r="B5" t="s">
        <v>490</v>
      </c>
      <c r="C5" t="s">
        <v>491</v>
      </c>
      <c r="D5" t="s">
        <v>492</v>
      </c>
    </row>
    <row r="6" spans="1:4" x14ac:dyDescent="0.25">
      <c r="A6" t="s">
        <v>430</v>
      </c>
      <c r="B6" t="s">
        <v>493</v>
      </c>
      <c r="C6" t="s">
        <v>486</v>
      </c>
      <c r="D6" t="s">
        <v>494</v>
      </c>
    </row>
    <row r="7" spans="1:4" x14ac:dyDescent="0.25">
      <c r="A7" t="s">
        <v>434</v>
      </c>
      <c r="B7" t="s">
        <v>495</v>
      </c>
      <c r="C7" t="s">
        <v>483</v>
      </c>
      <c r="D7" t="s">
        <v>496</v>
      </c>
    </row>
    <row r="8" spans="1:4" x14ac:dyDescent="0.25">
      <c r="A8" t="s">
        <v>437</v>
      </c>
      <c r="B8" t="s">
        <v>497</v>
      </c>
      <c r="C8" t="s">
        <v>483</v>
      </c>
      <c r="D8" t="s">
        <v>498</v>
      </c>
    </row>
    <row r="9" spans="1:4" x14ac:dyDescent="0.25">
      <c r="A9" t="s">
        <v>499</v>
      </c>
      <c r="B9" t="s">
        <v>500</v>
      </c>
      <c r="C9" t="s">
        <v>501</v>
      </c>
      <c r="D9" t="s">
        <v>502</v>
      </c>
    </row>
    <row r="10" spans="1:4" x14ac:dyDescent="0.25">
      <c r="A10" t="s">
        <v>426</v>
      </c>
      <c r="B10" t="s">
        <v>503</v>
      </c>
      <c r="C10" t="s">
        <v>483</v>
      </c>
      <c r="D10" t="s">
        <v>504</v>
      </c>
    </row>
    <row r="11" spans="1:4" x14ac:dyDescent="0.25">
      <c r="A11" t="s">
        <v>453</v>
      </c>
      <c r="B11" t="s">
        <v>505</v>
      </c>
      <c r="C11" t="s">
        <v>491</v>
      </c>
      <c r="D11" t="s">
        <v>506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0431B-FB71-4BDB-8109-D4938E111231}">
  <dimension ref="A1:E121"/>
  <sheetViews>
    <sheetView workbookViewId="0">
      <selection activeCell="E2" sqref="E2"/>
    </sheetView>
  </sheetViews>
  <sheetFormatPr defaultRowHeight="15" x14ac:dyDescent="0.25"/>
  <cols>
    <col min="1" max="1" width="10.140625" bestFit="1" customWidth="1"/>
    <col min="4" max="4" width="9.5703125" customWidth="1"/>
  </cols>
  <sheetData>
    <row r="1" spans="1:5" x14ac:dyDescent="0.25">
      <c r="A1" s="3" t="s">
        <v>507</v>
      </c>
      <c r="B1" s="3" t="s">
        <v>398</v>
      </c>
      <c r="C1" s="3" t="s">
        <v>399</v>
      </c>
      <c r="D1" s="3" t="s">
        <v>508</v>
      </c>
      <c r="E1" s="3" t="s">
        <v>551</v>
      </c>
    </row>
    <row r="2" spans="1:5" x14ac:dyDescent="0.25">
      <c r="A2" s="2">
        <v>45867</v>
      </c>
      <c r="B2" t="s">
        <v>411</v>
      </c>
      <c r="C2">
        <v>2</v>
      </c>
      <c r="D2" t="s">
        <v>509</v>
      </c>
      <c r="E2">
        <f>WasteLog[[#This Row],[Qty]]*VLOOKUP(WasteLog[[#This Row],[SKU]],Menu[],MATCH("UnitCost",Menu[#Headers],0),FALSE)</f>
        <v>18.760000000000002</v>
      </c>
    </row>
    <row r="3" spans="1:5" x14ac:dyDescent="0.25">
      <c r="A3" s="2">
        <v>45860</v>
      </c>
      <c r="B3" t="s">
        <v>407</v>
      </c>
      <c r="C3">
        <v>4</v>
      </c>
      <c r="D3" t="s">
        <v>510</v>
      </c>
      <c r="E3">
        <f>WasteLog[[#This Row],[Qty]]*VLOOKUP(WasteLog[[#This Row],[SKU]],Menu[],MATCH("UnitCost",Menu[#Headers],0),FALSE)</f>
        <v>448.32</v>
      </c>
    </row>
    <row r="4" spans="1:5" x14ac:dyDescent="0.25">
      <c r="A4" s="2">
        <v>45853</v>
      </c>
      <c r="B4" t="s">
        <v>409</v>
      </c>
      <c r="C4">
        <v>2</v>
      </c>
      <c r="D4" t="s">
        <v>511</v>
      </c>
      <c r="E4">
        <f>WasteLog[[#This Row],[Qty]]*VLOOKUP(WasteLog[[#This Row],[SKU]],Menu[],MATCH("UnitCost",Menu[#Headers],0),FALSE)</f>
        <v>27.78</v>
      </c>
    </row>
    <row r="5" spans="1:5" x14ac:dyDescent="0.25">
      <c r="A5" s="2">
        <v>45879</v>
      </c>
      <c r="B5" t="s">
        <v>414</v>
      </c>
      <c r="C5">
        <v>2</v>
      </c>
      <c r="D5" t="s">
        <v>510</v>
      </c>
      <c r="E5">
        <f>WasteLog[[#This Row],[Qty]]*VLOOKUP(WasteLog[[#This Row],[SKU]],Menu[],MATCH("UnitCost",Menu[#Headers],0),FALSE)</f>
        <v>97.94</v>
      </c>
    </row>
    <row r="6" spans="1:5" x14ac:dyDescent="0.25">
      <c r="A6" s="2">
        <v>45891</v>
      </c>
      <c r="B6" t="s">
        <v>408</v>
      </c>
      <c r="C6">
        <v>2</v>
      </c>
      <c r="D6" t="s">
        <v>509</v>
      </c>
      <c r="E6">
        <f>WasteLog[[#This Row],[Qty]]*VLOOKUP(WasteLog[[#This Row],[SKU]],Menu[],MATCH("UnitCost",Menu[#Headers],0),FALSE)</f>
        <v>71.62</v>
      </c>
    </row>
    <row r="7" spans="1:5" x14ac:dyDescent="0.25">
      <c r="A7" s="2">
        <v>45896</v>
      </c>
      <c r="B7" t="s">
        <v>417</v>
      </c>
      <c r="C7">
        <v>1</v>
      </c>
      <c r="D7" t="s">
        <v>510</v>
      </c>
      <c r="E7">
        <f>WasteLog[[#This Row],[Qty]]*VLOOKUP(WasteLog[[#This Row],[SKU]],Menu[],MATCH("UnitCost",Menu[#Headers],0),FALSE)</f>
        <v>80.92</v>
      </c>
    </row>
    <row r="8" spans="1:5" x14ac:dyDescent="0.25">
      <c r="A8" s="2">
        <v>45890</v>
      </c>
      <c r="B8" t="s">
        <v>411</v>
      </c>
      <c r="C8">
        <v>3</v>
      </c>
      <c r="D8" t="s">
        <v>512</v>
      </c>
      <c r="E8">
        <f>WasteLog[[#This Row],[Qty]]*VLOOKUP(WasteLog[[#This Row],[SKU]],Menu[],MATCH("UnitCost",Menu[#Headers],0),FALSE)</f>
        <v>28.14</v>
      </c>
    </row>
    <row r="9" spans="1:5" x14ac:dyDescent="0.25">
      <c r="A9" s="2">
        <v>45893</v>
      </c>
      <c r="B9" t="s">
        <v>405</v>
      </c>
      <c r="C9">
        <v>1</v>
      </c>
      <c r="D9" t="s">
        <v>512</v>
      </c>
      <c r="E9">
        <f>WasteLog[[#This Row],[Qty]]*VLOOKUP(WasteLog[[#This Row],[SKU]],Menu[],MATCH("UnitCost",Menu[#Headers],0),FALSE)</f>
        <v>74.069999999999993</v>
      </c>
    </row>
    <row r="10" spans="1:5" x14ac:dyDescent="0.25">
      <c r="A10" s="2">
        <v>45892</v>
      </c>
      <c r="B10" t="s">
        <v>413</v>
      </c>
      <c r="C10">
        <v>2</v>
      </c>
      <c r="D10" t="s">
        <v>509</v>
      </c>
      <c r="E10">
        <f>WasteLog[[#This Row],[Qty]]*VLOOKUP(WasteLog[[#This Row],[SKU]],Menu[],MATCH("UnitCost",Menu[#Headers],0),FALSE)</f>
        <v>43.9</v>
      </c>
    </row>
    <row r="11" spans="1:5" x14ac:dyDescent="0.25">
      <c r="A11" s="2">
        <v>45894</v>
      </c>
      <c r="B11" t="s">
        <v>414</v>
      </c>
      <c r="C11">
        <v>1</v>
      </c>
      <c r="D11" t="s">
        <v>509</v>
      </c>
      <c r="E11">
        <f>WasteLog[[#This Row],[Qty]]*VLOOKUP(WasteLog[[#This Row],[SKU]],Menu[],MATCH("UnitCost",Menu[#Headers],0),FALSE)</f>
        <v>48.97</v>
      </c>
    </row>
    <row r="12" spans="1:5" x14ac:dyDescent="0.25">
      <c r="A12" s="2">
        <v>45854</v>
      </c>
      <c r="B12" t="s">
        <v>402</v>
      </c>
      <c r="C12">
        <v>1</v>
      </c>
      <c r="D12" t="s">
        <v>510</v>
      </c>
      <c r="E12">
        <f>WasteLog[[#This Row],[Qty]]*VLOOKUP(WasteLog[[#This Row],[SKU]],Menu[],MATCH("UnitCost",Menu[#Headers],0),FALSE)</f>
        <v>14.18</v>
      </c>
    </row>
    <row r="13" spans="1:5" x14ac:dyDescent="0.25">
      <c r="A13" s="2">
        <v>45850</v>
      </c>
      <c r="B13" t="s">
        <v>408</v>
      </c>
      <c r="C13">
        <v>4</v>
      </c>
      <c r="D13" t="s">
        <v>510</v>
      </c>
      <c r="E13">
        <f>WasteLog[[#This Row],[Qty]]*VLOOKUP(WasteLog[[#This Row],[SKU]],Menu[],MATCH("UnitCost",Menu[#Headers],0),FALSE)</f>
        <v>143.24</v>
      </c>
    </row>
    <row r="14" spans="1:5" x14ac:dyDescent="0.25">
      <c r="A14" s="2">
        <v>45847</v>
      </c>
      <c r="B14" t="s">
        <v>413</v>
      </c>
      <c r="C14">
        <v>1</v>
      </c>
      <c r="D14" t="s">
        <v>510</v>
      </c>
      <c r="E14">
        <f>WasteLog[[#This Row],[Qty]]*VLOOKUP(WasteLog[[#This Row],[SKU]],Menu[],MATCH("UnitCost",Menu[#Headers],0),FALSE)</f>
        <v>21.95</v>
      </c>
    </row>
    <row r="15" spans="1:5" x14ac:dyDescent="0.25">
      <c r="A15" s="2">
        <v>45844</v>
      </c>
      <c r="B15" t="s">
        <v>409</v>
      </c>
      <c r="C15">
        <v>4</v>
      </c>
      <c r="D15" t="s">
        <v>509</v>
      </c>
      <c r="E15">
        <f>WasteLog[[#This Row],[Qty]]*VLOOKUP(WasteLog[[#This Row],[SKU]],Menu[],MATCH("UnitCost",Menu[#Headers],0),FALSE)</f>
        <v>55.56</v>
      </c>
    </row>
    <row r="16" spans="1:5" x14ac:dyDescent="0.25">
      <c r="A16" s="2">
        <v>45888</v>
      </c>
      <c r="B16" t="s">
        <v>410</v>
      </c>
      <c r="C16">
        <v>2</v>
      </c>
      <c r="D16" t="s">
        <v>510</v>
      </c>
      <c r="E16">
        <f>WasteLog[[#This Row],[Qty]]*VLOOKUP(WasteLog[[#This Row],[SKU]],Menu[],MATCH("UnitCost",Menu[#Headers],0),FALSE)</f>
        <v>16</v>
      </c>
    </row>
    <row r="17" spans="1:5" x14ac:dyDescent="0.25">
      <c r="A17" s="2">
        <v>45893</v>
      </c>
      <c r="B17" t="s">
        <v>415</v>
      </c>
      <c r="C17">
        <v>1</v>
      </c>
      <c r="D17" t="s">
        <v>510</v>
      </c>
      <c r="E17">
        <f>WasteLog[[#This Row],[Qty]]*VLOOKUP(WasteLog[[#This Row],[SKU]],Menu[],MATCH("UnitCost",Menu[#Headers],0),FALSE)</f>
        <v>121.24</v>
      </c>
    </row>
    <row r="18" spans="1:5" x14ac:dyDescent="0.25">
      <c r="A18" s="2">
        <v>45868</v>
      </c>
      <c r="B18" t="s">
        <v>416</v>
      </c>
      <c r="C18">
        <v>3</v>
      </c>
      <c r="D18" t="s">
        <v>510</v>
      </c>
      <c r="E18">
        <f>WasteLog[[#This Row],[Qty]]*VLOOKUP(WasteLog[[#This Row],[SKU]],Menu[],MATCH("UnitCost",Menu[#Headers],0),FALSE)</f>
        <v>288.65999999999997</v>
      </c>
    </row>
    <row r="19" spans="1:5" x14ac:dyDescent="0.25">
      <c r="A19" s="2">
        <v>45863</v>
      </c>
      <c r="B19" t="s">
        <v>416</v>
      </c>
      <c r="C19">
        <v>2</v>
      </c>
      <c r="D19" t="s">
        <v>509</v>
      </c>
      <c r="E19">
        <f>WasteLog[[#This Row],[Qty]]*VLOOKUP(WasteLog[[#This Row],[SKU]],Menu[],MATCH("UnitCost",Menu[#Headers],0),FALSE)</f>
        <v>192.44</v>
      </c>
    </row>
    <row r="20" spans="1:5" x14ac:dyDescent="0.25">
      <c r="A20" s="2">
        <v>45895</v>
      </c>
      <c r="B20" t="s">
        <v>417</v>
      </c>
      <c r="C20">
        <v>4</v>
      </c>
      <c r="D20" t="s">
        <v>512</v>
      </c>
      <c r="E20">
        <f>WasteLog[[#This Row],[Qty]]*VLOOKUP(WasteLog[[#This Row],[SKU]],Menu[],MATCH("UnitCost",Menu[#Headers],0),FALSE)</f>
        <v>323.68</v>
      </c>
    </row>
    <row r="21" spans="1:5" x14ac:dyDescent="0.25">
      <c r="A21" s="2">
        <v>45880</v>
      </c>
      <c r="B21" t="s">
        <v>411</v>
      </c>
      <c r="C21">
        <v>2</v>
      </c>
      <c r="D21" t="s">
        <v>512</v>
      </c>
      <c r="E21">
        <f>WasteLog[[#This Row],[Qty]]*VLOOKUP(WasteLog[[#This Row],[SKU]],Menu[],MATCH("UnitCost",Menu[#Headers],0),FALSE)</f>
        <v>18.760000000000002</v>
      </c>
    </row>
    <row r="22" spans="1:5" x14ac:dyDescent="0.25">
      <c r="A22" s="2">
        <v>45891</v>
      </c>
      <c r="B22" t="s">
        <v>415</v>
      </c>
      <c r="C22">
        <v>1</v>
      </c>
      <c r="D22" t="s">
        <v>512</v>
      </c>
      <c r="E22">
        <f>WasteLog[[#This Row],[Qty]]*VLOOKUP(WasteLog[[#This Row],[SKU]],Menu[],MATCH("UnitCost",Menu[#Headers],0),FALSE)</f>
        <v>121.24</v>
      </c>
    </row>
    <row r="23" spans="1:5" x14ac:dyDescent="0.25">
      <c r="A23" s="2">
        <v>45884</v>
      </c>
      <c r="B23" t="s">
        <v>415</v>
      </c>
      <c r="C23">
        <v>2</v>
      </c>
      <c r="D23" t="s">
        <v>511</v>
      </c>
      <c r="E23">
        <f>WasteLog[[#This Row],[Qty]]*VLOOKUP(WasteLog[[#This Row],[SKU]],Menu[],MATCH("UnitCost",Menu[#Headers],0),FALSE)</f>
        <v>242.48</v>
      </c>
    </row>
    <row r="24" spans="1:5" x14ac:dyDescent="0.25">
      <c r="A24" s="2">
        <v>45878</v>
      </c>
      <c r="B24" t="s">
        <v>418</v>
      </c>
      <c r="C24">
        <v>4</v>
      </c>
      <c r="D24" t="s">
        <v>509</v>
      </c>
      <c r="E24">
        <f>WasteLog[[#This Row],[Qty]]*VLOOKUP(WasteLog[[#This Row],[SKU]],Menu[],MATCH("UnitCost",Menu[#Headers],0),FALSE)</f>
        <v>62.04</v>
      </c>
    </row>
    <row r="25" spans="1:5" x14ac:dyDescent="0.25">
      <c r="A25" s="2">
        <v>45879</v>
      </c>
      <c r="B25" t="s">
        <v>411</v>
      </c>
      <c r="C25">
        <v>1</v>
      </c>
      <c r="D25" t="s">
        <v>510</v>
      </c>
      <c r="E25">
        <f>WasteLog[[#This Row],[Qty]]*VLOOKUP(WasteLog[[#This Row],[SKU]],Menu[],MATCH("UnitCost",Menu[#Headers],0),FALSE)</f>
        <v>9.3800000000000008</v>
      </c>
    </row>
    <row r="26" spans="1:5" x14ac:dyDescent="0.25">
      <c r="A26" s="2">
        <v>45882</v>
      </c>
      <c r="B26" t="s">
        <v>404</v>
      </c>
      <c r="C26">
        <v>4</v>
      </c>
      <c r="D26" t="s">
        <v>510</v>
      </c>
      <c r="E26">
        <f>WasteLog[[#This Row],[Qty]]*VLOOKUP(WasteLog[[#This Row],[SKU]],Menu[],MATCH("UnitCost",Menu[#Headers],0),FALSE)</f>
        <v>47.36</v>
      </c>
    </row>
    <row r="27" spans="1:5" x14ac:dyDescent="0.25">
      <c r="A27" s="2">
        <v>45846</v>
      </c>
      <c r="B27" t="s">
        <v>414</v>
      </c>
      <c r="C27">
        <v>1</v>
      </c>
      <c r="D27" t="s">
        <v>509</v>
      </c>
      <c r="E27">
        <f>WasteLog[[#This Row],[Qty]]*VLOOKUP(WasteLog[[#This Row],[SKU]],Menu[],MATCH("UnitCost",Menu[#Headers],0),FALSE)</f>
        <v>48.97</v>
      </c>
    </row>
    <row r="28" spans="1:5" x14ac:dyDescent="0.25">
      <c r="A28" s="2">
        <v>45872</v>
      </c>
      <c r="B28" t="s">
        <v>405</v>
      </c>
      <c r="C28">
        <v>1</v>
      </c>
      <c r="D28" t="s">
        <v>509</v>
      </c>
      <c r="E28">
        <f>WasteLog[[#This Row],[Qty]]*VLOOKUP(WasteLog[[#This Row],[SKU]],Menu[],MATCH("UnitCost",Menu[#Headers],0),FALSE)</f>
        <v>74.069999999999993</v>
      </c>
    </row>
    <row r="29" spans="1:5" x14ac:dyDescent="0.25">
      <c r="A29" s="2">
        <v>45891</v>
      </c>
      <c r="B29" t="s">
        <v>404</v>
      </c>
      <c r="C29">
        <v>2</v>
      </c>
      <c r="D29" t="s">
        <v>509</v>
      </c>
      <c r="E29">
        <f>WasteLog[[#This Row],[Qty]]*VLOOKUP(WasteLog[[#This Row],[SKU]],Menu[],MATCH("UnitCost",Menu[#Headers],0),FALSE)</f>
        <v>23.68</v>
      </c>
    </row>
    <row r="30" spans="1:5" x14ac:dyDescent="0.25">
      <c r="A30" s="2">
        <v>45860</v>
      </c>
      <c r="B30" t="s">
        <v>416</v>
      </c>
      <c r="C30">
        <v>3</v>
      </c>
      <c r="D30" t="s">
        <v>512</v>
      </c>
      <c r="E30">
        <f>WasteLog[[#This Row],[Qty]]*VLOOKUP(WasteLog[[#This Row],[SKU]],Menu[],MATCH("UnitCost",Menu[#Headers],0),FALSE)</f>
        <v>288.65999999999997</v>
      </c>
    </row>
    <row r="31" spans="1:5" x14ac:dyDescent="0.25">
      <c r="A31" s="2">
        <v>45867</v>
      </c>
      <c r="B31" t="s">
        <v>409</v>
      </c>
      <c r="C31">
        <v>2</v>
      </c>
      <c r="D31" t="s">
        <v>510</v>
      </c>
      <c r="E31">
        <f>WasteLog[[#This Row],[Qty]]*VLOOKUP(WasteLog[[#This Row],[SKU]],Menu[],MATCH("UnitCost",Menu[#Headers],0),FALSE)</f>
        <v>27.78</v>
      </c>
    </row>
    <row r="32" spans="1:5" x14ac:dyDescent="0.25">
      <c r="A32" s="2">
        <v>45890</v>
      </c>
      <c r="B32" t="s">
        <v>404</v>
      </c>
      <c r="C32">
        <v>1</v>
      </c>
      <c r="D32" t="s">
        <v>509</v>
      </c>
      <c r="E32">
        <f>WasteLog[[#This Row],[Qty]]*VLOOKUP(WasteLog[[#This Row],[SKU]],Menu[],MATCH("UnitCost",Menu[#Headers],0),FALSE)</f>
        <v>11.84</v>
      </c>
    </row>
    <row r="33" spans="1:5" x14ac:dyDescent="0.25">
      <c r="A33" s="2">
        <v>45863</v>
      </c>
      <c r="B33" t="s">
        <v>409</v>
      </c>
      <c r="C33">
        <v>1</v>
      </c>
      <c r="D33" t="s">
        <v>511</v>
      </c>
      <c r="E33">
        <f>WasteLog[[#This Row],[Qty]]*VLOOKUP(WasteLog[[#This Row],[SKU]],Menu[],MATCH("UnitCost",Menu[#Headers],0),FALSE)</f>
        <v>13.89</v>
      </c>
    </row>
    <row r="34" spans="1:5" x14ac:dyDescent="0.25">
      <c r="A34" s="2">
        <v>45854</v>
      </c>
      <c r="B34" t="s">
        <v>419</v>
      </c>
      <c r="C34">
        <v>4</v>
      </c>
      <c r="D34" t="s">
        <v>509</v>
      </c>
      <c r="E34">
        <f>WasteLog[[#This Row],[Qty]]*VLOOKUP(WasteLog[[#This Row],[SKU]],Menu[],MATCH("UnitCost",Menu[#Headers],0),FALSE)</f>
        <v>90.44</v>
      </c>
    </row>
    <row r="35" spans="1:5" x14ac:dyDescent="0.25">
      <c r="A35" s="2">
        <v>45849</v>
      </c>
      <c r="B35" t="s">
        <v>415</v>
      </c>
      <c r="C35">
        <v>2</v>
      </c>
      <c r="D35" t="s">
        <v>510</v>
      </c>
      <c r="E35">
        <f>WasteLog[[#This Row],[Qty]]*VLOOKUP(WasteLog[[#This Row],[SKU]],Menu[],MATCH("UnitCost",Menu[#Headers],0),FALSE)</f>
        <v>242.48</v>
      </c>
    </row>
    <row r="36" spans="1:5" x14ac:dyDescent="0.25">
      <c r="A36" s="2">
        <v>45840</v>
      </c>
      <c r="B36" t="s">
        <v>406</v>
      </c>
      <c r="C36">
        <v>3</v>
      </c>
      <c r="D36" t="s">
        <v>509</v>
      </c>
      <c r="E36">
        <f>WasteLog[[#This Row],[Qty]]*VLOOKUP(WasteLog[[#This Row],[SKU]],Menu[],MATCH("UnitCost",Menu[#Headers],0),FALSE)</f>
        <v>58.650000000000006</v>
      </c>
    </row>
    <row r="37" spans="1:5" x14ac:dyDescent="0.25">
      <c r="A37" s="2">
        <v>45845</v>
      </c>
      <c r="B37" t="s">
        <v>405</v>
      </c>
      <c r="C37">
        <v>1</v>
      </c>
      <c r="D37" t="s">
        <v>512</v>
      </c>
      <c r="E37">
        <f>WasteLog[[#This Row],[Qty]]*VLOOKUP(WasteLog[[#This Row],[SKU]],Menu[],MATCH("UnitCost",Menu[#Headers],0),FALSE)</f>
        <v>74.069999999999993</v>
      </c>
    </row>
    <row r="38" spans="1:5" x14ac:dyDescent="0.25">
      <c r="A38" s="2">
        <v>45882</v>
      </c>
      <c r="B38" t="s">
        <v>415</v>
      </c>
      <c r="C38">
        <v>2</v>
      </c>
      <c r="D38" t="s">
        <v>509</v>
      </c>
      <c r="E38">
        <f>WasteLog[[#This Row],[Qty]]*VLOOKUP(WasteLog[[#This Row],[SKU]],Menu[],MATCH("UnitCost",Menu[#Headers],0),FALSE)</f>
        <v>242.48</v>
      </c>
    </row>
    <row r="39" spans="1:5" x14ac:dyDescent="0.25">
      <c r="A39" s="2">
        <v>45843</v>
      </c>
      <c r="B39" t="s">
        <v>404</v>
      </c>
      <c r="C39">
        <v>2</v>
      </c>
      <c r="D39" t="s">
        <v>510</v>
      </c>
      <c r="E39">
        <f>WasteLog[[#This Row],[Qty]]*VLOOKUP(WasteLog[[#This Row],[SKU]],Menu[],MATCH("UnitCost",Menu[#Headers],0),FALSE)</f>
        <v>23.68</v>
      </c>
    </row>
    <row r="40" spans="1:5" x14ac:dyDescent="0.25">
      <c r="A40" s="2">
        <v>45861</v>
      </c>
      <c r="B40" t="s">
        <v>414</v>
      </c>
      <c r="C40">
        <v>1</v>
      </c>
      <c r="D40" t="s">
        <v>509</v>
      </c>
      <c r="E40">
        <f>WasteLog[[#This Row],[Qty]]*VLOOKUP(WasteLog[[#This Row],[SKU]],Menu[],MATCH("UnitCost",Menu[#Headers],0),FALSE)</f>
        <v>48.97</v>
      </c>
    </row>
    <row r="41" spans="1:5" x14ac:dyDescent="0.25">
      <c r="A41" s="2">
        <v>45844</v>
      </c>
      <c r="B41" t="s">
        <v>407</v>
      </c>
      <c r="C41">
        <v>1</v>
      </c>
      <c r="D41" t="s">
        <v>511</v>
      </c>
      <c r="E41">
        <f>WasteLog[[#This Row],[Qty]]*VLOOKUP(WasteLog[[#This Row],[SKU]],Menu[],MATCH("UnitCost",Menu[#Headers],0),FALSE)</f>
        <v>112.08</v>
      </c>
    </row>
    <row r="42" spans="1:5" x14ac:dyDescent="0.25">
      <c r="A42" s="2">
        <v>45861</v>
      </c>
      <c r="B42" t="s">
        <v>412</v>
      </c>
      <c r="C42">
        <v>3</v>
      </c>
      <c r="D42" t="s">
        <v>511</v>
      </c>
      <c r="E42">
        <f>WasteLog[[#This Row],[Qty]]*VLOOKUP(WasteLog[[#This Row],[SKU]],Menu[],MATCH("UnitCost",Menu[#Headers],0),FALSE)</f>
        <v>87.42</v>
      </c>
    </row>
    <row r="43" spans="1:5" x14ac:dyDescent="0.25">
      <c r="A43" s="2">
        <v>45895</v>
      </c>
      <c r="B43" t="s">
        <v>402</v>
      </c>
      <c r="C43">
        <v>1</v>
      </c>
      <c r="D43" t="s">
        <v>509</v>
      </c>
      <c r="E43">
        <f>WasteLog[[#This Row],[Qty]]*VLOOKUP(WasteLog[[#This Row],[SKU]],Menu[],MATCH("UnitCost",Menu[#Headers],0),FALSE)</f>
        <v>14.18</v>
      </c>
    </row>
    <row r="44" spans="1:5" x14ac:dyDescent="0.25">
      <c r="A44" s="2">
        <v>45868</v>
      </c>
      <c r="B44" t="s">
        <v>407</v>
      </c>
      <c r="C44">
        <v>1</v>
      </c>
      <c r="D44" t="s">
        <v>509</v>
      </c>
      <c r="E44">
        <f>WasteLog[[#This Row],[Qty]]*VLOOKUP(WasteLog[[#This Row],[SKU]],Menu[],MATCH("UnitCost",Menu[#Headers],0),FALSE)</f>
        <v>112.08</v>
      </c>
    </row>
    <row r="45" spans="1:5" x14ac:dyDescent="0.25">
      <c r="A45" s="2">
        <v>45879</v>
      </c>
      <c r="B45" t="s">
        <v>401</v>
      </c>
      <c r="C45">
        <v>1</v>
      </c>
      <c r="D45" t="s">
        <v>511</v>
      </c>
      <c r="E45">
        <f>WasteLog[[#This Row],[Qty]]*VLOOKUP(WasteLog[[#This Row],[SKU]],Menu[],MATCH("UnitCost",Menu[#Headers],0),FALSE)</f>
        <v>25.8</v>
      </c>
    </row>
    <row r="46" spans="1:5" x14ac:dyDescent="0.25">
      <c r="A46" s="2">
        <v>45844</v>
      </c>
      <c r="B46" t="s">
        <v>414</v>
      </c>
      <c r="C46">
        <v>1</v>
      </c>
      <c r="D46" t="s">
        <v>509</v>
      </c>
      <c r="E46">
        <f>WasteLog[[#This Row],[Qty]]*VLOOKUP(WasteLog[[#This Row],[SKU]],Menu[],MATCH("UnitCost",Menu[#Headers],0),FALSE)</f>
        <v>48.97</v>
      </c>
    </row>
    <row r="47" spans="1:5" x14ac:dyDescent="0.25">
      <c r="A47" s="2">
        <v>45880</v>
      </c>
      <c r="B47" t="s">
        <v>414</v>
      </c>
      <c r="C47">
        <v>2</v>
      </c>
      <c r="D47" t="s">
        <v>510</v>
      </c>
      <c r="E47">
        <f>WasteLog[[#This Row],[Qty]]*VLOOKUP(WasteLog[[#This Row],[SKU]],Menu[],MATCH("UnitCost",Menu[#Headers],0),FALSE)</f>
        <v>97.94</v>
      </c>
    </row>
    <row r="48" spans="1:5" x14ac:dyDescent="0.25">
      <c r="A48" s="2">
        <v>45843</v>
      </c>
      <c r="B48" t="s">
        <v>411</v>
      </c>
      <c r="C48">
        <v>4</v>
      </c>
      <c r="D48" t="s">
        <v>510</v>
      </c>
      <c r="E48">
        <f>WasteLog[[#This Row],[Qty]]*VLOOKUP(WasteLog[[#This Row],[SKU]],Menu[],MATCH("UnitCost",Menu[#Headers],0),FALSE)</f>
        <v>37.520000000000003</v>
      </c>
    </row>
    <row r="49" spans="1:5" x14ac:dyDescent="0.25">
      <c r="A49" s="2">
        <v>45889</v>
      </c>
      <c r="B49" t="s">
        <v>402</v>
      </c>
      <c r="C49">
        <v>4</v>
      </c>
      <c r="D49" t="s">
        <v>510</v>
      </c>
      <c r="E49">
        <f>WasteLog[[#This Row],[Qty]]*VLOOKUP(WasteLog[[#This Row],[SKU]],Menu[],MATCH("UnitCost",Menu[#Headers],0),FALSE)</f>
        <v>56.72</v>
      </c>
    </row>
    <row r="50" spans="1:5" x14ac:dyDescent="0.25">
      <c r="A50" s="2">
        <v>45878</v>
      </c>
      <c r="B50" t="s">
        <v>407</v>
      </c>
      <c r="C50">
        <v>3</v>
      </c>
      <c r="D50" t="s">
        <v>511</v>
      </c>
      <c r="E50">
        <f>WasteLog[[#This Row],[Qty]]*VLOOKUP(WasteLog[[#This Row],[SKU]],Menu[],MATCH("UnitCost",Menu[#Headers],0),FALSE)</f>
        <v>336.24</v>
      </c>
    </row>
    <row r="51" spans="1:5" x14ac:dyDescent="0.25">
      <c r="A51" s="2">
        <v>45875</v>
      </c>
      <c r="B51" t="s">
        <v>418</v>
      </c>
      <c r="C51">
        <v>3</v>
      </c>
      <c r="D51" t="s">
        <v>510</v>
      </c>
      <c r="E51">
        <f>WasteLog[[#This Row],[Qty]]*VLOOKUP(WasteLog[[#This Row],[SKU]],Menu[],MATCH("UnitCost",Menu[#Headers],0),FALSE)</f>
        <v>46.53</v>
      </c>
    </row>
    <row r="52" spans="1:5" x14ac:dyDescent="0.25">
      <c r="A52" s="2">
        <v>45862</v>
      </c>
      <c r="B52" t="s">
        <v>406</v>
      </c>
      <c r="C52">
        <v>1</v>
      </c>
      <c r="D52" t="s">
        <v>511</v>
      </c>
      <c r="E52">
        <f>WasteLog[[#This Row],[Qty]]*VLOOKUP(WasteLog[[#This Row],[SKU]],Menu[],MATCH("UnitCost",Menu[#Headers],0),FALSE)</f>
        <v>19.55</v>
      </c>
    </row>
    <row r="53" spans="1:5" x14ac:dyDescent="0.25">
      <c r="A53" s="2">
        <v>45853</v>
      </c>
      <c r="B53" t="s">
        <v>409</v>
      </c>
      <c r="C53">
        <v>1</v>
      </c>
      <c r="D53" t="s">
        <v>512</v>
      </c>
      <c r="E53">
        <f>WasteLog[[#This Row],[Qty]]*VLOOKUP(WasteLog[[#This Row],[SKU]],Menu[],MATCH("UnitCost",Menu[#Headers],0),FALSE)</f>
        <v>13.89</v>
      </c>
    </row>
    <row r="54" spans="1:5" x14ac:dyDescent="0.25">
      <c r="A54" s="2">
        <v>45893</v>
      </c>
      <c r="B54" t="s">
        <v>410</v>
      </c>
      <c r="C54">
        <v>2</v>
      </c>
      <c r="D54" t="s">
        <v>510</v>
      </c>
      <c r="E54">
        <f>WasteLog[[#This Row],[Qty]]*VLOOKUP(WasteLog[[#This Row],[SKU]],Menu[],MATCH("UnitCost",Menu[#Headers],0),FALSE)</f>
        <v>16</v>
      </c>
    </row>
    <row r="55" spans="1:5" x14ac:dyDescent="0.25">
      <c r="A55" s="2">
        <v>45893</v>
      </c>
      <c r="B55" t="s">
        <v>413</v>
      </c>
      <c r="C55">
        <v>1</v>
      </c>
      <c r="D55" t="s">
        <v>509</v>
      </c>
      <c r="E55">
        <f>WasteLog[[#This Row],[Qty]]*VLOOKUP(WasteLog[[#This Row],[SKU]],Menu[],MATCH("UnitCost",Menu[#Headers],0),FALSE)</f>
        <v>21.95</v>
      </c>
    </row>
    <row r="56" spans="1:5" x14ac:dyDescent="0.25">
      <c r="A56" s="2">
        <v>45876</v>
      </c>
      <c r="B56" t="s">
        <v>406</v>
      </c>
      <c r="C56">
        <v>4</v>
      </c>
      <c r="D56" t="s">
        <v>511</v>
      </c>
      <c r="E56">
        <f>WasteLog[[#This Row],[Qty]]*VLOOKUP(WasteLog[[#This Row],[SKU]],Menu[],MATCH("UnitCost",Menu[#Headers],0),FALSE)</f>
        <v>78.2</v>
      </c>
    </row>
    <row r="57" spans="1:5" x14ac:dyDescent="0.25">
      <c r="A57" s="2">
        <v>45858</v>
      </c>
      <c r="B57" t="s">
        <v>402</v>
      </c>
      <c r="C57">
        <v>1</v>
      </c>
      <c r="D57" t="s">
        <v>512</v>
      </c>
      <c r="E57">
        <f>WasteLog[[#This Row],[Qty]]*VLOOKUP(WasteLog[[#This Row],[SKU]],Menu[],MATCH("UnitCost",Menu[#Headers],0),FALSE)</f>
        <v>14.18</v>
      </c>
    </row>
    <row r="58" spans="1:5" x14ac:dyDescent="0.25">
      <c r="A58" s="2">
        <v>45882</v>
      </c>
      <c r="B58" t="s">
        <v>411</v>
      </c>
      <c r="C58">
        <v>1</v>
      </c>
      <c r="D58" t="s">
        <v>512</v>
      </c>
      <c r="E58">
        <f>WasteLog[[#This Row],[Qty]]*VLOOKUP(WasteLog[[#This Row],[SKU]],Menu[],MATCH("UnitCost",Menu[#Headers],0),FALSE)</f>
        <v>9.3800000000000008</v>
      </c>
    </row>
    <row r="59" spans="1:5" x14ac:dyDescent="0.25">
      <c r="A59" s="2">
        <v>45891</v>
      </c>
      <c r="B59" t="s">
        <v>408</v>
      </c>
      <c r="C59">
        <v>1</v>
      </c>
      <c r="D59" t="s">
        <v>512</v>
      </c>
      <c r="E59">
        <f>WasteLog[[#This Row],[Qty]]*VLOOKUP(WasteLog[[#This Row],[SKU]],Menu[],MATCH("UnitCost",Menu[#Headers],0),FALSE)</f>
        <v>35.81</v>
      </c>
    </row>
    <row r="60" spans="1:5" x14ac:dyDescent="0.25">
      <c r="A60" s="2">
        <v>45865</v>
      </c>
      <c r="B60" t="s">
        <v>404</v>
      </c>
      <c r="C60">
        <v>4</v>
      </c>
      <c r="D60" t="s">
        <v>512</v>
      </c>
      <c r="E60">
        <f>WasteLog[[#This Row],[Qty]]*VLOOKUP(WasteLog[[#This Row],[SKU]],Menu[],MATCH("UnitCost",Menu[#Headers],0),FALSE)</f>
        <v>47.36</v>
      </c>
    </row>
    <row r="61" spans="1:5" x14ac:dyDescent="0.25">
      <c r="A61" s="2">
        <v>45846</v>
      </c>
      <c r="B61" t="s">
        <v>408</v>
      </c>
      <c r="C61">
        <v>1</v>
      </c>
      <c r="D61" t="s">
        <v>509</v>
      </c>
      <c r="E61">
        <f>WasteLog[[#This Row],[Qty]]*VLOOKUP(WasteLog[[#This Row],[SKU]],Menu[],MATCH("UnitCost",Menu[#Headers],0),FALSE)</f>
        <v>35.81</v>
      </c>
    </row>
    <row r="62" spans="1:5" x14ac:dyDescent="0.25">
      <c r="A62" s="2">
        <v>45885</v>
      </c>
      <c r="B62" t="s">
        <v>408</v>
      </c>
      <c r="C62">
        <v>1</v>
      </c>
      <c r="D62" t="s">
        <v>511</v>
      </c>
      <c r="E62">
        <f>WasteLog[[#This Row],[Qty]]*VLOOKUP(WasteLog[[#This Row],[SKU]],Menu[],MATCH("UnitCost",Menu[#Headers],0),FALSE)</f>
        <v>35.81</v>
      </c>
    </row>
    <row r="63" spans="1:5" x14ac:dyDescent="0.25">
      <c r="A63" s="2">
        <v>45868</v>
      </c>
      <c r="B63" t="s">
        <v>416</v>
      </c>
      <c r="C63">
        <v>4</v>
      </c>
      <c r="D63" t="s">
        <v>509</v>
      </c>
      <c r="E63">
        <f>WasteLog[[#This Row],[Qty]]*VLOOKUP(WasteLog[[#This Row],[SKU]],Menu[],MATCH("UnitCost",Menu[#Headers],0),FALSE)</f>
        <v>384.88</v>
      </c>
    </row>
    <row r="64" spans="1:5" x14ac:dyDescent="0.25">
      <c r="A64" s="2">
        <v>45857</v>
      </c>
      <c r="B64" t="s">
        <v>405</v>
      </c>
      <c r="C64">
        <v>2</v>
      </c>
      <c r="D64" t="s">
        <v>510</v>
      </c>
      <c r="E64">
        <f>WasteLog[[#This Row],[Qty]]*VLOOKUP(WasteLog[[#This Row],[SKU]],Menu[],MATCH("UnitCost",Menu[#Headers],0),FALSE)</f>
        <v>148.13999999999999</v>
      </c>
    </row>
    <row r="65" spans="1:5" x14ac:dyDescent="0.25">
      <c r="A65" s="2">
        <v>45862</v>
      </c>
      <c r="B65" t="s">
        <v>408</v>
      </c>
      <c r="C65">
        <v>4</v>
      </c>
      <c r="D65" t="s">
        <v>510</v>
      </c>
      <c r="E65">
        <f>WasteLog[[#This Row],[Qty]]*VLOOKUP(WasteLog[[#This Row],[SKU]],Menu[],MATCH("UnitCost",Menu[#Headers],0),FALSE)</f>
        <v>143.24</v>
      </c>
    </row>
    <row r="66" spans="1:5" x14ac:dyDescent="0.25">
      <c r="A66" s="2">
        <v>45862</v>
      </c>
      <c r="B66" t="s">
        <v>414</v>
      </c>
      <c r="C66">
        <v>1</v>
      </c>
      <c r="D66" t="s">
        <v>511</v>
      </c>
      <c r="E66">
        <f>WasteLog[[#This Row],[Qty]]*VLOOKUP(WasteLog[[#This Row],[SKU]],Menu[],MATCH("UnitCost",Menu[#Headers],0),FALSE)</f>
        <v>48.97</v>
      </c>
    </row>
    <row r="67" spans="1:5" x14ac:dyDescent="0.25">
      <c r="A67" s="2">
        <v>45866</v>
      </c>
      <c r="B67" t="s">
        <v>404</v>
      </c>
      <c r="C67">
        <v>1</v>
      </c>
      <c r="D67" t="s">
        <v>510</v>
      </c>
      <c r="E67">
        <f>WasteLog[[#This Row],[Qty]]*VLOOKUP(WasteLog[[#This Row],[SKU]],Menu[],MATCH("UnitCost",Menu[#Headers],0),FALSE)</f>
        <v>11.84</v>
      </c>
    </row>
    <row r="68" spans="1:5" x14ac:dyDescent="0.25">
      <c r="A68" s="2">
        <v>45890</v>
      </c>
      <c r="B68" t="s">
        <v>411</v>
      </c>
      <c r="C68">
        <v>1</v>
      </c>
      <c r="D68" t="s">
        <v>511</v>
      </c>
      <c r="E68">
        <f>WasteLog[[#This Row],[Qty]]*VLOOKUP(WasteLog[[#This Row],[SKU]],Menu[],MATCH("UnitCost",Menu[#Headers],0),FALSE)</f>
        <v>9.3800000000000008</v>
      </c>
    </row>
    <row r="69" spans="1:5" x14ac:dyDescent="0.25">
      <c r="A69" s="2">
        <v>45864</v>
      </c>
      <c r="B69" t="s">
        <v>411</v>
      </c>
      <c r="C69">
        <v>3</v>
      </c>
      <c r="D69" t="s">
        <v>510</v>
      </c>
      <c r="E69">
        <f>WasteLog[[#This Row],[Qty]]*VLOOKUP(WasteLog[[#This Row],[SKU]],Menu[],MATCH("UnitCost",Menu[#Headers],0),FALSE)</f>
        <v>28.14</v>
      </c>
    </row>
    <row r="70" spans="1:5" x14ac:dyDescent="0.25">
      <c r="A70" s="2">
        <v>45884</v>
      </c>
      <c r="B70" t="s">
        <v>405</v>
      </c>
      <c r="C70">
        <v>2</v>
      </c>
      <c r="D70" t="s">
        <v>510</v>
      </c>
      <c r="E70">
        <f>WasteLog[[#This Row],[Qty]]*VLOOKUP(WasteLog[[#This Row],[SKU]],Menu[],MATCH("UnitCost",Menu[#Headers],0),FALSE)</f>
        <v>148.13999999999999</v>
      </c>
    </row>
    <row r="71" spans="1:5" x14ac:dyDescent="0.25">
      <c r="A71" s="2">
        <v>45870</v>
      </c>
      <c r="B71" t="s">
        <v>408</v>
      </c>
      <c r="C71">
        <v>1</v>
      </c>
      <c r="D71" t="s">
        <v>511</v>
      </c>
      <c r="E71">
        <f>WasteLog[[#This Row],[Qty]]*VLOOKUP(WasteLog[[#This Row],[SKU]],Menu[],MATCH("UnitCost",Menu[#Headers],0),FALSE)</f>
        <v>35.81</v>
      </c>
    </row>
    <row r="72" spans="1:5" x14ac:dyDescent="0.25">
      <c r="A72" s="2">
        <v>45869</v>
      </c>
      <c r="B72" t="s">
        <v>410</v>
      </c>
      <c r="C72">
        <v>4</v>
      </c>
      <c r="D72" t="s">
        <v>512</v>
      </c>
      <c r="E72">
        <f>WasteLog[[#This Row],[Qty]]*VLOOKUP(WasteLog[[#This Row],[SKU]],Menu[],MATCH("UnitCost",Menu[#Headers],0),FALSE)</f>
        <v>32</v>
      </c>
    </row>
    <row r="73" spans="1:5" x14ac:dyDescent="0.25">
      <c r="A73" s="2">
        <v>45893</v>
      </c>
      <c r="B73" t="s">
        <v>406</v>
      </c>
      <c r="C73">
        <v>1</v>
      </c>
      <c r="D73" t="s">
        <v>509</v>
      </c>
      <c r="E73">
        <f>WasteLog[[#This Row],[Qty]]*VLOOKUP(WasteLog[[#This Row],[SKU]],Menu[],MATCH("UnitCost",Menu[#Headers],0),FALSE)</f>
        <v>19.55</v>
      </c>
    </row>
    <row r="74" spans="1:5" x14ac:dyDescent="0.25">
      <c r="A74" s="2">
        <v>45840</v>
      </c>
      <c r="B74" t="s">
        <v>419</v>
      </c>
      <c r="C74">
        <v>1</v>
      </c>
      <c r="D74" t="s">
        <v>510</v>
      </c>
      <c r="E74">
        <f>WasteLog[[#This Row],[Qty]]*VLOOKUP(WasteLog[[#This Row],[SKU]],Menu[],MATCH("UnitCost",Menu[#Headers],0),FALSE)</f>
        <v>22.61</v>
      </c>
    </row>
    <row r="75" spans="1:5" x14ac:dyDescent="0.25">
      <c r="A75" s="2">
        <v>45867</v>
      </c>
      <c r="B75" t="s">
        <v>407</v>
      </c>
      <c r="C75">
        <v>1</v>
      </c>
      <c r="D75" t="s">
        <v>509</v>
      </c>
      <c r="E75">
        <f>WasteLog[[#This Row],[Qty]]*VLOOKUP(WasteLog[[#This Row],[SKU]],Menu[],MATCH("UnitCost",Menu[#Headers],0),FALSE)</f>
        <v>112.08</v>
      </c>
    </row>
    <row r="76" spans="1:5" x14ac:dyDescent="0.25">
      <c r="A76" s="2">
        <v>45871</v>
      </c>
      <c r="B76" t="s">
        <v>406</v>
      </c>
      <c r="C76">
        <v>3</v>
      </c>
      <c r="D76" t="s">
        <v>510</v>
      </c>
      <c r="E76">
        <f>WasteLog[[#This Row],[Qty]]*VLOOKUP(WasteLog[[#This Row],[SKU]],Menu[],MATCH("UnitCost",Menu[#Headers],0),FALSE)</f>
        <v>58.650000000000006</v>
      </c>
    </row>
    <row r="77" spans="1:5" x14ac:dyDescent="0.25">
      <c r="A77" s="2">
        <v>45894</v>
      </c>
      <c r="B77" t="s">
        <v>406</v>
      </c>
      <c r="C77">
        <v>2</v>
      </c>
      <c r="D77" t="s">
        <v>510</v>
      </c>
      <c r="E77">
        <f>WasteLog[[#This Row],[Qty]]*VLOOKUP(WasteLog[[#This Row],[SKU]],Menu[],MATCH("UnitCost",Menu[#Headers],0),FALSE)</f>
        <v>39.1</v>
      </c>
    </row>
    <row r="78" spans="1:5" x14ac:dyDescent="0.25">
      <c r="A78" s="2">
        <v>45892</v>
      </c>
      <c r="B78" t="s">
        <v>402</v>
      </c>
      <c r="C78">
        <v>2</v>
      </c>
      <c r="D78" t="s">
        <v>511</v>
      </c>
      <c r="E78">
        <f>WasteLog[[#This Row],[Qty]]*VLOOKUP(WasteLog[[#This Row],[SKU]],Menu[],MATCH("UnitCost",Menu[#Headers],0),FALSE)</f>
        <v>28.36</v>
      </c>
    </row>
    <row r="79" spans="1:5" x14ac:dyDescent="0.25">
      <c r="A79" s="2">
        <v>45886</v>
      </c>
      <c r="B79" t="s">
        <v>403</v>
      </c>
      <c r="C79">
        <v>1</v>
      </c>
      <c r="D79" t="s">
        <v>510</v>
      </c>
      <c r="E79">
        <f>WasteLog[[#This Row],[Qty]]*VLOOKUP(WasteLog[[#This Row],[SKU]],Menu[],MATCH("UnitCost",Menu[#Headers],0),FALSE)</f>
        <v>38.229999999999997</v>
      </c>
    </row>
    <row r="80" spans="1:5" x14ac:dyDescent="0.25">
      <c r="A80" s="2">
        <v>45855</v>
      </c>
      <c r="B80" t="s">
        <v>411</v>
      </c>
      <c r="C80">
        <v>2</v>
      </c>
      <c r="D80" t="s">
        <v>509</v>
      </c>
      <c r="E80">
        <f>WasteLog[[#This Row],[Qty]]*VLOOKUP(WasteLog[[#This Row],[SKU]],Menu[],MATCH("UnitCost",Menu[#Headers],0),FALSE)</f>
        <v>18.760000000000002</v>
      </c>
    </row>
    <row r="81" spans="1:5" x14ac:dyDescent="0.25">
      <c r="A81" s="2">
        <v>45852</v>
      </c>
      <c r="B81" t="s">
        <v>414</v>
      </c>
      <c r="C81">
        <v>1</v>
      </c>
      <c r="D81" t="s">
        <v>510</v>
      </c>
      <c r="E81">
        <f>WasteLog[[#This Row],[Qty]]*VLOOKUP(WasteLog[[#This Row],[SKU]],Menu[],MATCH("UnitCost",Menu[#Headers],0),FALSE)</f>
        <v>48.97</v>
      </c>
    </row>
    <row r="82" spans="1:5" x14ac:dyDescent="0.25">
      <c r="A82" s="2">
        <v>45856</v>
      </c>
      <c r="B82" t="s">
        <v>414</v>
      </c>
      <c r="C82">
        <v>1</v>
      </c>
      <c r="D82" t="s">
        <v>512</v>
      </c>
      <c r="E82">
        <f>WasteLog[[#This Row],[Qty]]*VLOOKUP(WasteLog[[#This Row],[SKU]],Menu[],MATCH("UnitCost",Menu[#Headers],0),FALSE)</f>
        <v>48.97</v>
      </c>
    </row>
    <row r="83" spans="1:5" x14ac:dyDescent="0.25">
      <c r="A83" s="2">
        <v>45889</v>
      </c>
      <c r="B83" t="s">
        <v>415</v>
      </c>
      <c r="C83">
        <v>1</v>
      </c>
      <c r="D83" t="s">
        <v>512</v>
      </c>
      <c r="E83">
        <f>WasteLog[[#This Row],[Qty]]*VLOOKUP(WasteLog[[#This Row],[SKU]],Menu[],MATCH("UnitCost",Menu[#Headers],0),FALSE)</f>
        <v>121.24</v>
      </c>
    </row>
    <row r="84" spans="1:5" x14ac:dyDescent="0.25">
      <c r="A84" s="2">
        <v>45843</v>
      </c>
      <c r="B84" t="s">
        <v>416</v>
      </c>
      <c r="C84">
        <v>2</v>
      </c>
      <c r="D84" t="s">
        <v>510</v>
      </c>
      <c r="E84">
        <f>WasteLog[[#This Row],[Qty]]*VLOOKUP(WasteLog[[#This Row],[SKU]],Menu[],MATCH("UnitCost",Menu[#Headers],0),FALSE)</f>
        <v>192.44</v>
      </c>
    </row>
    <row r="85" spans="1:5" x14ac:dyDescent="0.25">
      <c r="A85" s="2">
        <v>45852</v>
      </c>
      <c r="B85" t="s">
        <v>406</v>
      </c>
      <c r="C85">
        <v>3</v>
      </c>
      <c r="D85" t="s">
        <v>512</v>
      </c>
      <c r="E85">
        <f>WasteLog[[#This Row],[Qty]]*VLOOKUP(WasteLog[[#This Row],[SKU]],Menu[],MATCH("UnitCost",Menu[#Headers],0),FALSE)</f>
        <v>58.650000000000006</v>
      </c>
    </row>
    <row r="86" spans="1:5" x14ac:dyDescent="0.25">
      <c r="A86" s="2">
        <v>45853</v>
      </c>
      <c r="B86" t="s">
        <v>416</v>
      </c>
      <c r="C86">
        <v>2</v>
      </c>
      <c r="D86" t="s">
        <v>509</v>
      </c>
      <c r="E86">
        <f>WasteLog[[#This Row],[Qty]]*VLOOKUP(WasteLog[[#This Row],[SKU]],Menu[],MATCH("UnitCost",Menu[#Headers],0),FALSE)</f>
        <v>192.44</v>
      </c>
    </row>
    <row r="87" spans="1:5" x14ac:dyDescent="0.25">
      <c r="A87" s="2">
        <v>45888</v>
      </c>
      <c r="B87" t="s">
        <v>409</v>
      </c>
      <c r="C87">
        <v>4</v>
      </c>
      <c r="D87" t="s">
        <v>511</v>
      </c>
      <c r="E87">
        <f>WasteLog[[#This Row],[Qty]]*VLOOKUP(WasteLog[[#This Row],[SKU]],Menu[],MATCH("UnitCost",Menu[#Headers],0),FALSE)</f>
        <v>55.56</v>
      </c>
    </row>
    <row r="88" spans="1:5" x14ac:dyDescent="0.25">
      <c r="A88" s="2">
        <v>45844</v>
      </c>
      <c r="B88" t="s">
        <v>403</v>
      </c>
      <c r="C88">
        <v>1</v>
      </c>
      <c r="D88" t="s">
        <v>510</v>
      </c>
      <c r="E88">
        <f>WasteLog[[#This Row],[Qty]]*VLOOKUP(WasteLog[[#This Row],[SKU]],Menu[],MATCH("UnitCost",Menu[#Headers],0),FALSE)</f>
        <v>38.229999999999997</v>
      </c>
    </row>
    <row r="89" spans="1:5" x14ac:dyDescent="0.25">
      <c r="A89" s="2">
        <v>45840</v>
      </c>
      <c r="B89" t="s">
        <v>416</v>
      </c>
      <c r="C89">
        <v>1</v>
      </c>
      <c r="D89" t="s">
        <v>510</v>
      </c>
      <c r="E89">
        <f>WasteLog[[#This Row],[Qty]]*VLOOKUP(WasteLog[[#This Row],[SKU]],Menu[],MATCH("UnitCost",Menu[#Headers],0),FALSE)</f>
        <v>96.22</v>
      </c>
    </row>
    <row r="90" spans="1:5" x14ac:dyDescent="0.25">
      <c r="A90" s="2">
        <v>45840</v>
      </c>
      <c r="B90" t="s">
        <v>416</v>
      </c>
      <c r="C90">
        <v>2</v>
      </c>
      <c r="D90" t="s">
        <v>511</v>
      </c>
      <c r="E90">
        <f>WasteLog[[#This Row],[Qty]]*VLOOKUP(WasteLog[[#This Row],[SKU]],Menu[],MATCH("UnitCost",Menu[#Headers],0),FALSE)</f>
        <v>192.44</v>
      </c>
    </row>
    <row r="91" spans="1:5" x14ac:dyDescent="0.25">
      <c r="A91" s="2">
        <v>45891</v>
      </c>
      <c r="B91" t="s">
        <v>401</v>
      </c>
      <c r="C91">
        <v>2</v>
      </c>
      <c r="D91" t="s">
        <v>512</v>
      </c>
      <c r="E91">
        <f>WasteLog[[#This Row],[Qty]]*VLOOKUP(WasteLog[[#This Row],[SKU]],Menu[],MATCH("UnitCost",Menu[#Headers],0),FALSE)</f>
        <v>51.6</v>
      </c>
    </row>
    <row r="92" spans="1:5" x14ac:dyDescent="0.25">
      <c r="A92" s="2">
        <v>45887</v>
      </c>
      <c r="B92" t="s">
        <v>410</v>
      </c>
      <c r="C92">
        <v>3</v>
      </c>
      <c r="D92" t="s">
        <v>509</v>
      </c>
      <c r="E92">
        <f>WasteLog[[#This Row],[Qty]]*VLOOKUP(WasteLog[[#This Row],[SKU]],Menu[],MATCH("UnitCost",Menu[#Headers],0),FALSE)</f>
        <v>24</v>
      </c>
    </row>
    <row r="93" spans="1:5" x14ac:dyDescent="0.25">
      <c r="A93" s="2">
        <v>45849</v>
      </c>
      <c r="B93" t="s">
        <v>405</v>
      </c>
      <c r="C93">
        <v>2</v>
      </c>
      <c r="D93" t="s">
        <v>509</v>
      </c>
      <c r="E93">
        <f>WasteLog[[#This Row],[Qty]]*VLOOKUP(WasteLog[[#This Row],[SKU]],Menu[],MATCH("UnitCost",Menu[#Headers],0),FALSE)</f>
        <v>148.13999999999999</v>
      </c>
    </row>
    <row r="94" spans="1:5" x14ac:dyDescent="0.25">
      <c r="A94" s="2">
        <v>45862</v>
      </c>
      <c r="B94" t="s">
        <v>408</v>
      </c>
      <c r="C94">
        <v>1</v>
      </c>
      <c r="D94" t="s">
        <v>511</v>
      </c>
      <c r="E94">
        <f>WasteLog[[#This Row],[Qty]]*VLOOKUP(WasteLog[[#This Row],[SKU]],Menu[],MATCH("UnitCost",Menu[#Headers],0),FALSE)</f>
        <v>35.81</v>
      </c>
    </row>
    <row r="95" spans="1:5" x14ac:dyDescent="0.25">
      <c r="A95" s="2">
        <v>45873</v>
      </c>
      <c r="B95" t="s">
        <v>419</v>
      </c>
      <c r="C95">
        <v>4</v>
      </c>
      <c r="D95" t="s">
        <v>510</v>
      </c>
      <c r="E95">
        <f>WasteLog[[#This Row],[Qty]]*VLOOKUP(WasteLog[[#This Row],[SKU]],Menu[],MATCH("UnitCost",Menu[#Headers],0),FALSE)</f>
        <v>90.44</v>
      </c>
    </row>
    <row r="96" spans="1:5" x14ac:dyDescent="0.25">
      <c r="A96" s="2">
        <v>45846</v>
      </c>
      <c r="B96" t="s">
        <v>411</v>
      </c>
      <c r="C96">
        <v>3</v>
      </c>
      <c r="D96" t="s">
        <v>510</v>
      </c>
      <c r="E96">
        <f>WasteLog[[#This Row],[Qty]]*VLOOKUP(WasteLog[[#This Row],[SKU]],Menu[],MATCH("UnitCost",Menu[#Headers],0),FALSE)</f>
        <v>28.14</v>
      </c>
    </row>
    <row r="97" spans="1:5" x14ac:dyDescent="0.25">
      <c r="A97" s="2">
        <v>45883</v>
      </c>
      <c r="B97" t="s">
        <v>412</v>
      </c>
      <c r="C97">
        <v>1</v>
      </c>
      <c r="D97" t="s">
        <v>509</v>
      </c>
      <c r="E97">
        <f>WasteLog[[#This Row],[Qty]]*VLOOKUP(WasteLog[[#This Row],[SKU]],Menu[],MATCH("UnitCost",Menu[#Headers],0),FALSE)</f>
        <v>29.14</v>
      </c>
    </row>
    <row r="98" spans="1:5" x14ac:dyDescent="0.25">
      <c r="A98" s="2">
        <v>45860</v>
      </c>
      <c r="B98" t="s">
        <v>401</v>
      </c>
      <c r="C98">
        <v>1</v>
      </c>
      <c r="D98" t="s">
        <v>512</v>
      </c>
      <c r="E98">
        <f>WasteLog[[#This Row],[Qty]]*VLOOKUP(WasteLog[[#This Row],[SKU]],Menu[],MATCH("UnitCost",Menu[#Headers],0),FALSE)</f>
        <v>25.8</v>
      </c>
    </row>
    <row r="99" spans="1:5" x14ac:dyDescent="0.25">
      <c r="A99" s="2">
        <v>45842</v>
      </c>
      <c r="B99" t="s">
        <v>417</v>
      </c>
      <c r="C99">
        <v>1</v>
      </c>
      <c r="D99" t="s">
        <v>510</v>
      </c>
      <c r="E99">
        <f>WasteLog[[#This Row],[Qty]]*VLOOKUP(WasteLog[[#This Row],[SKU]],Menu[],MATCH("UnitCost",Menu[#Headers],0),FALSE)</f>
        <v>80.92</v>
      </c>
    </row>
    <row r="100" spans="1:5" x14ac:dyDescent="0.25">
      <c r="A100" s="2">
        <v>45875</v>
      </c>
      <c r="B100" t="s">
        <v>404</v>
      </c>
      <c r="C100">
        <v>2</v>
      </c>
      <c r="D100" t="s">
        <v>510</v>
      </c>
      <c r="E100">
        <f>WasteLog[[#This Row],[Qty]]*VLOOKUP(WasteLog[[#This Row],[SKU]],Menu[],MATCH("UnitCost",Menu[#Headers],0),FALSE)</f>
        <v>23.68</v>
      </c>
    </row>
    <row r="101" spans="1:5" x14ac:dyDescent="0.25">
      <c r="A101" s="2">
        <v>45844</v>
      </c>
      <c r="B101" t="s">
        <v>416</v>
      </c>
      <c r="C101">
        <v>3</v>
      </c>
      <c r="D101" t="s">
        <v>509</v>
      </c>
      <c r="E101">
        <f>WasteLog[[#This Row],[Qty]]*VLOOKUP(WasteLog[[#This Row],[SKU]],Menu[],MATCH("UnitCost",Menu[#Headers],0),FALSE)</f>
        <v>288.65999999999997</v>
      </c>
    </row>
    <row r="102" spans="1:5" x14ac:dyDescent="0.25">
      <c r="A102" s="2">
        <v>45847</v>
      </c>
      <c r="B102" t="s">
        <v>403</v>
      </c>
      <c r="C102">
        <v>1</v>
      </c>
      <c r="D102" t="s">
        <v>510</v>
      </c>
      <c r="E102">
        <f>WasteLog[[#This Row],[Qty]]*VLOOKUP(WasteLog[[#This Row],[SKU]],Menu[],MATCH("UnitCost",Menu[#Headers],0),FALSE)</f>
        <v>38.229999999999997</v>
      </c>
    </row>
    <row r="103" spans="1:5" x14ac:dyDescent="0.25">
      <c r="A103" s="2">
        <v>45871</v>
      </c>
      <c r="B103" t="s">
        <v>412</v>
      </c>
      <c r="C103">
        <v>2</v>
      </c>
      <c r="D103" t="s">
        <v>512</v>
      </c>
      <c r="E103">
        <f>WasteLog[[#This Row],[Qty]]*VLOOKUP(WasteLog[[#This Row],[SKU]],Menu[],MATCH("UnitCost",Menu[#Headers],0),FALSE)</f>
        <v>58.28</v>
      </c>
    </row>
    <row r="104" spans="1:5" x14ac:dyDescent="0.25">
      <c r="A104" s="2">
        <v>45890</v>
      </c>
      <c r="B104" t="s">
        <v>415</v>
      </c>
      <c r="C104">
        <v>2</v>
      </c>
      <c r="D104" t="s">
        <v>509</v>
      </c>
      <c r="E104">
        <f>WasteLog[[#This Row],[Qty]]*VLOOKUP(WasteLog[[#This Row],[SKU]],Menu[],MATCH("UnitCost",Menu[#Headers],0),FALSE)</f>
        <v>242.48</v>
      </c>
    </row>
    <row r="105" spans="1:5" x14ac:dyDescent="0.25">
      <c r="A105" s="2">
        <v>45859</v>
      </c>
      <c r="B105" t="s">
        <v>412</v>
      </c>
      <c r="C105">
        <v>2</v>
      </c>
      <c r="D105" t="s">
        <v>510</v>
      </c>
      <c r="E105">
        <f>WasteLog[[#This Row],[Qty]]*VLOOKUP(WasteLog[[#This Row],[SKU]],Menu[],MATCH("UnitCost",Menu[#Headers],0),FALSE)</f>
        <v>58.28</v>
      </c>
    </row>
    <row r="106" spans="1:5" x14ac:dyDescent="0.25">
      <c r="A106" s="2">
        <v>45865</v>
      </c>
      <c r="B106" t="s">
        <v>415</v>
      </c>
      <c r="C106">
        <v>1</v>
      </c>
      <c r="D106" t="s">
        <v>512</v>
      </c>
      <c r="E106">
        <f>WasteLog[[#This Row],[Qty]]*VLOOKUP(WasteLog[[#This Row],[SKU]],Menu[],MATCH("UnitCost",Menu[#Headers],0),FALSE)</f>
        <v>121.24</v>
      </c>
    </row>
    <row r="107" spans="1:5" x14ac:dyDescent="0.25">
      <c r="A107" s="2">
        <v>45866</v>
      </c>
      <c r="B107" t="s">
        <v>414</v>
      </c>
      <c r="C107">
        <v>3</v>
      </c>
      <c r="D107" t="s">
        <v>512</v>
      </c>
      <c r="E107">
        <f>WasteLog[[#This Row],[Qty]]*VLOOKUP(WasteLog[[#This Row],[SKU]],Menu[],MATCH("UnitCost",Menu[#Headers],0),FALSE)</f>
        <v>146.91</v>
      </c>
    </row>
    <row r="108" spans="1:5" x14ac:dyDescent="0.25">
      <c r="A108" s="2">
        <v>45856</v>
      </c>
      <c r="B108" t="s">
        <v>402</v>
      </c>
      <c r="C108">
        <v>4</v>
      </c>
      <c r="D108" t="s">
        <v>512</v>
      </c>
      <c r="E108">
        <f>WasteLog[[#This Row],[Qty]]*VLOOKUP(WasteLog[[#This Row],[SKU]],Menu[],MATCH("UnitCost",Menu[#Headers],0),FALSE)</f>
        <v>56.72</v>
      </c>
    </row>
    <row r="109" spans="1:5" x14ac:dyDescent="0.25">
      <c r="A109" s="2">
        <v>45859</v>
      </c>
      <c r="B109" t="s">
        <v>412</v>
      </c>
      <c r="C109">
        <v>2</v>
      </c>
      <c r="D109" t="s">
        <v>509</v>
      </c>
      <c r="E109">
        <f>WasteLog[[#This Row],[Qty]]*VLOOKUP(WasteLog[[#This Row],[SKU]],Menu[],MATCH("UnitCost",Menu[#Headers],0),FALSE)</f>
        <v>58.28</v>
      </c>
    </row>
    <row r="110" spans="1:5" x14ac:dyDescent="0.25">
      <c r="A110" s="2">
        <v>45877</v>
      </c>
      <c r="B110" t="s">
        <v>417</v>
      </c>
      <c r="C110">
        <v>1</v>
      </c>
      <c r="D110" t="s">
        <v>511</v>
      </c>
      <c r="E110">
        <f>WasteLog[[#This Row],[Qty]]*VLOOKUP(WasteLog[[#This Row],[SKU]],Menu[],MATCH("UnitCost",Menu[#Headers],0),FALSE)</f>
        <v>80.92</v>
      </c>
    </row>
    <row r="111" spans="1:5" x14ac:dyDescent="0.25">
      <c r="A111" s="2">
        <v>45854</v>
      </c>
      <c r="B111" t="s">
        <v>412</v>
      </c>
      <c r="C111">
        <v>2</v>
      </c>
      <c r="D111" t="s">
        <v>509</v>
      </c>
      <c r="E111">
        <f>WasteLog[[#This Row],[Qty]]*VLOOKUP(WasteLog[[#This Row],[SKU]],Menu[],MATCH("UnitCost",Menu[#Headers],0),FALSE)</f>
        <v>58.28</v>
      </c>
    </row>
    <row r="112" spans="1:5" x14ac:dyDescent="0.25">
      <c r="A112" s="2">
        <v>45894</v>
      </c>
      <c r="B112" t="s">
        <v>404</v>
      </c>
      <c r="C112">
        <v>3</v>
      </c>
      <c r="D112" t="s">
        <v>511</v>
      </c>
      <c r="E112">
        <f>WasteLog[[#This Row],[Qty]]*VLOOKUP(WasteLog[[#This Row],[SKU]],Menu[],MATCH("UnitCost",Menu[#Headers],0),FALSE)</f>
        <v>35.519999999999996</v>
      </c>
    </row>
    <row r="113" spans="1:5" x14ac:dyDescent="0.25">
      <c r="A113" s="2">
        <v>45876</v>
      </c>
      <c r="B113" t="s">
        <v>407</v>
      </c>
      <c r="C113">
        <v>4</v>
      </c>
      <c r="D113" t="s">
        <v>512</v>
      </c>
      <c r="E113">
        <f>WasteLog[[#This Row],[Qty]]*VLOOKUP(WasteLog[[#This Row],[SKU]],Menu[],MATCH("UnitCost",Menu[#Headers],0),FALSE)</f>
        <v>448.32</v>
      </c>
    </row>
    <row r="114" spans="1:5" x14ac:dyDescent="0.25">
      <c r="A114" s="2">
        <v>45887</v>
      </c>
      <c r="B114" t="s">
        <v>411</v>
      </c>
      <c r="C114">
        <v>1</v>
      </c>
      <c r="D114" t="s">
        <v>512</v>
      </c>
      <c r="E114">
        <f>WasteLog[[#This Row],[Qty]]*VLOOKUP(WasteLog[[#This Row],[SKU]],Menu[],MATCH("UnitCost",Menu[#Headers],0),FALSE)</f>
        <v>9.3800000000000008</v>
      </c>
    </row>
    <row r="115" spans="1:5" x14ac:dyDescent="0.25">
      <c r="A115" s="2">
        <v>45848</v>
      </c>
      <c r="B115" t="s">
        <v>410</v>
      </c>
      <c r="C115">
        <v>1</v>
      </c>
      <c r="D115" t="s">
        <v>509</v>
      </c>
      <c r="E115">
        <f>WasteLog[[#This Row],[Qty]]*VLOOKUP(WasteLog[[#This Row],[SKU]],Menu[],MATCH("UnitCost",Menu[#Headers],0),FALSE)</f>
        <v>8</v>
      </c>
    </row>
    <row r="116" spans="1:5" x14ac:dyDescent="0.25">
      <c r="A116" s="2">
        <v>45846</v>
      </c>
      <c r="B116" t="s">
        <v>402</v>
      </c>
      <c r="C116">
        <v>2</v>
      </c>
      <c r="D116" t="s">
        <v>510</v>
      </c>
      <c r="E116">
        <f>WasteLog[[#This Row],[Qty]]*VLOOKUP(WasteLog[[#This Row],[SKU]],Menu[],MATCH("UnitCost",Menu[#Headers],0),FALSE)</f>
        <v>28.36</v>
      </c>
    </row>
    <row r="117" spans="1:5" x14ac:dyDescent="0.25">
      <c r="A117" s="2">
        <v>45870</v>
      </c>
      <c r="B117" t="s">
        <v>416</v>
      </c>
      <c r="C117">
        <v>1</v>
      </c>
      <c r="D117" t="s">
        <v>511</v>
      </c>
      <c r="E117">
        <f>WasteLog[[#This Row],[Qty]]*VLOOKUP(WasteLog[[#This Row],[SKU]],Menu[],MATCH("UnitCost",Menu[#Headers],0),FALSE)</f>
        <v>96.22</v>
      </c>
    </row>
    <row r="118" spans="1:5" x14ac:dyDescent="0.25">
      <c r="A118" s="2">
        <v>45882</v>
      </c>
      <c r="B118" t="s">
        <v>403</v>
      </c>
      <c r="C118">
        <v>2</v>
      </c>
      <c r="D118" t="s">
        <v>509</v>
      </c>
      <c r="E118">
        <f>WasteLog[[#This Row],[Qty]]*VLOOKUP(WasteLog[[#This Row],[SKU]],Menu[],MATCH("UnitCost",Menu[#Headers],0),FALSE)</f>
        <v>76.459999999999994</v>
      </c>
    </row>
    <row r="119" spans="1:5" x14ac:dyDescent="0.25">
      <c r="A119" s="2">
        <v>45873</v>
      </c>
      <c r="B119" t="s">
        <v>414</v>
      </c>
      <c r="C119">
        <v>4</v>
      </c>
      <c r="D119" t="s">
        <v>510</v>
      </c>
      <c r="E119">
        <f>WasteLog[[#This Row],[Qty]]*VLOOKUP(WasteLog[[#This Row],[SKU]],Menu[],MATCH("UnitCost",Menu[#Headers],0),FALSE)</f>
        <v>195.88</v>
      </c>
    </row>
    <row r="120" spans="1:5" x14ac:dyDescent="0.25">
      <c r="A120" s="2">
        <v>45880</v>
      </c>
      <c r="B120" t="s">
        <v>418</v>
      </c>
      <c r="C120">
        <v>4</v>
      </c>
      <c r="D120" t="s">
        <v>510</v>
      </c>
      <c r="E120">
        <f>WasteLog[[#This Row],[Qty]]*VLOOKUP(WasteLog[[#This Row],[SKU]],Menu[],MATCH("UnitCost",Menu[#Headers],0),FALSE)</f>
        <v>62.04</v>
      </c>
    </row>
    <row r="121" spans="1:5" x14ac:dyDescent="0.25">
      <c r="A121" s="2">
        <v>45847</v>
      </c>
      <c r="B121" t="s">
        <v>401</v>
      </c>
      <c r="C121">
        <v>2</v>
      </c>
      <c r="D121" t="s">
        <v>509</v>
      </c>
      <c r="E121">
        <f>WasteLog[[#This Row],[Qty]]*VLOOKUP(WasteLog[[#This Row],[SKU]],Menu[],MATCH("UnitCost",Menu[#Headers],0),FALSE)</f>
        <v>51.6</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7CD37-1DDD-40DA-AF88-A74D78294EE7}">
  <dimension ref="A1:D221"/>
  <sheetViews>
    <sheetView workbookViewId="0">
      <selection activeCell="F9" sqref="F9"/>
    </sheetView>
  </sheetViews>
  <sheetFormatPr defaultRowHeight="15" x14ac:dyDescent="0.25"/>
  <cols>
    <col min="1" max="1" width="10.140625" bestFit="1" customWidth="1"/>
    <col min="2" max="2" width="14.85546875" bestFit="1" customWidth="1"/>
    <col min="4" max="4" width="11.85546875" customWidth="1"/>
  </cols>
  <sheetData>
    <row r="1" spans="1:4" x14ac:dyDescent="0.25">
      <c r="A1" s="3" t="s">
        <v>507</v>
      </c>
      <c r="B1" s="3" t="s">
        <v>2</v>
      </c>
      <c r="C1" s="3" t="s">
        <v>513</v>
      </c>
      <c r="D1" s="3" t="s">
        <v>514</v>
      </c>
    </row>
    <row r="2" spans="1:4" x14ac:dyDescent="0.25">
      <c r="A2" s="2">
        <v>45846</v>
      </c>
      <c r="B2" t="s">
        <v>27</v>
      </c>
      <c r="C2">
        <v>4</v>
      </c>
      <c r="D2" t="s">
        <v>515</v>
      </c>
    </row>
    <row r="3" spans="1:4" x14ac:dyDescent="0.25">
      <c r="A3" s="2">
        <v>45875</v>
      </c>
      <c r="B3" t="s">
        <v>9</v>
      </c>
      <c r="C3">
        <v>3</v>
      </c>
      <c r="D3" t="s">
        <v>516</v>
      </c>
    </row>
    <row r="4" spans="1:4" x14ac:dyDescent="0.25">
      <c r="A4" s="2">
        <v>45869</v>
      </c>
      <c r="B4" t="s">
        <v>15</v>
      </c>
      <c r="C4">
        <v>2</v>
      </c>
      <c r="D4" t="s">
        <v>517</v>
      </c>
    </row>
    <row r="5" spans="1:4" x14ac:dyDescent="0.25">
      <c r="A5" s="2">
        <v>45839</v>
      </c>
      <c r="B5" t="s">
        <v>15</v>
      </c>
      <c r="C5">
        <v>5</v>
      </c>
      <c r="D5" t="s">
        <v>518</v>
      </c>
    </row>
    <row r="6" spans="1:4" x14ac:dyDescent="0.25">
      <c r="A6" s="2">
        <v>45865</v>
      </c>
      <c r="B6" t="s">
        <v>27</v>
      </c>
      <c r="C6">
        <v>3</v>
      </c>
      <c r="D6" t="s">
        <v>517</v>
      </c>
    </row>
    <row r="7" spans="1:4" x14ac:dyDescent="0.25">
      <c r="A7" s="2">
        <v>45857</v>
      </c>
      <c r="B7" t="s">
        <v>15</v>
      </c>
      <c r="C7">
        <v>5</v>
      </c>
      <c r="D7" t="s">
        <v>516</v>
      </c>
    </row>
    <row r="8" spans="1:4" x14ac:dyDescent="0.25">
      <c r="A8" s="2">
        <v>45849</v>
      </c>
      <c r="B8" t="s">
        <v>27</v>
      </c>
      <c r="C8">
        <v>2</v>
      </c>
      <c r="D8" t="s">
        <v>518</v>
      </c>
    </row>
    <row r="9" spans="1:4" x14ac:dyDescent="0.25">
      <c r="A9" s="2">
        <v>45892</v>
      </c>
      <c r="B9" t="s">
        <v>27</v>
      </c>
      <c r="C9">
        <v>4</v>
      </c>
      <c r="D9" t="s">
        <v>516</v>
      </c>
    </row>
    <row r="10" spans="1:4" x14ac:dyDescent="0.25">
      <c r="A10" s="2">
        <v>45840</v>
      </c>
      <c r="B10" t="s">
        <v>15</v>
      </c>
      <c r="C10">
        <v>5</v>
      </c>
      <c r="D10" t="s">
        <v>516</v>
      </c>
    </row>
    <row r="11" spans="1:4" x14ac:dyDescent="0.25">
      <c r="A11" s="2">
        <v>45847</v>
      </c>
      <c r="B11" t="s">
        <v>9</v>
      </c>
      <c r="C11">
        <v>3</v>
      </c>
      <c r="D11" t="s">
        <v>515</v>
      </c>
    </row>
    <row r="12" spans="1:4" x14ac:dyDescent="0.25">
      <c r="A12" s="2">
        <v>45875</v>
      </c>
      <c r="B12" t="s">
        <v>27</v>
      </c>
      <c r="C12">
        <v>3</v>
      </c>
      <c r="D12" t="s">
        <v>519</v>
      </c>
    </row>
    <row r="13" spans="1:4" x14ac:dyDescent="0.25">
      <c r="A13" s="2">
        <v>45868</v>
      </c>
      <c r="B13" t="s">
        <v>15</v>
      </c>
      <c r="C13">
        <v>5</v>
      </c>
      <c r="D13" t="s">
        <v>515</v>
      </c>
    </row>
    <row r="14" spans="1:4" x14ac:dyDescent="0.25">
      <c r="A14" s="2">
        <v>45845</v>
      </c>
      <c r="B14" t="s">
        <v>27</v>
      </c>
      <c r="C14">
        <v>5</v>
      </c>
      <c r="D14" t="s">
        <v>519</v>
      </c>
    </row>
    <row r="15" spans="1:4" x14ac:dyDescent="0.25">
      <c r="A15" s="2">
        <v>45879</v>
      </c>
      <c r="B15" t="s">
        <v>15</v>
      </c>
      <c r="C15">
        <v>5</v>
      </c>
      <c r="D15" t="s">
        <v>517</v>
      </c>
    </row>
    <row r="16" spans="1:4" x14ac:dyDescent="0.25">
      <c r="A16" s="2">
        <v>45874</v>
      </c>
      <c r="B16" t="s">
        <v>15</v>
      </c>
      <c r="C16">
        <v>3</v>
      </c>
      <c r="D16" t="s">
        <v>520</v>
      </c>
    </row>
    <row r="17" spans="1:4" x14ac:dyDescent="0.25">
      <c r="A17" s="2">
        <v>45896</v>
      </c>
      <c r="B17" t="s">
        <v>9</v>
      </c>
      <c r="C17">
        <v>3</v>
      </c>
      <c r="D17" t="s">
        <v>520</v>
      </c>
    </row>
    <row r="18" spans="1:4" x14ac:dyDescent="0.25">
      <c r="A18" s="2">
        <v>45849</v>
      </c>
      <c r="B18" t="s">
        <v>27</v>
      </c>
      <c r="C18">
        <v>4</v>
      </c>
    </row>
    <row r="19" spans="1:4" x14ac:dyDescent="0.25">
      <c r="A19" s="2">
        <v>45877</v>
      </c>
      <c r="B19" t="s">
        <v>15</v>
      </c>
      <c r="C19">
        <v>5</v>
      </c>
      <c r="D19" t="s">
        <v>518</v>
      </c>
    </row>
    <row r="20" spans="1:4" x14ac:dyDescent="0.25">
      <c r="A20" s="2">
        <v>45881</v>
      </c>
      <c r="B20" t="s">
        <v>15</v>
      </c>
      <c r="C20">
        <v>5</v>
      </c>
      <c r="D20" t="s">
        <v>515</v>
      </c>
    </row>
    <row r="21" spans="1:4" x14ac:dyDescent="0.25">
      <c r="A21" s="2">
        <v>45868</v>
      </c>
      <c r="B21" t="s">
        <v>15</v>
      </c>
      <c r="C21">
        <v>3</v>
      </c>
      <c r="D21" t="s">
        <v>520</v>
      </c>
    </row>
    <row r="22" spans="1:4" x14ac:dyDescent="0.25">
      <c r="A22" s="2">
        <v>45869</v>
      </c>
      <c r="B22" t="s">
        <v>27</v>
      </c>
      <c r="C22">
        <v>5</v>
      </c>
      <c r="D22" t="s">
        <v>518</v>
      </c>
    </row>
    <row r="23" spans="1:4" x14ac:dyDescent="0.25">
      <c r="A23" s="2">
        <v>45867</v>
      </c>
      <c r="B23" t="s">
        <v>9</v>
      </c>
      <c r="C23">
        <v>5</v>
      </c>
      <c r="D23" t="s">
        <v>521</v>
      </c>
    </row>
    <row r="24" spans="1:4" x14ac:dyDescent="0.25">
      <c r="A24" s="2">
        <v>45870</v>
      </c>
      <c r="B24" t="s">
        <v>15</v>
      </c>
      <c r="C24">
        <v>4</v>
      </c>
      <c r="D24" t="s">
        <v>516</v>
      </c>
    </row>
    <row r="25" spans="1:4" x14ac:dyDescent="0.25">
      <c r="A25" s="2">
        <v>45874</v>
      </c>
      <c r="B25" t="s">
        <v>27</v>
      </c>
      <c r="C25">
        <v>3</v>
      </c>
      <c r="D25" t="s">
        <v>515</v>
      </c>
    </row>
    <row r="26" spans="1:4" x14ac:dyDescent="0.25">
      <c r="A26" s="2">
        <v>45892</v>
      </c>
      <c r="B26" t="s">
        <v>27</v>
      </c>
      <c r="C26">
        <v>5</v>
      </c>
      <c r="D26" t="s">
        <v>521</v>
      </c>
    </row>
    <row r="27" spans="1:4" x14ac:dyDescent="0.25">
      <c r="A27" s="2">
        <v>45881</v>
      </c>
      <c r="B27" t="s">
        <v>15</v>
      </c>
      <c r="C27">
        <v>2</v>
      </c>
      <c r="D27" t="s">
        <v>516</v>
      </c>
    </row>
    <row r="28" spans="1:4" x14ac:dyDescent="0.25">
      <c r="A28" s="2">
        <v>45887</v>
      </c>
      <c r="B28" t="s">
        <v>27</v>
      </c>
      <c r="C28">
        <v>4</v>
      </c>
      <c r="D28" t="s">
        <v>521</v>
      </c>
    </row>
    <row r="29" spans="1:4" x14ac:dyDescent="0.25">
      <c r="A29" s="2">
        <v>45863</v>
      </c>
      <c r="B29" t="s">
        <v>9</v>
      </c>
      <c r="C29">
        <v>3</v>
      </c>
      <c r="D29" t="s">
        <v>516</v>
      </c>
    </row>
    <row r="30" spans="1:4" x14ac:dyDescent="0.25">
      <c r="A30" s="2">
        <v>45875</v>
      </c>
      <c r="B30" t="s">
        <v>27</v>
      </c>
      <c r="C30">
        <v>5</v>
      </c>
      <c r="D30" t="s">
        <v>520</v>
      </c>
    </row>
    <row r="31" spans="1:4" x14ac:dyDescent="0.25">
      <c r="A31" s="2">
        <v>45895</v>
      </c>
      <c r="B31" t="s">
        <v>15</v>
      </c>
      <c r="C31">
        <v>5</v>
      </c>
    </row>
    <row r="32" spans="1:4" x14ac:dyDescent="0.25">
      <c r="A32" s="2">
        <v>45873</v>
      </c>
      <c r="B32" t="s">
        <v>9</v>
      </c>
      <c r="C32">
        <v>2</v>
      </c>
      <c r="D32" t="s">
        <v>517</v>
      </c>
    </row>
    <row r="33" spans="1:4" x14ac:dyDescent="0.25">
      <c r="A33" s="2">
        <v>45863</v>
      </c>
      <c r="B33" t="s">
        <v>9</v>
      </c>
      <c r="C33">
        <v>4</v>
      </c>
      <c r="D33" t="s">
        <v>515</v>
      </c>
    </row>
    <row r="34" spans="1:4" x14ac:dyDescent="0.25">
      <c r="A34" s="2">
        <v>45843</v>
      </c>
      <c r="B34" t="s">
        <v>9</v>
      </c>
      <c r="C34">
        <v>5</v>
      </c>
      <c r="D34" t="s">
        <v>518</v>
      </c>
    </row>
    <row r="35" spans="1:4" x14ac:dyDescent="0.25">
      <c r="A35" s="2">
        <v>45880</v>
      </c>
      <c r="B35" t="s">
        <v>27</v>
      </c>
      <c r="C35">
        <v>2</v>
      </c>
      <c r="D35" t="s">
        <v>517</v>
      </c>
    </row>
    <row r="36" spans="1:4" x14ac:dyDescent="0.25">
      <c r="A36" s="2">
        <v>45864</v>
      </c>
      <c r="B36" t="s">
        <v>27</v>
      </c>
      <c r="C36">
        <v>3</v>
      </c>
      <c r="D36" t="s">
        <v>520</v>
      </c>
    </row>
    <row r="37" spans="1:4" x14ac:dyDescent="0.25">
      <c r="A37" s="2">
        <v>45875</v>
      </c>
      <c r="B37" t="s">
        <v>15</v>
      </c>
      <c r="C37">
        <v>5</v>
      </c>
      <c r="D37" t="s">
        <v>515</v>
      </c>
    </row>
    <row r="38" spans="1:4" x14ac:dyDescent="0.25">
      <c r="A38" s="2">
        <v>45872</v>
      </c>
      <c r="B38" t="s">
        <v>27</v>
      </c>
      <c r="C38">
        <v>5</v>
      </c>
      <c r="D38" t="s">
        <v>517</v>
      </c>
    </row>
    <row r="39" spans="1:4" x14ac:dyDescent="0.25">
      <c r="A39" s="2">
        <v>45867</v>
      </c>
      <c r="B39" t="s">
        <v>15</v>
      </c>
      <c r="C39">
        <v>2</v>
      </c>
      <c r="D39" t="s">
        <v>517</v>
      </c>
    </row>
    <row r="40" spans="1:4" x14ac:dyDescent="0.25">
      <c r="A40" s="2">
        <v>45852</v>
      </c>
      <c r="B40" t="s">
        <v>15</v>
      </c>
      <c r="C40">
        <v>4</v>
      </c>
      <c r="D40" t="s">
        <v>518</v>
      </c>
    </row>
    <row r="41" spans="1:4" x14ac:dyDescent="0.25">
      <c r="A41" s="2">
        <v>45883</v>
      </c>
      <c r="B41" t="s">
        <v>27</v>
      </c>
      <c r="C41">
        <v>5</v>
      </c>
      <c r="D41" t="s">
        <v>518</v>
      </c>
    </row>
    <row r="42" spans="1:4" x14ac:dyDescent="0.25">
      <c r="A42" s="2">
        <v>45885</v>
      </c>
      <c r="B42" t="s">
        <v>27</v>
      </c>
      <c r="C42">
        <v>5</v>
      </c>
      <c r="D42" t="s">
        <v>520</v>
      </c>
    </row>
    <row r="43" spans="1:4" x14ac:dyDescent="0.25">
      <c r="A43" s="2">
        <v>45869</v>
      </c>
      <c r="B43" t="s">
        <v>27</v>
      </c>
      <c r="C43">
        <v>4</v>
      </c>
    </row>
    <row r="44" spans="1:4" x14ac:dyDescent="0.25">
      <c r="A44" s="2">
        <v>45850</v>
      </c>
      <c r="B44" t="s">
        <v>27</v>
      </c>
      <c r="C44">
        <v>4</v>
      </c>
      <c r="D44" t="s">
        <v>517</v>
      </c>
    </row>
    <row r="45" spans="1:4" x14ac:dyDescent="0.25">
      <c r="A45" s="2">
        <v>45854</v>
      </c>
      <c r="B45" t="s">
        <v>9</v>
      </c>
      <c r="C45">
        <v>3</v>
      </c>
      <c r="D45" t="s">
        <v>515</v>
      </c>
    </row>
    <row r="46" spans="1:4" x14ac:dyDescent="0.25">
      <c r="A46" s="2">
        <v>45892</v>
      </c>
      <c r="B46" t="s">
        <v>27</v>
      </c>
      <c r="C46">
        <v>4</v>
      </c>
      <c r="D46" t="s">
        <v>516</v>
      </c>
    </row>
    <row r="47" spans="1:4" x14ac:dyDescent="0.25">
      <c r="A47" s="2">
        <v>45883</v>
      </c>
      <c r="B47" t="s">
        <v>27</v>
      </c>
      <c r="C47">
        <v>5</v>
      </c>
      <c r="D47" t="s">
        <v>515</v>
      </c>
    </row>
    <row r="48" spans="1:4" x14ac:dyDescent="0.25">
      <c r="A48" s="2">
        <v>45857</v>
      </c>
      <c r="B48" t="s">
        <v>9</v>
      </c>
      <c r="C48">
        <v>5</v>
      </c>
      <c r="D48" t="s">
        <v>516</v>
      </c>
    </row>
    <row r="49" spans="1:4" x14ac:dyDescent="0.25">
      <c r="A49" s="2">
        <v>45841</v>
      </c>
      <c r="B49" t="s">
        <v>9</v>
      </c>
      <c r="C49">
        <v>3</v>
      </c>
      <c r="D49" t="s">
        <v>520</v>
      </c>
    </row>
    <row r="50" spans="1:4" x14ac:dyDescent="0.25">
      <c r="A50" s="2">
        <v>45896</v>
      </c>
      <c r="B50" t="s">
        <v>15</v>
      </c>
      <c r="C50">
        <v>5</v>
      </c>
    </row>
    <row r="51" spans="1:4" x14ac:dyDescent="0.25">
      <c r="A51" s="2">
        <v>45859</v>
      </c>
      <c r="B51" t="s">
        <v>27</v>
      </c>
      <c r="C51">
        <v>4</v>
      </c>
      <c r="D51" t="s">
        <v>517</v>
      </c>
    </row>
    <row r="52" spans="1:4" x14ac:dyDescent="0.25">
      <c r="A52" s="2">
        <v>45895</v>
      </c>
      <c r="B52" t="s">
        <v>27</v>
      </c>
      <c r="C52">
        <v>3</v>
      </c>
      <c r="D52" t="s">
        <v>518</v>
      </c>
    </row>
    <row r="53" spans="1:4" x14ac:dyDescent="0.25">
      <c r="A53" s="2">
        <v>45870</v>
      </c>
      <c r="B53" t="s">
        <v>27</v>
      </c>
      <c r="C53">
        <v>5</v>
      </c>
      <c r="D53" t="s">
        <v>517</v>
      </c>
    </row>
    <row r="54" spans="1:4" x14ac:dyDescent="0.25">
      <c r="A54" s="2">
        <v>45864</v>
      </c>
      <c r="B54" t="s">
        <v>9</v>
      </c>
      <c r="C54">
        <v>5</v>
      </c>
      <c r="D54" t="s">
        <v>518</v>
      </c>
    </row>
    <row r="55" spans="1:4" x14ac:dyDescent="0.25">
      <c r="A55" s="2">
        <v>45896</v>
      </c>
      <c r="B55" t="s">
        <v>15</v>
      </c>
      <c r="C55">
        <v>5</v>
      </c>
      <c r="D55" t="s">
        <v>517</v>
      </c>
    </row>
    <row r="56" spans="1:4" x14ac:dyDescent="0.25">
      <c r="A56" s="2">
        <v>45872</v>
      </c>
      <c r="B56" t="s">
        <v>15</v>
      </c>
      <c r="C56">
        <v>5</v>
      </c>
      <c r="D56" t="s">
        <v>515</v>
      </c>
    </row>
    <row r="57" spans="1:4" x14ac:dyDescent="0.25">
      <c r="A57" s="2">
        <v>45867</v>
      </c>
      <c r="B57" t="s">
        <v>9</v>
      </c>
      <c r="C57">
        <v>2</v>
      </c>
      <c r="D57" t="s">
        <v>515</v>
      </c>
    </row>
    <row r="58" spans="1:4" x14ac:dyDescent="0.25">
      <c r="A58" s="2">
        <v>45869</v>
      </c>
      <c r="B58" t="s">
        <v>27</v>
      </c>
      <c r="C58">
        <v>3</v>
      </c>
      <c r="D58" t="s">
        <v>519</v>
      </c>
    </row>
    <row r="59" spans="1:4" x14ac:dyDescent="0.25">
      <c r="A59" s="2">
        <v>45850</v>
      </c>
      <c r="B59" t="s">
        <v>27</v>
      </c>
      <c r="C59">
        <v>4</v>
      </c>
      <c r="D59" t="s">
        <v>515</v>
      </c>
    </row>
    <row r="60" spans="1:4" x14ac:dyDescent="0.25">
      <c r="A60" s="2">
        <v>45888</v>
      </c>
      <c r="B60" t="s">
        <v>15</v>
      </c>
      <c r="C60">
        <v>5</v>
      </c>
      <c r="D60" t="s">
        <v>515</v>
      </c>
    </row>
    <row r="61" spans="1:4" x14ac:dyDescent="0.25">
      <c r="A61" s="2">
        <v>45894</v>
      </c>
      <c r="B61" t="s">
        <v>15</v>
      </c>
      <c r="C61">
        <v>5</v>
      </c>
      <c r="D61" t="s">
        <v>515</v>
      </c>
    </row>
    <row r="62" spans="1:4" x14ac:dyDescent="0.25">
      <c r="A62" s="2">
        <v>45886</v>
      </c>
      <c r="B62" t="s">
        <v>9</v>
      </c>
      <c r="C62">
        <v>3</v>
      </c>
      <c r="D62" t="s">
        <v>515</v>
      </c>
    </row>
    <row r="63" spans="1:4" x14ac:dyDescent="0.25">
      <c r="A63" s="2">
        <v>45886</v>
      </c>
      <c r="B63" t="s">
        <v>15</v>
      </c>
      <c r="C63">
        <v>3</v>
      </c>
      <c r="D63" t="s">
        <v>515</v>
      </c>
    </row>
    <row r="64" spans="1:4" x14ac:dyDescent="0.25">
      <c r="A64" s="2">
        <v>45869</v>
      </c>
      <c r="B64" t="s">
        <v>15</v>
      </c>
      <c r="C64">
        <v>2</v>
      </c>
      <c r="D64" t="s">
        <v>518</v>
      </c>
    </row>
    <row r="65" spans="1:4" x14ac:dyDescent="0.25">
      <c r="A65" s="2">
        <v>45839</v>
      </c>
      <c r="B65" t="s">
        <v>15</v>
      </c>
      <c r="C65">
        <v>3</v>
      </c>
      <c r="D65" t="s">
        <v>521</v>
      </c>
    </row>
    <row r="66" spans="1:4" x14ac:dyDescent="0.25">
      <c r="A66" s="2">
        <v>45876</v>
      </c>
      <c r="B66" t="s">
        <v>9</v>
      </c>
      <c r="C66">
        <v>5</v>
      </c>
      <c r="D66" t="s">
        <v>516</v>
      </c>
    </row>
    <row r="67" spans="1:4" x14ac:dyDescent="0.25">
      <c r="A67" s="2">
        <v>45886</v>
      </c>
      <c r="B67" t="s">
        <v>15</v>
      </c>
      <c r="C67">
        <v>5</v>
      </c>
      <c r="D67" t="s">
        <v>520</v>
      </c>
    </row>
    <row r="68" spans="1:4" x14ac:dyDescent="0.25">
      <c r="A68" s="2">
        <v>45855</v>
      </c>
      <c r="B68" t="s">
        <v>27</v>
      </c>
      <c r="C68">
        <v>2</v>
      </c>
      <c r="D68" t="s">
        <v>521</v>
      </c>
    </row>
    <row r="69" spans="1:4" x14ac:dyDescent="0.25">
      <c r="A69" s="2">
        <v>45867</v>
      </c>
      <c r="B69" t="s">
        <v>27</v>
      </c>
      <c r="C69">
        <v>4</v>
      </c>
      <c r="D69" t="s">
        <v>521</v>
      </c>
    </row>
    <row r="70" spans="1:4" x14ac:dyDescent="0.25">
      <c r="A70" s="2">
        <v>45891</v>
      </c>
      <c r="B70" t="s">
        <v>15</v>
      </c>
      <c r="C70">
        <v>3</v>
      </c>
      <c r="D70" t="s">
        <v>520</v>
      </c>
    </row>
    <row r="71" spans="1:4" x14ac:dyDescent="0.25">
      <c r="A71" s="2">
        <v>45893</v>
      </c>
      <c r="B71" t="s">
        <v>9</v>
      </c>
      <c r="C71">
        <v>5</v>
      </c>
      <c r="D71" t="s">
        <v>517</v>
      </c>
    </row>
    <row r="72" spans="1:4" x14ac:dyDescent="0.25">
      <c r="A72" s="2">
        <v>45894</v>
      </c>
      <c r="B72" t="s">
        <v>27</v>
      </c>
      <c r="C72">
        <v>4</v>
      </c>
      <c r="D72" t="s">
        <v>518</v>
      </c>
    </row>
    <row r="73" spans="1:4" x14ac:dyDescent="0.25">
      <c r="A73" s="2">
        <v>45891</v>
      </c>
      <c r="B73" t="s">
        <v>27</v>
      </c>
      <c r="C73">
        <v>5</v>
      </c>
      <c r="D73" t="s">
        <v>521</v>
      </c>
    </row>
    <row r="74" spans="1:4" x14ac:dyDescent="0.25">
      <c r="A74" s="2">
        <v>45880</v>
      </c>
      <c r="B74" t="s">
        <v>27</v>
      </c>
      <c r="C74">
        <v>3</v>
      </c>
      <c r="D74" t="s">
        <v>519</v>
      </c>
    </row>
    <row r="75" spans="1:4" x14ac:dyDescent="0.25">
      <c r="A75" s="2">
        <v>45842</v>
      </c>
      <c r="B75" t="s">
        <v>15</v>
      </c>
      <c r="C75">
        <v>4</v>
      </c>
      <c r="D75" t="s">
        <v>518</v>
      </c>
    </row>
    <row r="76" spans="1:4" x14ac:dyDescent="0.25">
      <c r="A76" s="2">
        <v>45847</v>
      </c>
      <c r="B76" t="s">
        <v>15</v>
      </c>
      <c r="C76">
        <v>2</v>
      </c>
      <c r="D76" t="s">
        <v>521</v>
      </c>
    </row>
    <row r="77" spans="1:4" x14ac:dyDescent="0.25">
      <c r="A77" s="2">
        <v>45859</v>
      </c>
      <c r="B77" t="s">
        <v>9</v>
      </c>
      <c r="C77">
        <v>4</v>
      </c>
      <c r="D77" t="s">
        <v>516</v>
      </c>
    </row>
    <row r="78" spans="1:4" x14ac:dyDescent="0.25">
      <c r="A78" s="2">
        <v>45855</v>
      </c>
      <c r="B78" t="s">
        <v>9</v>
      </c>
      <c r="C78">
        <v>3</v>
      </c>
      <c r="D78" t="s">
        <v>521</v>
      </c>
    </row>
    <row r="79" spans="1:4" x14ac:dyDescent="0.25">
      <c r="A79" s="2">
        <v>45859</v>
      </c>
      <c r="B79" t="s">
        <v>27</v>
      </c>
      <c r="C79">
        <v>4</v>
      </c>
      <c r="D79" t="s">
        <v>519</v>
      </c>
    </row>
    <row r="80" spans="1:4" x14ac:dyDescent="0.25">
      <c r="A80" s="2">
        <v>45896</v>
      </c>
      <c r="B80" t="s">
        <v>9</v>
      </c>
      <c r="C80">
        <v>3</v>
      </c>
      <c r="D80" t="s">
        <v>518</v>
      </c>
    </row>
    <row r="81" spans="1:4" x14ac:dyDescent="0.25">
      <c r="A81" s="2">
        <v>45867</v>
      </c>
      <c r="B81" t="s">
        <v>15</v>
      </c>
      <c r="C81">
        <v>4</v>
      </c>
      <c r="D81" t="s">
        <v>517</v>
      </c>
    </row>
    <row r="82" spans="1:4" x14ac:dyDescent="0.25">
      <c r="A82" s="2">
        <v>45852</v>
      </c>
      <c r="B82" t="s">
        <v>15</v>
      </c>
      <c r="C82">
        <v>2</v>
      </c>
      <c r="D82" t="s">
        <v>519</v>
      </c>
    </row>
    <row r="83" spans="1:4" x14ac:dyDescent="0.25">
      <c r="A83" s="2">
        <v>45851</v>
      </c>
      <c r="B83" t="s">
        <v>9</v>
      </c>
      <c r="C83">
        <v>3</v>
      </c>
      <c r="D83" t="s">
        <v>521</v>
      </c>
    </row>
    <row r="84" spans="1:4" x14ac:dyDescent="0.25">
      <c r="A84" s="2">
        <v>45853</v>
      </c>
      <c r="B84" t="s">
        <v>9</v>
      </c>
      <c r="C84">
        <v>4</v>
      </c>
      <c r="D84" t="s">
        <v>521</v>
      </c>
    </row>
    <row r="85" spans="1:4" x14ac:dyDescent="0.25">
      <c r="A85" s="2">
        <v>45877</v>
      </c>
      <c r="B85" t="s">
        <v>15</v>
      </c>
      <c r="C85">
        <v>3</v>
      </c>
      <c r="D85" t="s">
        <v>519</v>
      </c>
    </row>
    <row r="86" spans="1:4" x14ac:dyDescent="0.25">
      <c r="A86" s="2">
        <v>45879</v>
      </c>
      <c r="B86" t="s">
        <v>15</v>
      </c>
      <c r="C86">
        <v>5</v>
      </c>
      <c r="D86" t="s">
        <v>517</v>
      </c>
    </row>
    <row r="87" spans="1:4" x14ac:dyDescent="0.25">
      <c r="A87" s="2">
        <v>45848</v>
      </c>
      <c r="B87" t="s">
        <v>15</v>
      </c>
      <c r="C87">
        <v>4</v>
      </c>
      <c r="D87" t="s">
        <v>518</v>
      </c>
    </row>
    <row r="88" spans="1:4" x14ac:dyDescent="0.25">
      <c r="A88" s="2">
        <v>45883</v>
      </c>
      <c r="B88" t="s">
        <v>15</v>
      </c>
      <c r="C88">
        <v>4</v>
      </c>
    </row>
    <row r="89" spans="1:4" x14ac:dyDescent="0.25">
      <c r="A89" s="2">
        <v>45848</v>
      </c>
      <c r="B89" t="s">
        <v>9</v>
      </c>
      <c r="C89">
        <v>5</v>
      </c>
      <c r="D89" t="s">
        <v>518</v>
      </c>
    </row>
    <row r="90" spans="1:4" x14ac:dyDescent="0.25">
      <c r="A90" s="2">
        <v>45845</v>
      </c>
      <c r="B90" t="s">
        <v>9</v>
      </c>
      <c r="C90">
        <v>5</v>
      </c>
      <c r="D90" t="s">
        <v>521</v>
      </c>
    </row>
    <row r="91" spans="1:4" x14ac:dyDescent="0.25">
      <c r="A91" s="2">
        <v>45880</v>
      </c>
      <c r="B91" t="s">
        <v>27</v>
      </c>
      <c r="C91">
        <v>5</v>
      </c>
      <c r="D91" t="s">
        <v>519</v>
      </c>
    </row>
    <row r="92" spans="1:4" x14ac:dyDescent="0.25">
      <c r="A92" s="2">
        <v>45870</v>
      </c>
      <c r="B92" t="s">
        <v>15</v>
      </c>
      <c r="C92">
        <v>4</v>
      </c>
      <c r="D92" t="s">
        <v>515</v>
      </c>
    </row>
    <row r="93" spans="1:4" x14ac:dyDescent="0.25">
      <c r="A93" s="2">
        <v>45893</v>
      </c>
      <c r="B93" t="s">
        <v>15</v>
      </c>
      <c r="C93">
        <v>4</v>
      </c>
    </row>
    <row r="94" spans="1:4" x14ac:dyDescent="0.25">
      <c r="A94" s="2">
        <v>45843</v>
      </c>
      <c r="B94" t="s">
        <v>27</v>
      </c>
      <c r="C94">
        <v>5</v>
      </c>
    </row>
    <row r="95" spans="1:4" x14ac:dyDescent="0.25">
      <c r="A95" s="2">
        <v>45851</v>
      </c>
      <c r="B95" t="s">
        <v>27</v>
      </c>
      <c r="C95">
        <v>5</v>
      </c>
      <c r="D95" t="s">
        <v>520</v>
      </c>
    </row>
    <row r="96" spans="1:4" x14ac:dyDescent="0.25">
      <c r="A96" s="2">
        <v>45839</v>
      </c>
      <c r="B96" t="s">
        <v>15</v>
      </c>
      <c r="C96">
        <v>3</v>
      </c>
      <c r="D96" t="s">
        <v>515</v>
      </c>
    </row>
    <row r="97" spans="1:4" x14ac:dyDescent="0.25">
      <c r="A97" s="2">
        <v>45868</v>
      </c>
      <c r="B97" t="s">
        <v>27</v>
      </c>
      <c r="C97">
        <v>4</v>
      </c>
      <c r="D97" t="s">
        <v>517</v>
      </c>
    </row>
    <row r="98" spans="1:4" x14ac:dyDescent="0.25">
      <c r="A98" s="2">
        <v>45873</v>
      </c>
      <c r="B98" t="s">
        <v>15</v>
      </c>
      <c r="C98">
        <v>2</v>
      </c>
      <c r="D98" t="s">
        <v>518</v>
      </c>
    </row>
    <row r="99" spans="1:4" x14ac:dyDescent="0.25">
      <c r="A99" s="2">
        <v>45855</v>
      </c>
      <c r="B99" t="s">
        <v>27</v>
      </c>
      <c r="C99">
        <v>5</v>
      </c>
      <c r="D99" t="s">
        <v>519</v>
      </c>
    </row>
    <row r="100" spans="1:4" x14ac:dyDescent="0.25">
      <c r="A100" s="2">
        <v>45861</v>
      </c>
      <c r="B100" t="s">
        <v>15</v>
      </c>
      <c r="C100">
        <v>2</v>
      </c>
      <c r="D100" t="s">
        <v>517</v>
      </c>
    </row>
    <row r="101" spans="1:4" x14ac:dyDescent="0.25">
      <c r="A101" s="2">
        <v>45839</v>
      </c>
      <c r="B101" t="s">
        <v>27</v>
      </c>
      <c r="C101">
        <v>5</v>
      </c>
      <c r="D101" t="s">
        <v>517</v>
      </c>
    </row>
    <row r="102" spans="1:4" x14ac:dyDescent="0.25">
      <c r="A102" s="2">
        <v>45851</v>
      </c>
      <c r="B102" t="s">
        <v>9</v>
      </c>
      <c r="C102">
        <v>3</v>
      </c>
      <c r="D102" t="s">
        <v>520</v>
      </c>
    </row>
    <row r="103" spans="1:4" x14ac:dyDescent="0.25">
      <c r="A103" s="2">
        <v>45839</v>
      </c>
      <c r="B103" t="s">
        <v>27</v>
      </c>
      <c r="C103">
        <v>4</v>
      </c>
      <c r="D103" t="s">
        <v>517</v>
      </c>
    </row>
    <row r="104" spans="1:4" x14ac:dyDescent="0.25">
      <c r="A104" s="2">
        <v>45880</v>
      </c>
      <c r="B104" t="s">
        <v>9</v>
      </c>
      <c r="C104">
        <v>3</v>
      </c>
      <c r="D104" t="s">
        <v>520</v>
      </c>
    </row>
    <row r="105" spans="1:4" x14ac:dyDescent="0.25">
      <c r="A105" s="2">
        <v>45845</v>
      </c>
      <c r="B105" t="s">
        <v>27</v>
      </c>
      <c r="C105">
        <v>5</v>
      </c>
      <c r="D105" t="s">
        <v>517</v>
      </c>
    </row>
    <row r="106" spans="1:4" x14ac:dyDescent="0.25">
      <c r="A106" s="2">
        <v>45848</v>
      </c>
      <c r="B106" t="s">
        <v>27</v>
      </c>
      <c r="C106">
        <v>4</v>
      </c>
      <c r="D106" t="s">
        <v>518</v>
      </c>
    </row>
    <row r="107" spans="1:4" x14ac:dyDescent="0.25">
      <c r="A107" s="2">
        <v>45868</v>
      </c>
      <c r="B107" t="s">
        <v>27</v>
      </c>
      <c r="C107">
        <v>5</v>
      </c>
      <c r="D107" t="s">
        <v>515</v>
      </c>
    </row>
    <row r="108" spans="1:4" x14ac:dyDescent="0.25">
      <c r="A108" s="2">
        <v>45852</v>
      </c>
      <c r="B108" t="s">
        <v>27</v>
      </c>
      <c r="C108">
        <v>2</v>
      </c>
      <c r="D108" t="s">
        <v>515</v>
      </c>
    </row>
    <row r="109" spans="1:4" x14ac:dyDescent="0.25">
      <c r="A109" s="2">
        <v>45881</v>
      </c>
      <c r="B109" t="s">
        <v>15</v>
      </c>
      <c r="C109">
        <v>3</v>
      </c>
      <c r="D109" t="s">
        <v>515</v>
      </c>
    </row>
    <row r="110" spans="1:4" x14ac:dyDescent="0.25">
      <c r="A110" s="2">
        <v>45878</v>
      </c>
      <c r="B110" t="s">
        <v>9</v>
      </c>
      <c r="C110">
        <v>5</v>
      </c>
      <c r="D110" t="s">
        <v>521</v>
      </c>
    </row>
    <row r="111" spans="1:4" x14ac:dyDescent="0.25">
      <c r="A111" s="2">
        <v>45847</v>
      </c>
      <c r="B111" t="s">
        <v>27</v>
      </c>
      <c r="C111">
        <v>3</v>
      </c>
      <c r="D111" t="s">
        <v>517</v>
      </c>
    </row>
    <row r="112" spans="1:4" x14ac:dyDescent="0.25">
      <c r="A112" s="2">
        <v>45896</v>
      </c>
      <c r="B112" t="s">
        <v>9</v>
      </c>
      <c r="C112">
        <v>5</v>
      </c>
      <c r="D112" t="s">
        <v>518</v>
      </c>
    </row>
    <row r="113" spans="1:4" x14ac:dyDescent="0.25">
      <c r="A113" s="2">
        <v>45880</v>
      </c>
      <c r="B113" t="s">
        <v>15</v>
      </c>
      <c r="C113">
        <v>3</v>
      </c>
      <c r="D113" t="s">
        <v>521</v>
      </c>
    </row>
    <row r="114" spans="1:4" x14ac:dyDescent="0.25">
      <c r="A114" s="2">
        <v>45865</v>
      </c>
      <c r="B114" t="s">
        <v>9</v>
      </c>
      <c r="C114">
        <v>2</v>
      </c>
      <c r="D114" t="s">
        <v>521</v>
      </c>
    </row>
    <row r="115" spans="1:4" x14ac:dyDescent="0.25">
      <c r="A115" s="2">
        <v>45892</v>
      </c>
      <c r="B115" t="s">
        <v>9</v>
      </c>
      <c r="C115">
        <v>4</v>
      </c>
    </row>
    <row r="116" spans="1:4" x14ac:dyDescent="0.25">
      <c r="A116" s="2">
        <v>45868</v>
      </c>
      <c r="B116" t="s">
        <v>27</v>
      </c>
      <c r="C116">
        <v>3</v>
      </c>
      <c r="D116" t="s">
        <v>516</v>
      </c>
    </row>
    <row r="117" spans="1:4" x14ac:dyDescent="0.25">
      <c r="A117" s="2">
        <v>45867</v>
      </c>
      <c r="B117" t="s">
        <v>9</v>
      </c>
      <c r="C117">
        <v>2</v>
      </c>
      <c r="D117" t="s">
        <v>521</v>
      </c>
    </row>
    <row r="118" spans="1:4" x14ac:dyDescent="0.25">
      <c r="A118" s="2">
        <v>45887</v>
      </c>
      <c r="B118" t="s">
        <v>15</v>
      </c>
      <c r="C118">
        <v>2</v>
      </c>
      <c r="D118" t="s">
        <v>521</v>
      </c>
    </row>
    <row r="119" spans="1:4" x14ac:dyDescent="0.25">
      <c r="A119" s="2">
        <v>45887</v>
      </c>
      <c r="B119" t="s">
        <v>9</v>
      </c>
      <c r="C119">
        <v>2</v>
      </c>
    </row>
    <row r="120" spans="1:4" x14ac:dyDescent="0.25">
      <c r="A120" s="2">
        <v>45874</v>
      </c>
      <c r="B120" t="s">
        <v>15</v>
      </c>
      <c r="C120">
        <v>3</v>
      </c>
      <c r="D120" t="s">
        <v>516</v>
      </c>
    </row>
    <row r="121" spans="1:4" x14ac:dyDescent="0.25">
      <c r="A121" s="2">
        <v>45894</v>
      </c>
      <c r="B121" t="s">
        <v>15</v>
      </c>
      <c r="C121">
        <v>4</v>
      </c>
      <c r="D121" t="s">
        <v>515</v>
      </c>
    </row>
    <row r="122" spans="1:4" x14ac:dyDescent="0.25">
      <c r="A122" s="2">
        <v>45884</v>
      </c>
      <c r="B122" t="s">
        <v>27</v>
      </c>
      <c r="C122">
        <v>2</v>
      </c>
      <c r="D122" t="s">
        <v>517</v>
      </c>
    </row>
    <row r="123" spans="1:4" x14ac:dyDescent="0.25">
      <c r="A123" s="2">
        <v>45840</v>
      </c>
      <c r="B123" t="s">
        <v>15</v>
      </c>
      <c r="C123">
        <v>3</v>
      </c>
    </row>
    <row r="124" spans="1:4" x14ac:dyDescent="0.25">
      <c r="A124" s="2">
        <v>45844</v>
      </c>
      <c r="B124" t="s">
        <v>15</v>
      </c>
      <c r="C124">
        <v>4</v>
      </c>
      <c r="D124" t="s">
        <v>516</v>
      </c>
    </row>
    <row r="125" spans="1:4" x14ac:dyDescent="0.25">
      <c r="A125" s="2">
        <v>45880</v>
      </c>
      <c r="B125" t="s">
        <v>9</v>
      </c>
      <c r="C125">
        <v>5</v>
      </c>
      <c r="D125" t="s">
        <v>517</v>
      </c>
    </row>
    <row r="126" spans="1:4" x14ac:dyDescent="0.25">
      <c r="A126" s="2">
        <v>45891</v>
      </c>
      <c r="B126" t="s">
        <v>9</v>
      </c>
      <c r="C126">
        <v>3</v>
      </c>
      <c r="D126" t="s">
        <v>519</v>
      </c>
    </row>
    <row r="127" spans="1:4" x14ac:dyDescent="0.25">
      <c r="A127" s="2">
        <v>45847</v>
      </c>
      <c r="B127" t="s">
        <v>15</v>
      </c>
      <c r="C127">
        <v>2</v>
      </c>
      <c r="D127" t="s">
        <v>521</v>
      </c>
    </row>
    <row r="128" spans="1:4" x14ac:dyDescent="0.25">
      <c r="A128" s="2">
        <v>45854</v>
      </c>
      <c r="B128" t="s">
        <v>9</v>
      </c>
      <c r="C128">
        <v>4</v>
      </c>
      <c r="D128" t="s">
        <v>516</v>
      </c>
    </row>
    <row r="129" spans="1:4" x14ac:dyDescent="0.25">
      <c r="A129" s="2">
        <v>45895</v>
      </c>
      <c r="B129" t="s">
        <v>9</v>
      </c>
      <c r="C129">
        <v>2</v>
      </c>
      <c r="D129" t="s">
        <v>519</v>
      </c>
    </row>
    <row r="130" spans="1:4" x14ac:dyDescent="0.25">
      <c r="A130" s="2">
        <v>45881</v>
      </c>
      <c r="B130" t="s">
        <v>9</v>
      </c>
      <c r="C130">
        <v>3</v>
      </c>
    </row>
    <row r="131" spans="1:4" x14ac:dyDescent="0.25">
      <c r="A131" s="2">
        <v>45862</v>
      </c>
      <c r="B131" t="s">
        <v>27</v>
      </c>
      <c r="C131">
        <v>5</v>
      </c>
      <c r="D131" t="s">
        <v>517</v>
      </c>
    </row>
    <row r="132" spans="1:4" x14ac:dyDescent="0.25">
      <c r="A132" s="2">
        <v>45883</v>
      </c>
      <c r="B132" t="s">
        <v>9</v>
      </c>
      <c r="C132">
        <v>2</v>
      </c>
      <c r="D132" t="s">
        <v>519</v>
      </c>
    </row>
    <row r="133" spans="1:4" x14ac:dyDescent="0.25">
      <c r="A133" s="2">
        <v>45856</v>
      </c>
      <c r="B133" t="s">
        <v>27</v>
      </c>
      <c r="C133">
        <v>2</v>
      </c>
      <c r="D133" t="s">
        <v>515</v>
      </c>
    </row>
    <row r="134" spans="1:4" x14ac:dyDescent="0.25">
      <c r="A134" s="2">
        <v>45840</v>
      </c>
      <c r="B134" t="s">
        <v>27</v>
      </c>
      <c r="C134">
        <v>5</v>
      </c>
      <c r="D134" t="s">
        <v>518</v>
      </c>
    </row>
    <row r="135" spans="1:4" x14ac:dyDescent="0.25">
      <c r="A135" s="2">
        <v>45889</v>
      </c>
      <c r="B135" t="s">
        <v>9</v>
      </c>
      <c r="C135">
        <v>4</v>
      </c>
      <c r="D135" t="s">
        <v>515</v>
      </c>
    </row>
    <row r="136" spans="1:4" x14ac:dyDescent="0.25">
      <c r="A136" s="2">
        <v>45875</v>
      </c>
      <c r="B136" t="s">
        <v>27</v>
      </c>
      <c r="C136">
        <v>4</v>
      </c>
      <c r="D136" t="s">
        <v>517</v>
      </c>
    </row>
    <row r="137" spans="1:4" x14ac:dyDescent="0.25">
      <c r="A137" s="2">
        <v>45841</v>
      </c>
      <c r="B137" t="s">
        <v>15</v>
      </c>
      <c r="C137">
        <v>5</v>
      </c>
      <c r="D137" t="s">
        <v>519</v>
      </c>
    </row>
    <row r="138" spans="1:4" x14ac:dyDescent="0.25">
      <c r="A138" s="2">
        <v>45889</v>
      </c>
      <c r="B138" t="s">
        <v>27</v>
      </c>
      <c r="C138">
        <v>4</v>
      </c>
      <c r="D138" t="s">
        <v>517</v>
      </c>
    </row>
    <row r="139" spans="1:4" x14ac:dyDescent="0.25">
      <c r="A139" s="2">
        <v>45887</v>
      </c>
      <c r="B139" t="s">
        <v>15</v>
      </c>
      <c r="C139">
        <v>4</v>
      </c>
    </row>
    <row r="140" spans="1:4" x14ac:dyDescent="0.25">
      <c r="A140" s="2">
        <v>45887</v>
      </c>
      <c r="B140" t="s">
        <v>9</v>
      </c>
      <c r="C140">
        <v>3</v>
      </c>
      <c r="D140" t="s">
        <v>518</v>
      </c>
    </row>
    <row r="141" spans="1:4" x14ac:dyDescent="0.25">
      <c r="A141" s="2">
        <v>45854</v>
      </c>
      <c r="B141" t="s">
        <v>15</v>
      </c>
      <c r="C141">
        <v>2</v>
      </c>
      <c r="D141" t="s">
        <v>517</v>
      </c>
    </row>
    <row r="142" spans="1:4" x14ac:dyDescent="0.25">
      <c r="A142" s="2">
        <v>45861</v>
      </c>
      <c r="B142" t="s">
        <v>9</v>
      </c>
      <c r="C142">
        <v>2</v>
      </c>
    </row>
    <row r="143" spans="1:4" x14ac:dyDescent="0.25">
      <c r="A143" s="2">
        <v>45840</v>
      </c>
      <c r="B143" t="s">
        <v>27</v>
      </c>
      <c r="C143">
        <v>2</v>
      </c>
      <c r="D143" t="s">
        <v>520</v>
      </c>
    </row>
    <row r="144" spans="1:4" x14ac:dyDescent="0.25">
      <c r="A144" s="2">
        <v>45874</v>
      </c>
      <c r="B144" t="s">
        <v>15</v>
      </c>
      <c r="C144">
        <v>3</v>
      </c>
      <c r="D144" t="s">
        <v>515</v>
      </c>
    </row>
    <row r="145" spans="1:4" x14ac:dyDescent="0.25">
      <c r="A145" s="2">
        <v>45842</v>
      </c>
      <c r="B145" t="s">
        <v>9</v>
      </c>
      <c r="C145">
        <v>5</v>
      </c>
      <c r="D145" t="s">
        <v>521</v>
      </c>
    </row>
    <row r="146" spans="1:4" x14ac:dyDescent="0.25">
      <c r="A146" s="2">
        <v>45870</v>
      </c>
      <c r="B146" t="s">
        <v>27</v>
      </c>
      <c r="C146">
        <v>5</v>
      </c>
      <c r="D146" t="s">
        <v>518</v>
      </c>
    </row>
    <row r="147" spans="1:4" x14ac:dyDescent="0.25">
      <c r="A147" s="2">
        <v>45865</v>
      </c>
      <c r="B147" t="s">
        <v>27</v>
      </c>
      <c r="C147">
        <v>4</v>
      </c>
      <c r="D147" t="s">
        <v>517</v>
      </c>
    </row>
    <row r="148" spans="1:4" x14ac:dyDescent="0.25">
      <c r="A148" s="2">
        <v>45887</v>
      </c>
      <c r="B148" t="s">
        <v>9</v>
      </c>
      <c r="C148">
        <v>2</v>
      </c>
      <c r="D148" t="s">
        <v>515</v>
      </c>
    </row>
    <row r="149" spans="1:4" x14ac:dyDescent="0.25">
      <c r="A149" s="2">
        <v>45860</v>
      </c>
      <c r="B149" t="s">
        <v>9</v>
      </c>
      <c r="C149">
        <v>2</v>
      </c>
      <c r="D149" t="s">
        <v>516</v>
      </c>
    </row>
    <row r="150" spans="1:4" x14ac:dyDescent="0.25">
      <c r="A150" s="2">
        <v>45845</v>
      </c>
      <c r="B150" t="s">
        <v>15</v>
      </c>
      <c r="C150">
        <v>4</v>
      </c>
      <c r="D150" t="s">
        <v>519</v>
      </c>
    </row>
    <row r="151" spans="1:4" x14ac:dyDescent="0.25">
      <c r="A151" s="2">
        <v>45870</v>
      </c>
      <c r="B151" t="s">
        <v>27</v>
      </c>
      <c r="C151">
        <v>5</v>
      </c>
    </row>
    <row r="152" spans="1:4" x14ac:dyDescent="0.25">
      <c r="A152" s="2">
        <v>45874</v>
      </c>
      <c r="B152" t="s">
        <v>27</v>
      </c>
      <c r="C152">
        <v>4</v>
      </c>
      <c r="D152" t="s">
        <v>519</v>
      </c>
    </row>
    <row r="153" spans="1:4" x14ac:dyDescent="0.25">
      <c r="A153" s="2">
        <v>45862</v>
      </c>
      <c r="B153" t="s">
        <v>15</v>
      </c>
      <c r="C153">
        <v>4</v>
      </c>
      <c r="D153" t="s">
        <v>520</v>
      </c>
    </row>
    <row r="154" spans="1:4" x14ac:dyDescent="0.25">
      <c r="A154" s="2">
        <v>45857</v>
      </c>
      <c r="B154" t="s">
        <v>9</v>
      </c>
      <c r="C154">
        <v>3</v>
      </c>
      <c r="D154" t="s">
        <v>515</v>
      </c>
    </row>
    <row r="155" spans="1:4" x14ac:dyDescent="0.25">
      <c r="A155" s="2">
        <v>45839</v>
      </c>
      <c r="B155" t="s">
        <v>15</v>
      </c>
      <c r="C155">
        <v>2</v>
      </c>
      <c r="D155" t="s">
        <v>521</v>
      </c>
    </row>
    <row r="156" spans="1:4" x14ac:dyDescent="0.25">
      <c r="A156" s="2">
        <v>45891</v>
      </c>
      <c r="B156" t="s">
        <v>15</v>
      </c>
      <c r="C156">
        <v>2</v>
      </c>
      <c r="D156" t="s">
        <v>518</v>
      </c>
    </row>
    <row r="157" spans="1:4" x14ac:dyDescent="0.25">
      <c r="A157" s="2">
        <v>45839</v>
      </c>
      <c r="B157" t="s">
        <v>9</v>
      </c>
      <c r="C157">
        <v>5</v>
      </c>
      <c r="D157" t="s">
        <v>519</v>
      </c>
    </row>
    <row r="158" spans="1:4" x14ac:dyDescent="0.25">
      <c r="A158" s="2">
        <v>45849</v>
      </c>
      <c r="B158" t="s">
        <v>27</v>
      </c>
      <c r="C158">
        <v>3</v>
      </c>
      <c r="D158" t="s">
        <v>516</v>
      </c>
    </row>
    <row r="159" spans="1:4" x14ac:dyDescent="0.25">
      <c r="A159" s="2">
        <v>45886</v>
      </c>
      <c r="B159" t="s">
        <v>27</v>
      </c>
      <c r="C159">
        <v>3</v>
      </c>
      <c r="D159" t="s">
        <v>519</v>
      </c>
    </row>
    <row r="160" spans="1:4" x14ac:dyDescent="0.25">
      <c r="A160" s="2">
        <v>45848</v>
      </c>
      <c r="B160" t="s">
        <v>27</v>
      </c>
      <c r="C160">
        <v>3</v>
      </c>
      <c r="D160" t="s">
        <v>516</v>
      </c>
    </row>
    <row r="161" spans="1:4" x14ac:dyDescent="0.25">
      <c r="A161" s="2">
        <v>45875</v>
      </c>
      <c r="B161" t="s">
        <v>15</v>
      </c>
      <c r="C161">
        <v>2</v>
      </c>
      <c r="D161" t="s">
        <v>517</v>
      </c>
    </row>
    <row r="162" spans="1:4" x14ac:dyDescent="0.25">
      <c r="A162" s="2">
        <v>45888</v>
      </c>
      <c r="B162" t="s">
        <v>27</v>
      </c>
      <c r="C162">
        <v>5</v>
      </c>
      <c r="D162" t="s">
        <v>517</v>
      </c>
    </row>
    <row r="163" spans="1:4" x14ac:dyDescent="0.25">
      <c r="A163" s="2">
        <v>45896</v>
      </c>
      <c r="B163" t="s">
        <v>9</v>
      </c>
      <c r="C163">
        <v>2</v>
      </c>
      <c r="D163" t="s">
        <v>516</v>
      </c>
    </row>
    <row r="164" spans="1:4" x14ac:dyDescent="0.25">
      <c r="A164" s="2">
        <v>45851</v>
      </c>
      <c r="B164" t="s">
        <v>27</v>
      </c>
      <c r="C164">
        <v>4</v>
      </c>
      <c r="D164" t="s">
        <v>519</v>
      </c>
    </row>
    <row r="165" spans="1:4" x14ac:dyDescent="0.25">
      <c r="A165" s="2">
        <v>45869</v>
      </c>
      <c r="B165" t="s">
        <v>15</v>
      </c>
      <c r="C165">
        <v>4</v>
      </c>
      <c r="D165" t="s">
        <v>518</v>
      </c>
    </row>
    <row r="166" spans="1:4" x14ac:dyDescent="0.25">
      <c r="A166" s="2">
        <v>45882</v>
      </c>
      <c r="B166" t="s">
        <v>15</v>
      </c>
      <c r="C166">
        <v>3</v>
      </c>
      <c r="D166" t="s">
        <v>517</v>
      </c>
    </row>
    <row r="167" spans="1:4" x14ac:dyDescent="0.25">
      <c r="A167" s="2">
        <v>45858</v>
      </c>
      <c r="B167" t="s">
        <v>27</v>
      </c>
      <c r="C167">
        <v>2</v>
      </c>
      <c r="D167" t="s">
        <v>515</v>
      </c>
    </row>
    <row r="168" spans="1:4" x14ac:dyDescent="0.25">
      <c r="A168" s="2">
        <v>45849</v>
      </c>
      <c r="B168" t="s">
        <v>27</v>
      </c>
      <c r="C168">
        <v>5</v>
      </c>
      <c r="D168" t="s">
        <v>520</v>
      </c>
    </row>
    <row r="169" spans="1:4" x14ac:dyDescent="0.25">
      <c r="A169" s="2">
        <v>45869</v>
      </c>
      <c r="B169" t="s">
        <v>15</v>
      </c>
      <c r="C169">
        <v>2</v>
      </c>
      <c r="D169" t="s">
        <v>518</v>
      </c>
    </row>
    <row r="170" spans="1:4" x14ac:dyDescent="0.25">
      <c r="A170" s="2">
        <v>45859</v>
      </c>
      <c r="B170" t="s">
        <v>15</v>
      </c>
      <c r="C170">
        <v>4</v>
      </c>
      <c r="D170" t="s">
        <v>520</v>
      </c>
    </row>
    <row r="171" spans="1:4" x14ac:dyDescent="0.25">
      <c r="A171" s="2">
        <v>45864</v>
      </c>
      <c r="B171" t="s">
        <v>27</v>
      </c>
      <c r="C171">
        <v>2</v>
      </c>
      <c r="D171" t="s">
        <v>515</v>
      </c>
    </row>
    <row r="172" spans="1:4" x14ac:dyDescent="0.25">
      <c r="A172" s="2">
        <v>45868</v>
      </c>
      <c r="B172" t="s">
        <v>9</v>
      </c>
      <c r="C172">
        <v>2</v>
      </c>
      <c r="D172" t="s">
        <v>521</v>
      </c>
    </row>
    <row r="173" spans="1:4" x14ac:dyDescent="0.25">
      <c r="A173" s="2">
        <v>45870</v>
      </c>
      <c r="B173" t="s">
        <v>27</v>
      </c>
      <c r="C173">
        <v>2</v>
      </c>
      <c r="D173" t="s">
        <v>521</v>
      </c>
    </row>
    <row r="174" spans="1:4" x14ac:dyDescent="0.25">
      <c r="A174" s="2">
        <v>45873</v>
      </c>
      <c r="B174" t="s">
        <v>15</v>
      </c>
      <c r="C174">
        <v>2</v>
      </c>
      <c r="D174" t="s">
        <v>519</v>
      </c>
    </row>
    <row r="175" spans="1:4" x14ac:dyDescent="0.25">
      <c r="A175" s="2">
        <v>45864</v>
      </c>
      <c r="B175" t="s">
        <v>27</v>
      </c>
      <c r="C175">
        <v>2</v>
      </c>
      <c r="D175" t="s">
        <v>516</v>
      </c>
    </row>
    <row r="176" spans="1:4" x14ac:dyDescent="0.25">
      <c r="A176" s="2">
        <v>45882</v>
      </c>
      <c r="B176" t="s">
        <v>9</v>
      </c>
      <c r="C176">
        <v>3</v>
      </c>
      <c r="D176" t="s">
        <v>517</v>
      </c>
    </row>
    <row r="177" spans="1:4" x14ac:dyDescent="0.25">
      <c r="A177" s="2">
        <v>45883</v>
      </c>
      <c r="B177" t="s">
        <v>27</v>
      </c>
      <c r="C177">
        <v>3</v>
      </c>
      <c r="D177" t="s">
        <v>517</v>
      </c>
    </row>
    <row r="178" spans="1:4" x14ac:dyDescent="0.25">
      <c r="A178" s="2">
        <v>45840</v>
      </c>
      <c r="B178" t="s">
        <v>27</v>
      </c>
      <c r="C178">
        <v>3</v>
      </c>
      <c r="D178" t="s">
        <v>515</v>
      </c>
    </row>
    <row r="179" spans="1:4" x14ac:dyDescent="0.25">
      <c r="A179" s="2">
        <v>45858</v>
      </c>
      <c r="B179" t="s">
        <v>15</v>
      </c>
      <c r="C179">
        <v>4</v>
      </c>
      <c r="D179" t="s">
        <v>517</v>
      </c>
    </row>
    <row r="180" spans="1:4" x14ac:dyDescent="0.25">
      <c r="A180" s="2">
        <v>45895</v>
      </c>
      <c r="B180" t="s">
        <v>9</v>
      </c>
      <c r="C180">
        <v>4</v>
      </c>
      <c r="D180" t="s">
        <v>517</v>
      </c>
    </row>
    <row r="181" spans="1:4" x14ac:dyDescent="0.25">
      <c r="A181" s="2">
        <v>45841</v>
      </c>
      <c r="B181" t="s">
        <v>27</v>
      </c>
      <c r="C181">
        <v>3</v>
      </c>
      <c r="D181" t="s">
        <v>520</v>
      </c>
    </row>
    <row r="182" spans="1:4" x14ac:dyDescent="0.25">
      <c r="A182" s="2">
        <v>45851</v>
      </c>
      <c r="B182" t="s">
        <v>27</v>
      </c>
      <c r="C182">
        <v>4</v>
      </c>
      <c r="D182" t="s">
        <v>517</v>
      </c>
    </row>
    <row r="183" spans="1:4" x14ac:dyDescent="0.25">
      <c r="A183" s="2">
        <v>45843</v>
      </c>
      <c r="B183" t="s">
        <v>15</v>
      </c>
      <c r="C183">
        <v>2</v>
      </c>
      <c r="D183" t="s">
        <v>515</v>
      </c>
    </row>
    <row r="184" spans="1:4" x14ac:dyDescent="0.25">
      <c r="A184" s="2">
        <v>45894</v>
      </c>
      <c r="B184" t="s">
        <v>15</v>
      </c>
      <c r="C184">
        <v>5</v>
      </c>
      <c r="D184" t="s">
        <v>520</v>
      </c>
    </row>
    <row r="185" spans="1:4" x14ac:dyDescent="0.25">
      <c r="A185" s="2">
        <v>45841</v>
      </c>
      <c r="B185" t="s">
        <v>15</v>
      </c>
      <c r="C185">
        <v>5</v>
      </c>
      <c r="D185" t="s">
        <v>515</v>
      </c>
    </row>
    <row r="186" spans="1:4" x14ac:dyDescent="0.25">
      <c r="A186" s="2">
        <v>45873</v>
      </c>
      <c r="B186" t="s">
        <v>27</v>
      </c>
      <c r="C186">
        <v>3</v>
      </c>
      <c r="D186" t="s">
        <v>519</v>
      </c>
    </row>
    <row r="187" spans="1:4" x14ac:dyDescent="0.25">
      <c r="A187" s="2">
        <v>45866</v>
      </c>
      <c r="B187" t="s">
        <v>15</v>
      </c>
      <c r="C187">
        <v>3</v>
      </c>
    </row>
    <row r="188" spans="1:4" x14ac:dyDescent="0.25">
      <c r="A188" s="2">
        <v>45862</v>
      </c>
      <c r="B188" t="s">
        <v>9</v>
      </c>
      <c r="C188">
        <v>4</v>
      </c>
      <c r="D188" t="s">
        <v>520</v>
      </c>
    </row>
    <row r="189" spans="1:4" x14ac:dyDescent="0.25">
      <c r="A189" s="2">
        <v>45879</v>
      </c>
      <c r="B189" t="s">
        <v>9</v>
      </c>
      <c r="C189">
        <v>5</v>
      </c>
    </row>
    <row r="190" spans="1:4" x14ac:dyDescent="0.25">
      <c r="A190" s="2">
        <v>45847</v>
      </c>
      <c r="B190" t="s">
        <v>15</v>
      </c>
      <c r="C190">
        <v>5</v>
      </c>
      <c r="D190" t="s">
        <v>515</v>
      </c>
    </row>
    <row r="191" spans="1:4" x14ac:dyDescent="0.25">
      <c r="A191" s="2">
        <v>45879</v>
      </c>
      <c r="B191" t="s">
        <v>27</v>
      </c>
      <c r="C191">
        <v>3</v>
      </c>
    </row>
    <row r="192" spans="1:4" x14ac:dyDescent="0.25">
      <c r="A192" s="2">
        <v>45876</v>
      </c>
      <c r="B192" t="s">
        <v>9</v>
      </c>
      <c r="C192">
        <v>4</v>
      </c>
      <c r="D192" t="s">
        <v>520</v>
      </c>
    </row>
    <row r="193" spans="1:4" x14ac:dyDescent="0.25">
      <c r="A193" s="2">
        <v>45891</v>
      </c>
      <c r="B193" t="s">
        <v>15</v>
      </c>
      <c r="C193">
        <v>4</v>
      </c>
      <c r="D193" t="s">
        <v>518</v>
      </c>
    </row>
    <row r="194" spans="1:4" x14ac:dyDescent="0.25">
      <c r="A194" s="2">
        <v>45876</v>
      </c>
      <c r="B194" t="s">
        <v>15</v>
      </c>
      <c r="C194">
        <v>3</v>
      </c>
    </row>
    <row r="195" spans="1:4" x14ac:dyDescent="0.25">
      <c r="A195" s="2">
        <v>45869</v>
      </c>
      <c r="B195" t="s">
        <v>9</v>
      </c>
      <c r="C195">
        <v>3</v>
      </c>
    </row>
    <row r="196" spans="1:4" x14ac:dyDescent="0.25">
      <c r="A196" s="2">
        <v>45866</v>
      </c>
      <c r="B196" t="s">
        <v>27</v>
      </c>
      <c r="C196">
        <v>5</v>
      </c>
      <c r="D196" t="s">
        <v>518</v>
      </c>
    </row>
    <row r="197" spans="1:4" x14ac:dyDescent="0.25">
      <c r="A197" s="2">
        <v>45895</v>
      </c>
      <c r="B197" t="s">
        <v>27</v>
      </c>
      <c r="C197">
        <v>3</v>
      </c>
      <c r="D197" t="s">
        <v>517</v>
      </c>
    </row>
    <row r="198" spans="1:4" x14ac:dyDescent="0.25">
      <c r="A198" s="2">
        <v>45863</v>
      </c>
      <c r="B198" t="s">
        <v>9</v>
      </c>
      <c r="C198">
        <v>3</v>
      </c>
      <c r="D198" t="s">
        <v>519</v>
      </c>
    </row>
    <row r="199" spans="1:4" x14ac:dyDescent="0.25">
      <c r="A199" s="2">
        <v>45890</v>
      </c>
      <c r="B199" t="s">
        <v>9</v>
      </c>
      <c r="C199">
        <v>2</v>
      </c>
      <c r="D199" t="s">
        <v>521</v>
      </c>
    </row>
    <row r="200" spans="1:4" x14ac:dyDescent="0.25">
      <c r="A200" s="2">
        <v>45894</v>
      </c>
      <c r="B200" t="s">
        <v>15</v>
      </c>
      <c r="C200">
        <v>4</v>
      </c>
      <c r="D200" t="s">
        <v>515</v>
      </c>
    </row>
    <row r="201" spans="1:4" x14ac:dyDescent="0.25">
      <c r="A201" s="2">
        <v>45856</v>
      </c>
      <c r="B201" t="s">
        <v>27</v>
      </c>
      <c r="C201">
        <v>4</v>
      </c>
      <c r="D201" t="s">
        <v>518</v>
      </c>
    </row>
    <row r="202" spans="1:4" x14ac:dyDescent="0.25">
      <c r="A202" s="2">
        <v>45896</v>
      </c>
      <c r="B202" t="s">
        <v>27</v>
      </c>
      <c r="C202">
        <v>4</v>
      </c>
      <c r="D202" t="s">
        <v>515</v>
      </c>
    </row>
    <row r="203" spans="1:4" x14ac:dyDescent="0.25">
      <c r="A203" s="2">
        <v>45893</v>
      </c>
      <c r="B203" t="s">
        <v>27</v>
      </c>
      <c r="C203">
        <v>5</v>
      </c>
      <c r="D203" t="s">
        <v>519</v>
      </c>
    </row>
    <row r="204" spans="1:4" x14ac:dyDescent="0.25">
      <c r="A204" s="2">
        <v>45856</v>
      </c>
      <c r="B204" t="s">
        <v>15</v>
      </c>
      <c r="C204">
        <v>2</v>
      </c>
      <c r="D204" t="s">
        <v>517</v>
      </c>
    </row>
    <row r="205" spans="1:4" x14ac:dyDescent="0.25">
      <c r="A205" s="2">
        <v>45844</v>
      </c>
      <c r="B205" t="s">
        <v>27</v>
      </c>
      <c r="C205">
        <v>3</v>
      </c>
    </row>
    <row r="206" spans="1:4" x14ac:dyDescent="0.25">
      <c r="A206" s="2">
        <v>45890</v>
      </c>
      <c r="B206" t="s">
        <v>15</v>
      </c>
      <c r="C206">
        <v>2</v>
      </c>
      <c r="D206" t="s">
        <v>518</v>
      </c>
    </row>
    <row r="207" spans="1:4" x14ac:dyDescent="0.25">
      <c r="A207" s="2">
        <v>45858</v>
      </c>
      <c r="B207" t="s">
        <v>27</v>
      </c>
      <c r="C207">
        <v>4</v>
      </c>
      <c r="D207" t="s">
        <v>515</v>
      </c>
    </row>
    <row r="208" spans="1:4" x14ac:dyDescent="0.25">
      <c r="A208" s="2">
        <v>45870</v>
      </c>
      <c r="B208" t="s">
        <v>27</v>
      </c>
      <c r="C208">
        <v>2</v>
      </c>
      <c r="D208" t="s">
        <v>515</v>
      </c>
    </row>
    <row r="209" spans="1:4" x14ac:dyDescent="0.25">
      <c r="A209" s="2">
        <v>45895</v>
      </c>
      <c r="B209" t="s">
        <v>9</v>
      </c>
      <c r="C209">
        <v>3</v>
      </c>
      <c r="D209" t="s">
        <v>517</v>
      </c>
    </row>
    <row r="210" spans="1:4" x14ac:dyDescent="0.25">
      <c r="A210" s="2">
        <v>45890</v>
      </c>
      <c r="B210" t="s">
        <v>15</v>
      </c>
      <c r="C210">
        <v>2</v>
      </c>
      <c r="D210" t="s">
        <v>518</v>
      </c>
    </row>
    <row r="211" spans="1:4" x14ac:dyDescent="0.25">
      <c r="A211" s="2">
        <v>45877</v>
      </c>
      <c r="B211" t="s">
        <v>9</v>
      </c>
      <c r="C211">
        <v>2</v>
      </c>
      <c r="D211" t="s">
        <v>518</v>
      </c>
    </row>
    <row r="212" spans="1:4" x14ac:dyDescent="0.25">
      <c r="A212" s="2">
        <v>45868</v>
      </c>
      <c r="B212" t="s">
        <v>15</v>
      </c>
      <c r="C212">
        <v>3</v>
      </c>
      <c r="D212" t="s">
        <v>515</v>
      </c>
    </row>
    <row r="213" spans="1:4" x14ac:dyDescent="0.25">
      <c r="A213" s="2">
        <v>45881</v>
      </c>
      <c r="B213" t="s">
        <v>9</v>
      </c>
      <c r="C213">
        <v>5</v>
      </c>
      <c r="D213" t="s">
        <v>518</v>
      </c>
    </row>
    <row r="214" spans="1:4" x14ac:dyDescent="0.25">
      <c r="A214" s="2">
        <v>45855</v>
      </c>
      <c r="B214" t="s">
        <v>9</v>
      </c>
      <c r="C214">
        <v>4</v>
      </c>
      <c r="D214" t="s">
        <v>521</v>
      </c>
    </row>
    <row r="215" spans="1:4" x14ac:dyDescent="0.25">
      <c r="A215" s="2">
        <v>45896</v>
      </c>
      <c r="B215" t="s">
        <v>27</v>
      </c>
      <c r="C215">
        <v>5</v>
      </c>
      <c r="D215" t="s">
        <v>519</v>
      </c>
    </row>
    <row r="216" spans="1:4" x14ac:dyDescent="0.25">
      <c r="A216" s="2">
        <v>45867</v>
      </c>
      <c r="B216" t="s">
        <v>27</v>
      </c>
      <c r="C216">
        <v>3</v>
      </c>
    </row>
    <row r="217" spans="1:4" x14ac:dyDescent="0.25">
      <c r="A217" s="2">
        <v>45894</v>
      </c>
      <c r="B217" t="s">
        <v>15</v>
      </c>
      <c r="C217">
        <v>2</v>
      </c>
      <c r="D217" t="s">
        <v>515</v>
      </c>
    </row>
    <row r="218" spans="1:4" x14ac:dyDescent="0.25">
      <c r="A218" s="2">
        <v>45897</v>
      </c>
      <c r="B218" t="s">
        <v>15</v>
      </c>
      <c r="C218">
        <v>3</v>
      </c>
      <c r="D218" t="s">
        <v>517</v>
      </c>
    </row>
    <row r="219" spans="1:4" x14ac:dyDescent="0.25">
      <c r="A219" s="2">
        <v>45887</v>
      </c>
      <c r="B219" t="s">
        <v>27</v>
      </c>
      <c r="C219">
        <v>4</v>
      </c>
      <c r="D219" t="s">
        <v>517</v>
      </c>
    </row>
    <row r="220" spans="1:4" x14ac:dyDescent="0.25">
      <c r="A220" s="2">
        <v>45862</v>
      </c>
      <c r="B220" t="s">
        <v>15</v>
      </c>
      <c r="C220">
        <v>4</v>
      </c>
      <c r="D220" t="s">
        <v>515</v>
      </c>
    </row>
    <row r="221" spans="1:4" x14ac:dyDescent="0.25">
      <c r="A221" s="2">
        <v>45847</v>
      </c>
      <c r="B221" t="s">
        <v>9</v>
      </c>
      <c r="C221">
        <v>4</v>
      </c>
      <c r="D221" t="s">
        <v>520</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2633A-7AB7-4B15-A22F-909324D5F507}">
  <dimension ref="A1:E63"/>
  <sheetViews>
    <sheetView workbookViewId="0">
      <selection activeCell="K15" sqref="K15"/>
    </sheetView>
  </sheetViews>
  <sheetFormatPr defaultRowHeight="15" x14ac:dyDescent="0.25"/>
  <cols>
    <col min="1" max="1" width="10.42578125" style="7" bestFit="1" customWidth="1"/>
    <col min="2" max="2" width="11" customWidth="1"/>
    <col min="3" max="3" width="21.28515625" style="9" customWidth="1"/>
    <col min="4" max="4" width="18.140625" customWidth="1"/>
    <col min="5" max="5" width="29.140625" style="5" customWidth="1"/>
  </cols>
  <sheetData>
    <row r="1" spans="1:5" x14ac:dyDescent="0.25">
      <c r="A1" s="7" t="s">
        <v>507</v>
      </c>
      <c r="B1" t="s">
        <v>539</v>
      </c>
      <c r="C1" s="9" t="s">
        <v>549</v>
      </c>
      <c r="D1" t="s">
        <v>550</v>
      </c>
      <c r="E1" s="5" t="s">
        <v>552</v>
      </c>
    </row>
    <row r="2" spans="1:5" x14ac:dyDescent="0.25">
      <c r="A2" s="7">
        <f>MIN(OrderLines[OrderDate])</f>
        <v>45839</v>
      </c>
      <c r="B2">
        <f>SUMIFS(OrderLines[Revenue],OrderLines[OrderDate],A2)</f>
        <v>198.822</v>
      </c>
      <c r="C2" s="9">
        <f>IFERROR(AVERAGEIF(Feedback[Date],A2,Feedback[Rating]),"")</f>
        <v>3.8571428571428572</v>
      </c>
      <c r="D2">
        <f>SUMIF(WasteLog[Date],A2,WasteLog[WasteCost])</f>
        <v>0</v>
      </c>
      <c r="E2" s="5">
        <f>IFERROR(Table9[[#This Row],[Avg Waste Cost]]/Table9[[#This Row],[Revenue]],"")</f>
        <v>0</v>
      </c>
    </row>
    <row r="3" spans="1:5" x14ac:dyDescent="0.25">
      <c r="A3" s="7">
        <f>A2+1</f>
        <v>45840</v>
      </c>
      <c r="B3">
        <f>SUMIFS(OrderLines[Revenue],OrderLines[OrderDate],A3)</f>
        <v>3202.8500000000008</v>
      </c>
      <c r="C3" s="9">
        <f>IFERROR(AVERAGEIF(Feedback[Date],A3,Feedback[Rating]),"")</f>
        <v>3.6</v>
      </c>
      <c r="D3">
        <f>SUMIF(WasteLog[Date],A3,WasteLog[WasteCost])</f>
        <v>369.92</v>
      </c>
      <c r="E3" s="5">
        <f>IFERROR(Table9[[#This Row],[Avg Waste Cost]]/Table9[[#This Row],[Revenue]],"")</f>
        <v>0.11549713536381657</v>
      </c>
    </row>
    <row r="4" spans="1:5" x14ac:dyDescent="0.25">
      <c r="A4" s="7">
        <f t="shared" ref="A4:A60" si="0">A3+1</f>
        <v>45841</v>
      </c>
      <c r="B4">
        <f>SUMIFS(OrderLines[Revenue],OrderLines[OrderDate],A4)</f>
        <v>1027.7541000000001</v>
      </c>
      <c r="C4" s="9">
        <f>IFERROR(AVERAGEIF(Feedback[Date],A4,Feedback[Rating]),"")</f>
        <v>4</v>
      </c>
      <c r="D4">
        <f>SUMIF(WasteLog[Date],A4,WasteLog[WasteCost])</f>
        <v>0</v>
      </c>
      <c r="E4" s="5">
        <f>IFERROR(Table9[[#This Row],[Avg Waste Cost]]/Table9[[#This Row],[Revenue]],"")</f>
        <v>0</v>
      </c>
    </row>
    <row r="5" spans="1:5" x14ac:dyDescent="0.25">
      <c r="A5" s="7">
        <f t="shared" si="0"/>
        <v>45842</v>
      </c>
      <c r="B5">
        <f>SUMIFS(OrderLines[Revenue],OrderLines[OrderDate],A5)</f>
        <v>1622.0684000000001</v>
      </c>
      <c r="C5" s="9">
        <f>IFERROR(AVERAGEIF(Feedback[Date],A5,Feedback[Rating]),"")</f>
        <v>4.5</v>
      </c>
      <c r="D5">
        <f>SUMIF(WasteLog[Date],A5,WasteLog[WasteCost])</f>
        <v>80.92</v>
      </c>
      <c r="E5" s="5">
        <f>IFERROR(Table9[[#This Row],[Avg Waste Cost]]/Table9[[#This Row],[Revenue]],"")</f>
        <v>4.9886922154454151E-2</v>
      </c>
    </row>
    <row r="6" spans="1:5" x14ac:dyDescent="0.25">
      <c r="A6" s="7">
        <f t="shared" si="0"/>
        <v>45843</v>
      </c>
      <c r="B6">
        <f>SUMIFS(OrderLines[Revenue],OrderLines[OrderDate],A6)</f>
        <v>626.24789999999996</v>
      </c>
      <c r="C6" s="9">
        <f>IFERROR(AVERAGEIF(Feedback[Date],A6,Feedback[Rating]),"")</f>
        <v>4</v>
      </c>
      <c r="D6">
        <f>SUMIF(WasteLog[Date],A6,WasteLog[WasteCost])</f>
        <v>253.64</v>
      </c>
      <c r="E6" s="5">
        <f>IFERROR(Table9[[#This Row],[Avg Waste Cost]]/Table9[[#This Row],[Revenue]],"")</f>
        <v>0.40501533019112718</v>
      </c>
    </row>
    <row r="7" spans="1:5" x14ac:dyDescent="0.25">
      <c r="A7" s="7">
        <f t="shared" si="0"/>
        <v>45844</v>
      </c>
      <c r="B7">
        <f>SUMIFS(OrderLines[Revenue],OrderLines[OrderDate],A7)</f>
        <v>2758.1275999999998</v>
      </c>
      <c r="C7" s="9">
        <f>IFERROR(AVERAGEIF(Feedback[Date],A7,Feedback[Rating]),"")</f>
        <v>3.5</v>
      </c>
      <c r="D7">
        <f>SUMIF(WasteLog[Date],A7,WasteLog[WasteCost])</f>
        <v>543.5</v>
      </c>
      <c r="E7" s="5">
        <f>IFERROR(Table9[[#This Row],[Avg Waste Cost]]/Table9[[#This Row],[Revenue]],"")</f>
        <v>0.19705397241229886</v>
      </c>
    </row>
    <row r="8" spans="1:5" x14ac:dyDescent="0.25">
      <c r="A8" s="7">
        <f t="shared" si="0"/>
        <v>45845</v>
      </c>
      <c r="B8">
        <f>SUMIFS(OrderLines[Revenue],OrderLines[OrderDate],A8)</f>
        <v>1619.6286</v>
      </c>
      <c r="C8" s="9">
        <f>IFERROR(AVERAGEIF(Feedback[Date],A8,Feedback[Rating]),"")</f>
        <v>4.75</v>
      </c>
      <c r="D8">
        <f>SUMIF(WasteLog[Date],A8,WasteLog[WasteCost])</f>
        <v>74.069999999999993</v>
      </c>
      <c r="E8" s="5">
        <f>IFERROR(Table9[[#This Row],[Avg Waste Cost]]/Table9[[#This Row],[Revenue]],"")</f>
        <v>4.5732706868722862E-2</v>
      </c>
    </row>
    <row r="9" spans="1:5" x14ac:dyDescent="0.25">
      <c r="A9" s="7">
        <f t="shared" si="0"/>
        <v>45846</v>
      </c>
      <c r="B9">
        <f>SUMIFS(OrderLines[Revenue],OrderLines[OrderDate],A9)</f>
        <v>425.19910000000004</v>
      </c>
      <c r="C9" s="9">
        <f>IFERROR(AVERAGEIF(Feedback[Date],A9,Feedback[Rating]),"")</f>
        <v>4</v>
      </c>
      <c r="D9">
        <f>SUMIF(WasteLog[Date],A9,WasteLog[WasteCost])</f>
        <v>141.28</v>
      </c>
      <c r="E9" s="5">
        <f>IFERROR(Table9[[#This Row],[Avg Waste Cost]]/Table9[[#This Row],[Revenue]],"")</f>
        <v>0.33226787168646404</v>
      </c>
    </row>
    <row r="10" spans="1:5" x14ac:dyDescent="0.25">
      <c r="A10" s="7">
        <f t="shared" si="0"/>
        <v>45847</v>
      </c>
      <c r="B10">
        <f>SUMIFS(OrderLines[Revenue],OrderLines[OrderDate],A10)</f>
        <v>2706.5737000000004</v>
      </c>
      <c r="C10" s="9">
        <f>IFERROR(AVERAGEIF(Feedback[Date],A10,Feedback[Rating]),"")</f>
        <v>3.1666666666666665</v>
      </c>
      <c r="D10">
        <f>SUMIF(WasteLog[Date],A10,WasteLog[WasteCost])</f>
        <v>111.78</v>
      </c>
      <c r="E10" s="5">
        <f>IFERROR(Table9[[#This Row],[Avg Waste Cost]]/Table9[[#This Row],[Revenue]],"")</f>
        <v>4.1299448080796761E-2</v>
      </c>
    </row>
    <row r="11" spans="1:5" x14ac:dyDescent="0.25">
      <c r="A11" s="7">
        <f t="shared" si="0"/>
        <v>45848</v>
      </c>
      <c r="B11">
        <f>SUMIFS(OrderLines[Revenue],OrderLines[OrderDate],A11)</f>
        <v>3654.4445999999998</v>
      </c>
      <c r="C11" s="9">
        <f>IFERROR(AVERAGEIF(Feedback[Date],A11,Feedback[Rating]),"")</f>
        <v>4</v>
      </c>
      <c r="D11">
        <f>SUMIF(WasteLog[Date],A11,WasteLog[WasteCost])</f>
        <v>8</v>
      </c>
      <c r="E11" s="5">
        <f>IFERROR(Table9[[#This Row],[Avg Waste Cost]]/Table9[[#This Row],[Revenue]],"")</f>
        <v>2.1891151394113351E-3</v>
      </c>
    </row>
    <row r="12" spans="1:5" x14ac:dyDescent="0.25">
      <c r="A12" s="7">
        <f t="shared" si="0"/>
        <v>45849</v>
      </c>
      <c r="B12">
        <f>SUMIFS(OrderLines[Revenue],OrderLines[OrderDate],A12)</f>
        <v>3744.4974999999999</v>
      </c>
      <c r="C12" s="9">
        <f>IFERROR(AVERAGEIF(Feedback[Date],A12,Feedback[Rating]),"")</f>
        <v>3.5</v>
      </c>
      <c r="D12">
        <f>SUMIF(WasteLog[Date],A12,WasteLog[WasteCost])</f>
        <v>390.62</v>
      </c>
      <c r="E12" s="5">
        <f>IFERROR(Table9[[#This Row],[Avg Waste Cost]]/Table9[[#This Row],[Revenue]],"")</f>
        <v>0.10431840320363414</v>
      </c>
    </row>
    <row r="13" spans="1:5" x14ac:dyDescent="0.25">
      <c r="A13" s="7">
        <f t="shared" si="0"/>
        <v>45850</v>
      </c>
      <c r="B13">
        <f>SUMIFS(OrderLines[Revenue],OrderLines[OrderDate],A13)</f>
        <v>3559.4395</v>
      </c>
      <c r="C13" s="9">
        <f>IFERROR(AVERAGEIF(Feedback[Date],A13,Feedback[Rating]),"")</f>
        <v>4</v>
      </c>
      <c r="D13">
        <f>SUMIF(WasteLog[Date],A13,WasteLog[WasteCost])</f>
        <v>143.24</v>
      </c>
      <c r="E13" s="5">
        <f>IFERROR(Table9[[#This Row],[Avg Waste Cost]]/Table9[[#This Row],[Revenue]],"")</f>
        <v>4.024229095620252E-2</v>
      </c>
    </row>
    <row r="14" spans="1:5" x14ac:dyDescent="0.25">
      <c r="A14" s="7">
        <f t="shared" si="0"/>
        <v>45851</v>
      </c>
      <c r="B14">
        <f>SUMIFS(OrderLines[Revenue],OrderLines[OrderDate],A14)</f>
        <v>2567.5367999999999</v>
      </c>
      <c r="C14" s="9">
        <f>IFERROR(AVERAGEIF(Feedback[Date],A14,Feedback[Rating]),"")</f>
        <v>3.8</v>
      </c>
      <c r="D14">
        <f>SUMIF(WasteLog[Date],A14,WasteLog[WasteCost])</f>
        <v>0</v>
      </c>
      <c r="E14" s="5">
        <f>IFERROR(Table9[[#This Row],[Avg Waste Cost]]/Table9[[#This Row],[Revenue]],"")</f>
        <v>0</v>
      </c>
    </row>
    <row r="15" spans="1:5" x14ac:dyDescent="0.25">
      <c r="A15" s="7">
        <f t="shared" si="0"/>
        <v>45852</v>
      </c>
      <c r="B15">
        <f>SUMIFS(OrderLines[Revenue],OrderLines[OrderDate],A15)</f>
        <v>1450.0475999999999</v>
      </c>
      <c r="C15" s="9">
        <f>IFERROR(AVERAGEIF(Feedback[Date],A15,Feedback[Rating]),"")</f>
        <v>2.6666666666666665</v>
      </c>
      <c r="D15">
        <f>SUMIF(WasteLog[Date],A15,WasteLog[WasteCost])</f>
        <v>107.62</v>
      </c>
      <c r="E15" s="5">
        <f>IFERROR(Table9[[#This Row],[Avg Waste Cost]]/Table9[[#This Row],[Revenue]],"")</f>
        <v>7.4218253249065766E-2</v>
      </c>
    </row>
    <row r="16" spans="1:5" x14ac:dyDescent="0.25">
      <c r="A16" s="7">
        <f t="shared" si="0"/>
        <v>45853</v>
      </c>
      <c r="B16">
        <f>SUMIFS(OrderLines[Revenue],OrderLines[OrderDate],A16)</f>
        <v>1530.5968</v>
      </c>
      <c r="C16" s="9">
        <f>IFERROR(AVERAGEIF(Feedback[Date],A16,Feedback[Rating]),"")</f>
        <v>4</v>
      </c>
      <c r="D16">
        <f>SUMIF(WasteLog[Date],A16,WasteLog[WasteCost])</f>
        <v>234.11</v>
      </c>
      <c r="E16" s="5">
        <f>IFERROR(Table9[[#This Row],[Avg Waste Cost]]/Table9[[#This Row],[Revenue]],"")</f>
        <v>0.15295341006854321</v>
      </c>
    </row>
    <row r="17" spans="1:5" x14ac:dyDescent="0.25">
      <c r="A17" s="7">
        <f t="shared" si="0"/>
        <v>45854</v>
      </c>
      <c r="B17">
        <f>SUMIFS(OrderLines[Revenue],OrderLines[OrderDate],A17)</f>
        <v>1691.1957999999997</v>
      </c>
      <c r="C17" s="9">
        <f>IFERROR(AVERAGEIF(Feedback[Date],A17,Feedback[Rating]),"")</f>
        <v>3</v>
      </c>
      <c r="D17">
        <f>SUMIF(WasteLog[Date],A17,WasteLog[WasteCost])</f>
        <v>162.9</v>
      </c>
      <c r="E17" s="5">
        <f>IFERROR(Table9[[#This Row],[Avg Waste Cost]]/Table9[[#This Row],[Revenue]],"")</f>
        <v>9.6322377337975912E-2</v>
      </c>
    </row>
    <row r="18" spans="1:5" x14ac:dyDescent="0.25">
      <c r="A18" s="7">
        <f t="shared" si="0"/>
        <v>45855</v>
      </c>
      <c r="B18">
        <f>SUMIFS(OrderLines[Revenue],OrderLines[OrderDate],A18)</f>
        <v>1489.3910000000001</v>
      </c>
      <c r="C18" s="9">
        <f>IFERROR(AVERAGEIF(Feedback[Date],A18,Feedback[Rating]),"")</f>
        <v>3.5</v>
      </c>
      <c r="D18">
        <f>SUMIF(WasteLog[Date],A18,WasteLog[WasteCost])</f>
        <v>18.760000000000002</v>
      </c>
      <c r="E18" s="5">
        <f>IFERROR(Table9[[#This Row],[Avg Waste Cost]]/Table9[[#This Row],[Revenue]],"")</f>
        <v>1.2595752223559832E-2</v>
      </c>
    </row>
    <row r="19" spans="1:5" x14ac:dyDescent="0.25">
      <c r="A19" s="7">
        <f t="shared" si="0"/>
        <v>45856</v>
      </c>
      <c r="B19">
        <f>SUMIFS(OrderLines[Revenue],OrderLines[OrderDate],A19)</f>
        <v>2741.2235000000005</v>
      </c>
      <c r="C19" s="9">
        <f>IFERROR(AVERAGEIF(Feedback[Date],A19,Feedback[Rating]),"")</f>
        <v>2.6666666666666665</v>
      </c>
      <c r="D19">
        <f>SUMIF(WasteLog[Date],A19,WasteLog[WasteCost])</f>
        <v>105.69</v>
      </c>
      <c r="E19" s="5">
        <f>IFERROR(Table9[[#This Row],[Avg Waste Cost]]/Table9[[#This Row],[Revenue]],"")</f>
        <v>3.8555776280190204E-2</v>
      </c>
    </row>
    <row r="20" spans="1:5" x14ac:dyDescent="0.25">
      <c r="A20" s="7">
        <f t="shared" si="0"/>
        <v>45857</v>
      </c>
      <c r="B20">
        <f>SUMIFS(OrderLines[Revenue],OrderLines[OrderDate],A20)</f>
        <v>1258.1079999999999</v>
      </c>
      <c r="C20" s="9">
        <f>IFERROR(AVERAGEIF(Feedback[Date],A20,Feedback[Rating]),"")</f>
        <v>4.333333333333333</v>
      </c>
      <c r="D20">
        <f>SUMIF(WasteLog[Date],A20,WasteLog[WasteCost])</f>
        <v>148.13999999999999</v>
      </c>
      <c r="E20" s="5">
        <f>IFERROR(Table9[[#This Row],[Avg Waste Cost]]/Table9[[#This Row],[Revenue]],"")</f>
        <v>0.11774823783013859</v>
      </c>
    </row>
    <row r="21" spans="1:5" x14ac:dyDescent="0.25">
      <c r="A21" s="7">
        <f t="shared" si="0"/>
        <v>45858</v>
      </c>
      <c r="B21">
        <f>SUMIFS(OrderLines[Revenue],OrderLines[OrderDate],A21)</f>
        <v>2912.7894999999999</v>
      </c>
      <c r="C21" s="9">
        <f>IFERROR(AVERAGEIF(Feedback[Date],A21,Feedback[Rating]),"")</f>
        <v>3.3333333333333335</v>
      </c>
      <c r="D21">
        <f>SUMIF(WasteLog[Date],A21,WasteLog[WasteCost])</f>
        <v>14.18</v>
      </c>
      <c r="E21" s="5">
        <f>IFERROR(Table9[[#This Row],[Avg Waste Cost]]/Table9[[#This Row],[Revenue]],"")</f>
        <v>4.868185634423634E-3</v>
      </c>
    </row>
    <row r="22" spans="1:5" x14ac:dyDescent="0.25">
      <c r="A22" s="7">
        <f t="shared" si="0"/>
        <v>45859</v>
      </c>
      <c r="B22">
        <f>SUMIFS(OrderLines[Revenue],OrderLines[OrderDate],A22)</f>
        <v>714.59739999999999</v>
      </c>
      <c r="C22" s="9">
        <f>IFERROR(AVERAGEIF(Feedback[Date],A22,Feedback[Rating]),"")</f>
        <v>4</v>
      </c>
      <c r="D22">
        <f>SUMIF(WasteLog[Date],A22,WasteLog[WasteCost])</f>
        <v>116.56</v>
      </c>
      <c r="E22" s="5">
        <f>IFERROR(Table9[[#This Row],[Avg Waste Cost]]/Table9[[#This Row],[Revenue]],"")</f>
        <v>0.16311282408808092</v>
      </c>
    </row>
    <row r="23" spans="1:5" x14ac:dyDescent="0.25">
      <c r="A23" s="7">
        <f t="shared" si="0"/>
        <v>45860</v>
      </c>
      <c r="B23">
        <f>SUMIFS(OrderLines[Revenue],OrderLines[OrderDate],A23)</f>
        <v>933.67669999999998</v>
      </c>
      <c r="C23" s="9">
        <f>IFERROR(AVERAGEIF(Feedback[Date],A23,Feedback[Rating]),"")</f>
        <v>2</v>
      </c>
      <c r="D23">
        <f>SUMIF(WasteLog[Date],A23,WasteLog[WasteCost])</f>
        <v>762.78</v>
      </c>
      <c r="E23" s="5">
        <f>IFERROR(Table9[[#This Row],[Avg Waste Cost]]/Table9[[#This Row],[Revenue]],"")</f>
        <v>0.81696373059325567</v>
      </c>
    </row>
    <row r="24" spans="1:5" x14ac:dyDescent="0.25">
      <c r="A24" s="7">
        <f t="shared" si="0"/>
        <v>45861</v>
      </c>
      <c r="B24">
        <f>SUMIFS(OrderLines[Revenue],OrderLines[OrderDate],A24)</f>
        <v>1650.5281</v>
      </c>
      <c r="C24" s="9">
        <f>IFERROR(AVERAGEIF(Feedback[Date],A24,Feedback[Rating]),"")</f>
        <v>2</v>
      </c>
      <c r="D24">
        <f>SUMIF(WasteLog[Date],A24,WasteLog[WasteCost])</f>
        <v>136.38999999999999</v>
      </c>
      <c r="E24" s="5">
        <f>IFERROR(Table9[[#This Row],[Avg Waste Cost]]/Table9[[#This Row],[Revenue]],"")</f>
        <v>8.2634158121876258E-2</v>
      </c>
    </row>
    <row r="25" spans="1:5" x14ac:dyDescent="0.25">
      <c r="A25" s="7">
        <f t="shared" si="0"/>
        <v>45862</v>
      </c>
      <c r="B25">
        <f>SUMIFS(OrderLines[Revenue],OrderLines[OrderDate],A25)</f>
        <v>2173.3865000000001</v>
      </c>
      <c r="C25" s="9">
        <f>IFERROR(AVERAGEIF(Feedback[Date],A25,Feedback[Rating]),"")</f>
        <v>4.25</v>
      </c>
      <c r="D25">
        <f>SUMIF(WasteLog[Date],A25,WasteLog[WasteCost])</f>
        <v>247.57000000000002</v>
      </c>
      <c r="E25" s="5">
        <f>IFERROR(Table9[[#This Row],[Avg Waste Cost]]/Table9[[#This Row],[Revenue]],"")</f>
        <v>0.11390979009025777</v>
      </c>
    </row>
    <row r="26" spans="1:5" x14ac:dyDescent="0.25">
      <c r="A26" s="7">
        <f t="shared" si="0"/>
        <v>45863</v>
      </c>
      <c r="B26">
        <f>SUMIFS(OrderLines[Revenue],OrderLines[OrderDate],A26)</f>
        <v>811.55369999999982</v>
      </c>
      <c r="C26" s="9">
        <f>IFERROR(AVERAGEIF(Feedback[Date],A26,Feedback[Rating]),"")</f>
        <v>3.3333333333333335</v>
      </c>
      <c r="D26">
        <f>SUMIF(WasteLog[Date],A26,WasteLog[WasteCost])</f>
        <v>206.32999999999998</v>
      </c>
      <c r="E26" s="5">
        <f>IFERROR(Table9[[#This Row],[Avg Waste Cost]]/Table9[[#This Row],[Revenue]],"")</f>
        <v>0.25424072368840167</v>
      </c>
    </row>
    <row r="27" spans="1:5" x14ac:dyDescent="0.25">
      <c r="A27" s="7">
        <f t="shared" si="0"/>
        <v>45864</v>
      </c>
      <c r="B27">
        <f>SUMIFS(OrderLines[Revenue],OrderLines[OrderDate],A27)</f>
        <v>2029.8743999999999</v>
      </c>
      <c r="C27" s="9">
        <f>IFERROR(AVERAGEIF(Feedback[Date],A27,Feedback[Rating]),"")</f>
        <v>3</v>
      </c>
      <c r="D27">
        <f>SUMIF(WasteLog[Date],A27,WasteLog[WasteCost])</f>
        <v>28.14</v>
      </c>
      <c r="E27" s="5">
        <f>IFERROR(Table9[[#This Row],[Avg Waste Cost]]/Table9[[#This Row],[Revenue]],"")</f>
        <v>1.3862926691424849E-2</v>
      </c>
    </row>
    <row r="28" spans="1:5" x14ac:dyDescent="0.25">
      <c r="A28" s="7">
        <f t="shared" si="0"/>
        <v>45865</v>
      </c>
      <c r="B28">
        <f>SUMIFS(OrderLines[Revenue],OrderLines[OrderDate],A28)</f>
        <v>2044.1306000000002</v>
      </c>
      <c r="C28" s="9">
        <f>IFERROR(AVERAGEIF(Feedback[Date],A28,Feedback[Rating]),"")</f>
        <v>3</v>
      </c>
      <c r="D28">
        <f>SUMIF(WasteLog[Date],A28,WasteLog[WasteCost])</f>
        <v>168.6</v>
      </c>
      <c r="E28" s="5">
        <f>IFERROR(Table9[[#This Row],[Avg Waste Cost]]/Table9[[#This Row],[Revenue]],"")</f>
        <v>8.2480052888988589E-2</v>
      </c>
    </row>
    <row r="29" spans="1:5" x14ac:dyDescent="0.25">
      <c r="A29" s="7">
        <f t="shared" si="0"/>
        <v>45866</v>
      </c>
      <c r="B29">
        <f>SUMIFS(OrderLines[Revenue],OrderLines[OrderDate],A29)</f>
        <v>2274.1075999999994</v>
      </c>
      <c r="C29" s="9">
        <f>IFERROR(AVERAGEIF(Feedback[Date],A29,Feedback[Rating]),"")</f>
        <v>4</v>
      </c>
      <c r="D29">
        <f>SUMIF(WasteLog[Date],A29,WasteLog[WasteCost])</f>
        <v>158.75</v>
      </c>
      <c r="E29" s="5">
        <f>IFERROR(Table9[[#This Row],[Avg Waste Cost]]/Table9[[#This Row],[Revenue]],"")</f>
        <v>6.980760277130249E-2</v>
      </c>
    </row>
    <row r="30" spans="1:5" x14ac:dyDescent="0.25">
      <c r="A30" s="7">
        <f t="shared" si="0"/>
        <v>45867</v>
      </c>
      <c r="B30">
        <f>SUMIFS(OrderLines[Revenue],OrderLines[OrderDate],A30)</f>
        <v>3020.3593000000001</v>
      </c>
      <c r="C30" s="9">
        <f>IFERROR(AVERAGEIF(Feedback[Date],A30,Feedback[Rating]),"")</f>
        <v>3.1428571428571428</v>
      </c>
      <c r="D30">
        <f>SUMIF(WasteLog[Date],A30,WasteLog[WasteCost])</f>
        <v>158.62</v>
      </c>
      <c r="E30" s="5">
        <f>IFERROR(Table9[[#This Row],[Avg Waste Cost]]/Table9[[#This Row],[Revenue]],"")</f>
        <v>5.2516930684372548E-2</v>
      </c>
    </row>
    <row r="31" spans="1:5" x14ac:dyDescent="0.25">
      <c r="A31" s="7">
        <f t="shared" si="0"/>
        <v>45868</v>
      </c>
      <c r="B31">
        <f>SUMIFS(OrderLines[Revenue],OrderLines[OrderDate],A31)</f>
        <v>2648.0348000000004</v>
      </c>
      <c r="C31" s="9">
        <f>IFERROR(AVERAGEIF(Feedback[Date],A31,Feedback[Rating]),"")</f>
        <v>3.5714285714285716</v>
      </c>
      <c r="D31">
        <f>SUMIF(WasteLog[Date],A31,WasteLog[WasteCost])</f>
        <v>785.61999999999989</v>
      </c>
      <c r="E31" s="5">
        <f>IFERROR(Table9[[#This Row],[Avg Waste Cost]]/Table9[[#This Row],[Revenue]],"")</f>
        <v>0.29668039105830474</v>
      </c>
    </row>
    <row r="32" spans="1:5" x14ac:dyDescent="0.25">
      <c r="A32" s="7">
        <f t="shared" si="0"/>
        <v>45869</v>
      </c>
      <c r="B32">
        <f>SUMIFS(OrderLines[Revenue],OrderLines[OrderDate],A32)</f>
        <v>4852.3995999999997</v>
      </c>
      <c r="C32" s="9">
        <f>IFERROR(AVERAGEIF(Feedback[Date],A32,Feedback[Rating]),"")</f>
        <v>3.125</v>
      </c>
      <c r="D32">
        <f>SUMIF(WasteLog[Date],A32,WasteLog[WasteCost])</f>
        <v>32</v>
      </c>
      <c r="E32" s="5">
        <f>IFERROR(Table9[[#This Row],[Avg Waste Cost]]/Table9[[#This Row],[Revenue]],"")</f>
        <v>6.5946753437206617E-3</v>
      </c>
    </row>
    <row r="33" spans="1:5" x14ac:dyDescent="0.25">
      <c r="A33" s="7">
        <f t="shared" si="0"/>
        <v>45870</v>
      </c>
      <c r="B33">
        <f>SUMIFS(OrderLines[Revenue],OrderLines[OrderDate],A33)</f>
        <v>1738.7399999999998</v>
      </c>
      <c r="C33" s="9">
        <f>IFERROR(AVERAGEIF(Feedback[Date],A33,Feedback[Rating]),"")</f>
        <v>3.8571428571428572</v>
      </c>
      <c r="D33">
        <f>SUMIF(WasteLog[Date],A33,WasteLog[WasteCost])</f>
        <v>132.03</v>
      </c>
      <c r="E33" s="5">
        <f>IFERROR(Table9[[#This Row],[Avg Waste Cost]]/Table9[[#This Row],[Revenue]],"")</f>
        <v>7.593429724973258E-2</v>
      </c>
    </row>
    <row r="34" spans="1:5" x14ac:dyDescent="0.25">
      <c r="A34" s="7">
        <f t="shared" si="0"/>
        <v>45871</v>
      </c>
      <c r="B34">
        <f>SUMIFS(OrderLines[Revenue],OrderLines[OrderDate],A34)</f>
        <v>3170.9501999999998</v>
      </c>
      <c r="C34" s="9" t="str">
        <f>IFERROR(AVERAGEIF(Feedback[Date],A34,Feedback[Rating]),"")</f>
        <v/>
      </c>
      <c r="D34">
        <f>SUMIF(WasteLog[Date],A34,WasteLog[WasteCost])</f>
        <v>116.93</v>
      </c>
      <c r="E34" s="5">
        <f>IFERROR(Table9[[#This Row],[Avg Waste Cost]]/Table9[[#This Row],[Revenue]],"")</f>
        <v>3.6875382022713572E-2</v>
      </c>
    </row>
    <row r="35" spans="1:5" x14ac:dyDescent="0.25">
      <c r="A35" s="7">
        <f t="shared" si="0"/>
        <v>45872</v>
      </c>
      <c r="B35">
        <f>SUMIFS(OrderLines[Revenue],OrderLines[OrderDate],A35)</f>
        <v>2245.7258999999995</v>
      </c>
      <c r="C35" s="9">
        <f>IFERROR(AVERAGEIF(Feedback[Date],A35,Feedback[Rating]),"")</f>
        <v>5</v>
      </c>
      <c r="D35">
        <f>SUMIF(WasteLog[Date],A35,WasteLog[WasteCost])</f>
        <v>74.069999999999993</v>
      </c>
      <c r="E35" s="5">
        <f>IFERROR(Table9[[#This Row],[Avg Waste Cost]]/Table9[[#This Row],[Revenue]],"")</f>
        <v>3.2982653849252044E-2</v>
      </c>
    </row>
    <row r="36" spans="1:5" x14ac:dyDescent="0.25">
      <c r="A36" s="7">
        <f t="shared" si="0"/>
        <v>45873</v>
      </c>
      <c r="B36">
        <f>SUMIFS(OrderLines[Revenue],OrderLines[OrderDate],A36)</f>
        <v>1903.7358999999999</v>
      </c>
      <c r="C36" s="9">
        <f>IFERROR(AVERAGEIF(Feedback[Date],A36,Feedback[Rating]),"")</f>
        <v>2.25</v>
      </c>
      <c r="D36">
        <f>SUMIF(WasteLog[Date],A36,WasteLog[WasteCost])</f>
        <v>286.32</v>
      </c>
      <c r="E36" s="5">
        <f>IFERROR(Table9[[#This Row],[Avg Waste Cost]]/Table9[[#This Row],[Revenue]],"")</f>
        <v>0.15039901280424453</v>
      </c>
    </row>
    <row r="37" spans="1:5" x14ac:dyDescent="0.25">
      <c r="A37" s="7">
        <f t="shared" si="0"/>
        <v>45874</v>
      </c>
      <c r="B37">
        <f>SUMIFS(OrderLines[Revenue],OrderLines[OrderDate],A37)</f>
        <v>2167.9314000000004</v>
      </c>
      <c r="C37" s="9">
        <f>IFERROR(AVERAGEIF(Feedback[Date],A37,Feedback[Rating]),"")</f>
        <v>3.2</v>
      </c>
      <c r="D37">
        <f>SUMIF(WasteLog[Date],A37,WasteLog[WasteCost])</f>
        <v>0</v>
      </c>
      <c r="E37" s="5">
        <f>IFERROR(Table9[[#This Row],[Avg Waste Cost]]/Table9[[#This Row],[Revenue]],"")</f>
        <v>0</v>
      </c>
    </row>
    <row r="38" spans="1:5" x14ac:dyDescent="0.25">
      <c r="A38" s="7">
        <f t="shared" si="0"/>
        <v>45875</v>
      </c>
      <c r="B38">
        <f>SUMIFS(OrderLines[Revenue],OrderLines[OrderDate],A38)</f>
        <v>1658.0415000000003</v>
      </c>
      <c r="C38" s="9">
        <f>IFERROR(AVERAGEIF(Feedback[Date],A38,Feedback[Rating]),"")</f>
        <v>3.6666666666666665</v>
      </c>
      <c r="D38">
        <f>SUMIF(WasteLog[Date],A38,WasteLog[WasteCost])</f>
        <v>70.210000000000008</v>
      </c>
      <c r="E38" s="5">
        <f>IFERROR(Table9[[#This Row],[Avg Waste Cost]]/Table9[[#This Row],[Revenue]],"")</f>
        <v>4.2345140335751548E-2</v>
      </c>
    </row>
    <row r="39" spans="1:5" x14ac:dyDescent="0.25">
      <c r="A39" s="7">
        <f t="shared" si="0"/>
        <v>45876</v>
      </c>
      <c r="B39">
        <f>SUMIFS(OrderLines[Revenue],OrderLines[OrderDate],A39)</f>
        <v>1593.9491000000003</v>
      </c>
      <c r="C39" s="9">
        <f>IFERROR(AVERAGEIF(Feedback[Date],A39,Feedback[Rating]),"")</f>
        <v>4</v>
      </c>
      <c r="D39">
        <f>SUMIF(WasteLog[Date],A39,WasteLog[WasteCost])</f>
        <v>526.52</v>
      </c>
      <c r="E39" s="5">
        <f>IFERROR(Table9[[#This Row],[Avg Waste Cost]]/Table9[[#This Row],[Revenue]],"")</f>
        <v>0.33032422428043651</v>
      </c>
    </row>
    <row r="40" spans="1:5" x14ac:dyDescent="0.25">
      <c r="A40" s="7">
        <f t="shared" si="0"/>
        <v>45877</v>
      </c>
      <c r="B40">
        <f>SUMIFS(OrderLines[Revenue],OrderLines[OrderDate],A40)</f>
        <v>1921.5368999999998</v>
      </c>
      <c r="C40" s="9">
        <f>IFERROR(AVERAGEIF(Feedback[Date],A40,Feedback[Rating]),"")</f>
        <v>3.3333333333333335</v>
      </c>
      <c r="D40">
        <f>SUMIF(WasteLog[Date],A40,WasteLog[WasteCost])</f>
        <v>80.92</v>
      </c>
      <c r="E40" s="5">
        <f>IFERROR(Table9[[#This Row],[Avg Waste Cost]]/Table9[[#This Row],[Revenue]],"")</f>
        <v>4.2112123894159935E-2</v>
      </c>
    </row>
    <row r="41" spans="1:5" x14ac:dyDescent="0.25">
      <c r="A41" s="7">
        <f t="shared" si="0"/>
        <v>45878</v>
      </c>
      <c r="B41">
        <f>SUMIFS(OrderLines[Revenue],OrderLines[OrderDate],A41)</f>
        <v>4129.2466000000004</v>
      </c>
      <c r="C41" s="9">
        <f>IFERROR(AVERAGEIF(Feedback[Date],A41,Feedback[Rating]),"")</f>
        <v>5</v>
      </c>
      <c r="D41">
        <f>SUMIF(WasteLog[Date],A41,WasteLog[WasteCost])</f>
        <v>398.28000000000003</v>
      </c>
      <c r="E41" s="5">
        <f>IFERROR(Table9[[#This Row],[Avg Waste Cost]]/Table9[[#This Row],[Revenue]],"")</f>
        <v>9.6453430511997035E-2</v>
      </c>
    </row>
    <row r="42" spans="1:5" x14ac:dyDescent="0.25">
      <c r="A42" s="7">
        <f t="shared" si="0"/>
        <v>45879</v>
      </c>
      <c r="B42">
        <f>SUMIFS(OrderLines[Revenue],OrderLines[OrderDate],A42)</f>
        <v>1401.8914</v>
      </c>
      <c r="C42" s="9">
        <f>IFERROR(AVERAGEIF(Feedback[Date],A42,Feedback[Rating]),"")</f>
        <v>4.5</v>
      </c>
      <c r="D42">
        <f>SUMIF(WasteLog[Date],A42,WasteLog[WasteCost])</f>
        <v>133.12</v>
      </c>
      <c r="E42" s="5">
        <f>IFERROR(Table9[[#This Row],[Avg Waste Cost]]/Table9[[#This Row],[Revenue]],"")</f>
        <v>9.4957426802104644E-2</v>
      </c>
    </row>
    <row r="43" spans="1:5" x14ac:dyDescent="0.25">
      <c r="A43" s="7">
        <f t="shared" si="0"/>
        <v>45880</v>
      </c>
      <c r="B43">
        <f>SUMIFS(OrderLines[Revenue],OrderLines[OrderDate],A43)</f>
        <v>2517.5508000000004</v>
      </c>
      <c r="C43" s="9">
        <f>IFERROR(AVERAGEIF(Feedback[Date],A43,Feedback[Rating]),"")</f>
        <v>3.5</v>
      </c>
      <c r="D43">
        <f>SUMIF(WasteLog[Date],A43,WasteLog[WasteCost])</f>
        <v>178.74</v>
      </c>
      <c r="E43" s="5">
        <f>IFERROR(Table9[[#This Row],[Avg Waste Cost]]/Table9[[#This Row],[Revenue]],"")</f>
        <v>7.0997574309126149E-2</v>
      </c>
    </row>
    <row r="44" spans="1:5" x14ac:dyDescent="0.25">
      <c r="A44" s="7">
        <f t="shared" si="0"/>
        <v>45881</v>
      </c>
      <c r="B44">
        <f>SUMIFS(OrderLines[Revenue],OrderLines[OrderDate],A44)</f>
        <v>2645.7173000000003</v>
      </c>
      <c r="C44" s="9">
        <f>IFERROR(AVERAGEIF(Feedback[Date],A44,Feedback[Rating]),"")</f>
        <v>3.6</v>
      </c>
      <c r="D44">
        <f>SUMIF(WasteLog[Date],A44,WasteLog[WasteCost])</f>
        <v>0</v>
      </c>
      <c r="E44" s="5">
        <f>IFERROR(Table9[[#This Row],[Avg Waste Cost]]/Table9[[#This Row],[Revenue]],"")</f>
        <v>0</v>
      </c>
    </row>
    <row r="45" spans="1:5" x14ac:dyDescent="0.25">
      <c r="A45" s="7">
        <f t="shared" si="0"/>
        <v>45882</v>
      </c>
      <c r="B45">
        <f>SUMIFS(OrderLines[Revenue],OrderLines[OrderDate],A45)</f>
        <v>2966.4973999999993</v>
      </c>
      <c r="C45" s="9">
        <f>IFERROR(AVERAGEIF(Feedback[Date],A45,Feedback[Rating]),"")</f>
        <v>3</v>
      </c>
      <c r="D45">
        <f>SUMIF(WasteLog[Date],A45,WasteLog[WasteCost])</f>
        <v>375.67999999999995</v>
      </c>
      <c r="E45" s="5">
        <f>IFERROR(Table9[[#This Row],[Avg Waste Cost]]/Table9[[#This Row],[Revenue]],"")</f>
        <v>0.12664093351303798</v>
      </c>
    </row>
    <row r="46" spans="1:5" x14ac:dyDescent="0.25">
      <c r="A46" s="7">
        <f t="shared" si="0"/>
        <v>45883</v>
      </c>
      <c r="B46">
        <f>SUMIFS(OrderLines[Revenue],OrderLines[OrderDate],A46)</f>
        <v>2517.2587000000003</v>
      </c>
      <c r="C46" s="9">
        <f>IFERROR(AVERAGEIF(Feedback[Date],A46,Feedback[Rating]),"")</f>
        <v>3.8</v>
      </c>
      <c r="D46">
        <f>SUMIF(WasteLog[Date],A46,WasteLog[WasteCost])</f>
        <v>29.14</v>
      </c>
      <c r="E46" s="5">
        <f>IFERROR(Table9[[#This Row],[Avg Waste Cost]]/Table9[[#This Row],[Revenue]],"")</f>
        <v>1.1576084730584106E-2</v>
      </c>
    </row>
    <row r="47" spans="1:5" x14ac:dyDescent="0.25">
      <c r="A47" s="7">
        <f t="shared" si="0"/>
        <v>45884</v>
      </c>
      <c r="B47">
        <f>SUMIFS(OrderLines[Revenue],OrderLines[OrderDate],A47)</f>
        <v>2286.6790000000001</v>
      </c>
      <c r="C47" s="9">
        <f>IFERROR(AVERAGEIF(Feedback[Date],A47,Feedback[Rating]),"")</f>
        <v>2</v>
      </c>
      <c r="D47">
        <f>SUMIF(WasteLog[Date],A47,WasteLog[WasteCost])</f>
        <v>390.62</v>
      </c>
      <c r="E47" s="5">
        <f>IFERROR(Table9[[#This Row],[Avg Waste Cost]]/Table9[[#This Row],[Revenue]],"")</f>
        <v>0.1708241515315442</v>
      </c>
    </row>
    <row r="48" spans="1:5" x14ac:dyDescent="0.25">
      <c r="A48" s="7">
        <f t="shared" si="0"/>
        <v>45885</v>
      </c>
      <c r="B48">
        <f>SUMIFS(OrderLines[Revenue],OrderLines[OrderDate],A48)</f>
        <v>2603.3123999999993</v>
      </c>
      <c r="C48" s="9">
        <f>IFERROR(AVERAGEIF(Feedback[Date],A48,Feedback[Rating]),"")</f>
        <v>5</v>
      </c>
      <c r="D48">
        <f>SUMIF(WasteLog[Date],A48,WasteLog[WasteCost])</f>
        <v>35.81</v>
      </c>
      <c r="E48" s="5">
        <f>IFERROR(Table9[[#This Row],[Avg Waste Cost]]/Table9[[#This Row],[Revenue]],"")</f>
        <v>1.3755552349383813E-2</v>
      </c>
    </row>
    <row r="49" spans="1:5" x14ac:dyDescent="0.25">
      <c r="A49" s="7">
        <f t="shared" si="0"/>
        <v>45886</v>
      </c>
      <c r="B49">
        <f>SUMIFS(OrderLines[Revenue],OrderLines[OrderDate],A49)</f>
        <v>2530.6252999999997</v>
      </c>
      <c r="C49" s="9">
        <f>IFERROR(AVERAGEIF(Feedback[Date],A49,Feedback[Rating]),"")</f>
        <v>3.5</v>
      </c>
      <c r="D49">
        <f>SUMIF(WasteLog[Date],A49,WasteLog[WasteCost])</f>
        <v>38.229999999999997</v>
      </c>
      <c r="E49" s="5">
        <f>IFERROR(Table9[[#This Row],[Avg Waste Cost]]/Table9[[#This Row],[Revenue]],"")</f>
        <v>1.5106938194287397E-2</v>
      </c>
    </row>
    <row r="50" spans="1:5" x14ac:dyDescent="0.25">
      <c r="A50" s="7">
        <f t="shared" si="0"/>
        <v>45887</v>
      </c>
      <c r="B50">
        <f>SUMIFS(OrderLines[Revenue],OrderLines[OrderDate],A50)</f>
        <v>1535.5767000000001</v>
      </c>
      <c r="C50" s="9">
        <f>IFERROR(AVERAGEIF(Feedback[Date],A50,Feedback[Rating]),"")</f>
        <v>3</v>
      </c>
      <c r="D50">
        <f>SUMIF(WasteLog[Date],A50,WasteLog[WasteCost])</f>
        <v>33.380000000000003</v>
      </c>
      <c r="E50" s="5">
        <f>IFERROR(Table9[[#This Row],[Avg Waste Cost]]/Table9[[#This Row],[Revenue]],"")</f>
        <v>2.1737761454702978E-2</v>
      </c>
    </row>
    <row r="51" spans="1:5" x14ac:dyDescent="0.25">
      <c r="A51" s="7">
        <f t="shared" si="0"/>
        <v>45888</v>
      </c>
      <c r="B51">
        <f>SUMIFS(OrderLines[Revenue],OrderLines[OrderDate],A51)</f>
        <v>2916.2893999999997</v>
      </c>
      <c r="C51" s="9">
        <f>IFERROR(AVERAGEIF(Feedback[Date],A51,Feedback[Rating]),"")</f>
        <v>5</v>
      </c>
      <c r="D51">
        <f>SUMIF(WasteLog[Date],A51,WasteLog[WasteCost])</f>
        <v>71.56</v>
      </c>
      <c r="E51" s="5">
        <f>IFERROR(Table9[[#This Row],[Avg Waste Cost]]/Table9[[#This Row],[Revenue]],"")</f>
        <v>2.4538031102125876E-2</v>
      </c>
    </row>
    <row r="52" spans="1:5" x14ac:dyDescent="0.25">
      <c r="A52" s="7">
        <f t="shared" si="0"/>
        <v>45889</v>
      </c>
      <c r="B52">
        <f>SUMIFS(OrderLines[Revenue],OrderLines[OrderDate],A52)</f>
        <v>1073.4818</v>
      </c>
      <c r="C52" s="9">
        <f>IFERROR(AVERAGEIF(Feedback[Date],A52,Feedback[Rating]),"")</f>
        <v>4</v>
      </c>
      <c r="D52">
        <f>SUMIF(WasteLog[Date],A52,WasteLog[WasteCost])</f>
        <v>177.95999999999998</v>
      </c>
      <c r="E52" s="5">
        <f>IFERROR(Table9[[#This Row],[Avg Waste Cost]]/Table9[[#This Row],[Revenue]],"")</f>
        <v>0.16577831128576187</v>
      </c>
    </row>
    <row r="53" spans="1:5" x14ac:dyDescent="0.25">
      <c r="A53" s="7">
        <f t="shared" si="0"/>
        <v>45890</v>
      </c>
      <c r="B53">
        <f>SUMIFS(OrderLines[Revenue],OrderLines[OrderDate],A53)</f>
        <v>3053.0263999999997</v>
      </c>
      <c r="C53" s="9">
        <f>IFERROR(AVERAGEIF(Feedback[Date],A53,Feedback[Rating]),"")</f>
        <v>2</v>
      </c>
      <c r="D53">
        <f>SUMIF(WasteLog[Date],A53,WasteLog[WasteCost])</f>
        <v>291.83999999999997</v>
      </c>
      <c r="E53" s="5">
        <f>IFERROR(Table9[[#This Row],[Avg Waste Cost]]/Table9[[#This Row],[Revenue]],"")</f>
        <v>9.5590395156753313E-2</v>
      </c>
    </row>
    <row r="54" spans="1:5" x14ac:dyDescent="0.25">
      <c r="A54" s="7">
        <f t="shared" si="0"/>
        <v>45891</v>
      </c>
      <c r="B54">
        <f>SUMIFS(OrderLines[Revenue],OrderLines[OrderDate],A54)</f>
        <v>1982.1374000000001</v>
      </c>
      <c r="C54" s="9">
        <f>IFERROR(AVERAGEIF(Feedback[Date],A54,Feedback[Rating]),"")</f>
        <v>3.4</v>
      </c>
      <c r="D54">
        <f>SUMIF(WasteLog[Date],A54,WasteLog[WasteCost])</f>
        <v>303.95000000000005</v>
      </c>
      <c r="E54" s="5">
        <f>IFERROR(Table9[[#This Row],[Avg Waste Cost]]/Table9[[#This Row],[Revenue]],"")</f>
        <v>0.15334456632522045</v>
      </c>
    </row>
    <row r="55" spans="1:5" x14ac:dyDescent="0.25">
      <c r="A55" s="7">
        <f t="shared" si="0"/>
        <v>45892</v>
      </c>
      <c r="B55">
        <f>SUMIFS(OrderLines[Revenue],OrderLines[OrderDate],A55)</f>
        <v>1250.1279999999997</v>
      </c>
      <c r="C55" s="9">
        <f>IFERROR(AVERAGEIF(Feedback[Date],A55,Feedback[Rating]),"")</f>
        <v>4.25</v>
      </c>
      <c r="D55">
        <f>SUMIF(WasteLog[Date],A55,WasteLog[WasteCost])</f>
        <v>72.259999999999991</v>
      </c>
      <c r="E55" s="5">
        <f>IFERROR(Table9[[#This Row],[Avg Waste Cost]]/Table9[[#This Row],[Revenue]],"")</f>
        <v>5.7802081066898756E-2</v>
      </c>
    </row>
    <row r="56" spans="1:5" x14ac:dyDescent="0.25">
      <c r="A56" s="7">
        <f t="shared" si="0"/>
        <v>45893</v>
      </c>
      <c r="B56">
        <f>SUMIFS(OrderLines[Revenue],OrderLines[OrderDate],A56)</f>
        <v>3195.5708000000004</v>
      </c>
      <c r="C56" s="9">
        <f>IFERROR(AVERAGEIF(Feedback[Date],A56,Feedback[Rating]),"")</f>
        <v>4.666666666666667</v>
      </c>
      <c r="D56">
        <f>SUMIF(WasteLog[Date],A56,WasteLog[WasteCost])</f>
        <v>252.81</v>
      </c>
      <c r="E56" s="5">
        <f>IFERROR(Table9[[#This Row],[Avg Waste Cost]]/Table9[[#This Row],[Revenue]],"")</f>
        <v>7.9112626764520438E-2</v>
      </c>
    </row>
    <row r="57" spans="1:5" x14ac:dyDescent="0.25">
      <c r="A57" s="7">
        <f t="shared" si="0"/>
        <v>45894</v>
      </c>
      <c r="B57">
        <f>SUMIFS(OrderLines[Revenue],OrderLines[OrderDate],A57)</f>
        <v>3411.9609000000005</v>
      </c>
      <c r="C57" s="9">
        <f>IFERROR(AVERAGEIF(Feedback[Date],A57,Feedback[Rating]),"")</f>
        <v>4</v>
      </c>
      <c r="D57">
        <f>SUMIF(WasteLog[Date],A57,WasteLog[WasteCost])</f>
        <v>123.58999999999999</v>
      </c>
      <c r="E57" s="5">
        <f>IFERROR(Table9[[#This Row],[Avg Waste Cost]]/Table9[[#This Row],[Revenue]],"")</f>
        <v>3.622257218715489E-2</v>
      </c>
    </row>
    <row r="58" spans="1:5" x14ac:dyDescent="0.25">
      <c r="A58" s="7">
        <f t="shared" si="0"/>
        <v>45895</v>
      </c>
      <c r="B58">
        <f>SUMIFS(OrderLines[Revenue],OrderLines[OrderDate],A58)</f>
        <v>5601.9020999999993</v>
      </c>
      <c r="C58" s="9">
        <f>IFERROR(AVERAGEIF(Feedback[Date],A58,Feedback[Rating]),"")</f>
        <v>3.3333333333333335</v>
      </c>
      <c r="D58">
        <f>SUMIF(WasteLog[Date],A58,WasteLog[WasteCost])</f>
        <v>337.86</v>
      </c>
      <c r="E58" s="5">
        <f>IFERROR(Table9[[#This Row],[Avg Waste Cost]]/Table9[[#This Row],[Revenue]],"")</f>
        <v>6.0311657356525397E-2</v>
      </c>
    </row>
    <row r="59" spans="1:5" x14ac:dyDescent="0.25">
      <c r="A59" s="7">
        <f t="shared" si="0"/>
        <v>45896</v>
      </c>
      <c r="B59">
        <f>SUMIFS(OrderLines[Revenue],OrderLines[OrderDate],A59)</f>
        <v>2109.2730000000001</v>
      </c>
      <c r="C59" s="9">
        <f>IFERROR(AVERAGEIF(Feedback[Date],A59,Feedback[Rating]),"")</f>
        <v>4</v>
      </c>
      <c r="D59">
        <f>SUMIF(WasteLog[Date],A59,WasteLog[WasteCost])</f>
        <v>80.92</v>
      </c>
      <c r="E59" s="5">
        <f>IFERROR(Table9[[#This Row],[Avg Waste Cost]]/Table9[[#This Row],[Revenue]],"")</f>
        <v>3.8363929183183022E-2</v>
      </c>
    </row>
    <row r="60" spans="1:5" x14ac:dyDescent="0.25">
      <c r="A60" s="7">
        <f t="shared" si="0"/>
        <v>45897</v>
      </c>
      <c r="B60">
        <f>SUMIFS(OrderLines[Revenue],OrderLines[OrderDate],A60)</f>
        <v>1134.6641999999997</v>
      </c>
      <c r="C60" s="9">
        <f>IFERROR(AVERAGEIF(Feedback[Date],A60,Feedback[Rating]),"")</f>
        <v>3</v>
      </c>
      <c r="D60">
        <f>SUMIF(WasteLog[Date],A60,WasteLog[WasteCost])</f>
        <v>0</v>
      </c>
      <c r="E60" s="5">
        <f>IFERROR(Table9[[#This Row],[Avg Waste Cost]]/Table9[[#This Row],[Revenue]],"")</f>
        <v>0</v>
      </c>
    </row>
    <row r="61" spans="1:5" x14ac:dyDescent="0.25">
      <c r="A61" s="7">
        <f>A60+1</f>
        <v>45898</v>
      </c>
      <c r="B61">
        <f>SUMIFS(OrderLines[Revenue],OrderLines[OrderDate],A61)</f>
        <v>1445.0394000000001</v>
      </c>
      <c r="C61" s="9" t="str">
        <f>IFERROR(AVERAGEIF(Feedback[Date],A61,Feedback[Rating]),"")</f>
        <v/>
      </c>
      <c r="D61">
        <f>SUMIF(WasteLog[Date],A61,WasteLog[WasteCost])</f>
        <v>0</v>
      </c>
      <c r="E61" s="5">
        <f>IFERROR(Table9[[#This Row],[Avg Waste Cost]]/Table9[[#This Row],[Revenue]],"")</f>
        <v>0</v>
      </c>
    </row>
    <row r="62" spans="1:5" x14ac:dyDescent="0.25">
      <c r="A62" s="7">
        <f t="shared" ref="A62:A63" si="1">A61+1</f>
        <v>45899</v>
      </c>
      <c r="B62">
        <f>SUMIFS(OrderLines[Revenue],OrderLines[OrderDate],A62)</f>
        <v>0</v>
      </c>
      <c r="C62" s="9" t="str">
        <f>IFERROR(AVERAGEIF(Feedback[Date],A62,Feedback[Rating]),"")</f>
        <v/>
      </c>
      <c r="D62">
        <f>SUMIF(WasteLog[Date],A62,WasteLog[WasteCost])</f>
        <v>0</v>
      </c>
      <c r="E62" s="5" t="str">
        <f>IFERROR(Table9[[#This Row],[Avg Waste Cost]]/Table9[[#This Row],[Revenue]],"")</f>
        <v/>
      </c>
    </row>
    <row r="63" spans="1:5" x14ac:dyDescent="0.25">
      <c r="A63" s="7">
        <f t="shared" si="1"/>
        <v>45900</v>
      </c>
      <c r="B63">
        <f>SUMIFS(OrderLines[Revenue],OrderLines[OrderDate],A63)</f>
        <v>0</v>
      </c>
      <c r="C63" s="9" t="str">
        <f>IFERROR(AVERAGEIF(Feedback[Date],A63,Feedback[Rating]),"")</f>
        <v/>
      </c>
      <c r="D63">
        <f>SUMIF(WasteLog[Date],A63,WasteLog[WasteCost])</f>
        <v>0</v>
      </c>
      <c r="E63" s="5" t="str">
        <f>IFERROR(Table9[[#This Row],[Avg Waste Cost]]/Table9[[#This Row],[Revenue]],"")</f>
        <v/>
      </c>
    </row>
  </sheetData>
  <conditionalFormatting sqref="A2:D63">
    <cfRule type="expression" dxfId="93" priority="1">
      <formula>OR($B2&lt;1500,AND($C2&lt;&gt;"",$C2&lt;3.2),IFERROR($D2/$B2,0)&gt;0.04)</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F13888-5289-401E-BF2E-1F5732820C6A}">
  <dimension ref="A2:I31"/>
  <sheetViews>
    <sheetView workbookViewId="0">
      <selection activeCell="J27" sqref="J27"/>
    </sheetView>
  </sheetViews>
  <sheetFormatPr defaultRowHeight="15" x14ac:dyDescent="0.25"/>
  <cols>
    <col min="1" max="1" width="30.5703125" bestFit="1" customWidth="1"/>
    <col min="2" max="2" width="9.140625" style="11"/>
  </cols>
  <sheetData>
    <row r="2" spans="1:9" x14ac:dyDescent="0.25">
      <c r="A2" s="36" t="s">
        <v>526</v>
      </c>
      <c r="B2" s="37"/>
      <c r="C2" s="37"/>
      <c r="D2" s="37"/>
      <c r="E2" s="37"/>
      <c r="F2" s="37"/>
      <c r="G2" s="37"/>
      <c r="H2" s="37"/>
      <c r="I2" s="37"/>
    </row>
    <row r="3" spans="1:9" x14ac:dyDescent="0.25">
      <c r="A3" s="37"/>
      <c r="B3" s="37"/>
      <c r="C3" s="37"/>
      <c r="D3" s="37"/>
      <c r="E3" s="37"/>
      <c r="F3" s="37"/>
      <c r="G3" s="37"/>
      <c r="H3" s="37"/>
      <c r="I3" s="37"/>
    </row>
    <row r="5" spans="1:9" x14ac:dyDescent="0.25">
      <c r="A5" t="s">
        <v>523</v>
      </c>
    </row>
    <row r="6" spans="1:9" x14ac:dyDescent="0.25">
      <c r="A6" s="13">
        <f xml:space="preserve"> SUMIFS(OrderLines[Revenue],OrderLines[OrderDate],"&gt;="&amp;DATE(2025,7,1),OrderLines[OrderDate],"&lt;="&amp;DATE(2025,7,31))</f>
        <v>63939.190700000021</v>
      </c>
    </row>
    <row r="8" spans="1:9" x14ac:dyDescent="0.25">
      <c r="A8" t="s">
        <v>524</v>
      </c>
    </row>
    <row r="9" spans="1:9" x14ac:dyDescent="0.25">
      <c r="A9" s="15">
        <f>SUMIFS(OrderLines[Revenue],OrderLines[OrderDate],"&gt;="&amp;DATE(2025,8,1),OrderLines[OrderDate],"&lt;="&amp;DATE(2025,8,31))</f>
        <v>68708.43990000007</v>
      </c>
    </row>
    <row r="11" spans="1:9" x14ac:dyDescent="0.25">
      <c r="A11" t="s">
        <v>525</v>
      </c>
    </row>
    <row r="12" spans="1:9" x14ac:dyDescent="0.25">
      <c r="A12" s="16">
        <f>(A9-A6)/A6</f>
        <v>7.4590390459853717E-2</v>
      </c>
    </row>
    <row r="15" spans="1:9" x14ac:dyDescent="0.25">
      <c r="A15" s="34" t="s">
        <v>531</v>
      </c>
      <c r="B15" s="35"/>
      <c r="C15" s="35"/>
      <c r="D15" s="35"/>
      <c r="E15" s="35"/>
      <c r="F15" s="35"/>
      <c r="G15" s="35"/>
      <c r="H15" s="35"/>
      <c r="I15" s="35"/>
    </row>
    <row r="16" spans="1:9" x14ac:dyDescent="0.25">
      <c r="A16" s="35"/>
      <c r="B16" s="35"/>
      <c r="C16" s="35"/>
      <c r="D16" s="35"/>
      <c r="E16" s="35"/>
      <c r="F16" s="35"/>
      <c r="G16" s="35"/>
      <c r="H16" s="35"/>
      <c r="I16" s="35"/>
    </row>
    <row r="18" spans="1:9" x14ac:dyDescent="0.25">
      <c r="A18" s="15">
        <f>SUMIFS(OrderLines[Revenue],
   OrderLines[Shift],"Lunch",
   OrderLines[Branch],"Head Office Café",
   OrderLines[OrderDate],"&gt;="&amp;DATE(2025,8,1),
   OrderLines[OrderDate],"&lt;="&amp;DATE(2025,8,31))</f>
        <v>7403.6595000000016</v>
      </c>
    </row>
    <row r="21" spans="1:9" x14ac:dyDescent="0.25">
      <c r="A21" s="32" t="s">
        <v>528</v>
      </c>
      <c r="B21" s="33"/>
      <c r="C21" s="33"/>
      <c r="D21" s="33"/>
      <c r="E21" s="33"/>
      <c r="F21" s="33"/>
      <c r="G21" s="33"/>
      <c r="H21" s="33"/>
      <c r="I21" s="33"/>
    </row>
    <row r="22" spans="1:9" x14ac:dyDescent="0.25">
      <c r="A22" s="33"/>
      <c r="B22" s="33"/>
      <c r="C22" s="33"/>
      <c r="D22" s="33"/>
      <c r="E22" s="33"/>
      <c r="F22" s="33"/>
      <c r="G22" s="33"/>
      <c r="H22" s="33"/>
      <c r="I22" s="33"/>
    </row>
    <row r="24" spans="1:9" x14ac:dyDescent="0.25">
      <c r="A24" s="14">
        <f>COUNTIFS(Orders[PaymentType],"UPI",Orders[HasBeverage],TRUE)</f>
        <v>70</v>
      </c>
    </row>
    <row r="25" spans="1:9" x14ac:dyDescent="0.25">
      <c r="E25" s="12"/>
    </row>
    <row r="27" spans="1:9" x14ac:dyDescent="0.25">
      <c r="A27" s="34" t="s">
        <v>530</v>
      </c>
      <c r="B27" s="34"/>
      <c r="C27" s="34"/>
      <c r="D27" s="34"/>
      <c r="E27" s="34"/>
      <c r="F27" s="34"/>
      <c r="G27" s="34"/>
      <c r="H27" s="34"/>
      <c r="I27" s="34"/>
    </row>
    <row r="28" spans="1:9" x14ac:dyDescent="0.25">
      <c r="A28" s="34"/>
      <c r="B28" s="34"/>
      <c r="C28" s="34"/>
      <c r="D28" s="34"/>
      <c r="E28" s="34"/>
      <c r="F28" s="34"/>
      <c r="G28" s="34"/>
      <c r="H28" s="34"/>
      <c r="I28" s="34"/>
    </row>
    <row r="29" spans="1:9" x14ac:dyDescent="0.25">
      <c r="A29" t="s">
        <v>12</v>
      </c>
      <c r="B29" s="15">
        <f>AVERAGEIFS(Orders[OrderTotal],Orders[Shift],$A29,Orders[OrderDateTime],"&gt;="&amp;DATE(2025,7,1),Orders[OrderDateTime],"&lt;"&amp;DATE(2025,9,1))</f>
        <v>360.57145141242933</v>
      </c>
    </row>
    <row r="30" spans="1:9" x14ac:dyDescent="0.25">
      <c r="A30" t="s">
        <v>22</v>
      </c>
      <c r="B30" s="15">
        <f>AVERAGEIFS(Orders[OrderTotal],Orders[Shift],$A30,Orders[OrderDateTime],"&gt;="&amp;DATE(2025,7,1),Orders[OrderDateTime],"&lt;"&amp;DATE(2025,9,1))</f>
        <v>372.02586849315071</v>
      </c>
    </row>
    <row r="31" spans="1:9" x14ac:dyDescent="0.25">
      <c r="A31" t="s">
        <v>18</v>
      </c>
      <c r="B31" s="15">
        <f>AVERAGEIFS(Orders[OrderTotal],Orders[Shift],$A31,Orders[OrderDateTime],"&gt;="&amp;DATE(2025,7,1),Orders[OrderDateTime],"&lt;"&amp;DATE(2025,9,1))</f>
        <v>378.80541181818211</v>
      </c>
    </row>
  </sheetData>
  <mergeCells count="4">
    <mergeCell ref="A21:I22"/>
    <mergeCell ref="A15:I16"/>
    <mergeCell ref="A2:I3"/>
    <mergeCell ref="A27:I28"/>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0179-15F0-4492-B67F-79AB490E36E9}">
  <dimension ref="A1:C5"/>
  <sheetViews>
    <sheetView workbookViewId="0">
      <selection activeCell="C6" sqref="C6"/>
    </sheetView>
  </sheetViews>
  <sheetFormatPr defaultRowHeight="15" x14ac:dyDescent="0.25"/>
  <cols>
    <col min="1" max="1" width="16.28515625" customWidth="1"/>
    <col min="2" max="2" width="17.140625" customWidth="1"/>
  </cols>
  <sheetData>
    <row r="1" spans="1:3" x14ac:dyDescent="0.25">
      <c r="A1" s="38" t="s">
        <v>556</v>
      </c>
      <c r="B1" s="39"/>
      <c r="C1" s="39"/>
    </row>
    <row r="2" spans="1:3" x14ac:dyDescent="0.25">
      <c r="A2" s="39"/>
      <c r="B2" s="39"/>
      <c r="C2" s="39"/>
    </row>
    <row r="4" spans="1:3" x14ac:dyDescent="0.25">
      <c r="A4" t="s">
        <v>553</v>
      </c>
      <c r="B4" t="s">
        <v>554</v>
      </c>
      <c r="C4" t="s">
        <v>555</v>
      </c>
    </row>
    <row r="5" spans="1:3" x14ac:dyDescent="0.25">
      <c r="A5" t="s">
        <v>405</v>
      </c>
      <c r="B5" t="s">
        <v>400</v>
      </c>
      <c r="C5">
        <f>INDEX(Menu[],
MATCH(A5,Menu[SKU],0),
MATCH(B5,Menu[#Headers],0))</f>
        <v>170.83</v>
      </c>
    </row>
  </sheetData>
  <mergeCells count="1">
    <mergeCell ref="A1:C2"/>
  </mergeCells>
  <dataValidations count="1">
    <dataValidation type="list" allowBlank="1" showInputMessage="1" showErrorMessage="1" sqref="B5" xr:uid="{26531E3D-1953-4175-916D-14F627D17CAD}">
      <formula1>"UnitPrice,UnitCost"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67BD5386-0B7D-4911-BE94-012950ABD26D}">
          <x14:formula1>
            <xm:f>Menu!$A$2:$A$20</xm:f>
          </x14:formula1>
          <xm:sqref>A5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9D130-E340-4E3D-BDA7-0945D75FDAA5}">
  <dimension ref="A1:M31"/>
  <sheetViews>
    <sheetView workbookViewId="0">
      <selection activeCell="G29" sqref="G29"/>
    </sheetView>
  </sheetViews>
  <sheetFormatPr defaultRowHeight="15" x14ac:dyDescent="0.25"/>
  <cols>
    <col min="1" max="1" width="15.5703125" bestFit="1" customWidth="1"/>
    <col min="2" max="2" width="16" bestFit="1" customWidth="1"/>
    <col min="3" max="4" width="15" bestFit="1" customWidth="1"/>
    <col min="5" max="5" width="11.28515625" bestFit="1" customWidth="1"/>
    <col min="6" max="6" width="16.5703125" bestFit="1" customWidth="1"/>
    <col min="7" max="7" width="15.5703125" bestFit="1" customWidth="1"/>
    <col min="8" max="8" width="16" bestFit="1" customWidth="1"/>
    <col min="9" max="9" width="13.85546875" bestFit="1" customWidth="1"/>
    <col min="10" max="10" width="9.7109375" bestFit="1" customWidth="1"/>
    <col min="11" max="11" width="12.42578125" bestFit="1" customWidth="1"/>
  </cols>
  <sheetData>
    <row r="1" spans="1:13" x14ac:dyDescent="0.25">
      <c r="A1" s="40" t="s">
        <v>541</v>
      </c>
      <c r="B1" s="41"/>
      <c r="C1" s="41"/>
      <c r="D1" s="41"/>
      <c r="E1" s="41"/>
      <c r="F1" s="41"/>
    </row>
    <row r="2" spans="1:13" x14ac:dyDescent="0.25">
      <c r="A2" s="41"/>
      <c r="B2" s="41"/>
      <c r="C2" s="41"/>
      <c r="D2" s="41"/>
      <c r="E2" s="41"/>
      <c r="F2" s="41"/>
    </row>
    <row r="3" spans="1:13" x14ac:dyDescent="0.25">
      <c r="A3" s="18" t="s">
        <v>522</v>
      </c>
      <c r="B3" t="s">
        <v>536</v>
      </c>
    </row>
    <row r="5" spans="1:13" x14ac:dyDescent="0.25">
      <c r="A5" s="18" t="s">
        <v>542</v>
      </c>
      <c r="B5" s="18" t="s">
        <v>2</v>
      </c>
    </row>
    <row r="6" spans="1:13" x14ac:dyDescent="0.25">
      <c r="A6" s="18" t="s">
        <v>421</v>
      </c>
      <c r="B6" t="s">
        <v>9</v>
      </c>
      <c r="C6" t="s">
        <v>27</v>
      </c>
      <c r="D6" t="s">
        <v>15</v>
      </c>
      <c r="E6" t="s">
        <v>535</v>
      </c>
    </row>
    <row r="7" spans="1:13" x14ac:dyDescent="0.25">
      <c r="A7" s="21" t="s">
        <v>444</v>
      </c>
      <c r="B7" s="22">
        <v>0.33810835310879145</v>
      </c>
      <c r="C7" s="22">
        <v>0.28050799251906539</v>
      </c>
      <c r="D7" s="22">
        <v>0.38138365437214322</v>
      </c>
      <c r="E7" s="22">
        <v>1</v>
      </c>
    </row>
    <row r="8" spans="1:13" x14ac:dyDescent="0.25">
      <c r="A8" s="21" t="s">
        <v>450</v>
      </c>
      <c r="B8" s="22">
        <v>0.3886603007015022</v>
      </c>
      <c r="C8" s="22">
        <v>0.26460389466077072</v>
      </c>
      <c r="D8" s="22">
        <v>0.34673580463772707</v>
      </c>
      <c r="E8" s="22">
        <v>1</v>
      </c>
    </row>
    <row r="9" spans="1:13" x14ac:dyDescent="0.25">
      <c r="A9" s="21" t="s">
        <v>425</v>
      </c>
      <c r="B9" s="22">
        <v>0.38673357562227195</v>
      </c>
      <c r="C9" s="22">
        <v>0.21997040691788808</v>
      </c>
      <c r="D9" s="22">
        <v>0.39329601745983994</v>
      </c>
      <c r="E9" s="22">
        <v>1</v>
      </c>
    </row>
    <row r="10" spans="1:13" x14ac:dyDescent="0.25">
      <c r="A10" s="21" t="s">
        <v>436</v>
      </c>
      <c r="B10" s="22">
        <v>0.28677327732491587</v>
      </c>
      <c r="C10" s="22">
        <v>0.34608289886064986</v>
      </c>
      <c r="D10" s="22">
        <v>0.36714382381443428</v>
      </c>
      <c r="E10" s="22">
        <v>1</v>
      </c>
    </row>
    <row r="11" spans="1:13" x14ac:dyDescent="0.25">
      <c r="A11" s="21" t="s">
        <v>535</v>
      </c>
      <c r="B11" s="22">
        <v>0.36926514539642291</v>
      </c>
      <c r="C11" s="22">
        <v>0.25065876525351211</v>
      </c>
      <c r="D11" s="22">
        <v>0.38007608935006498</v>
      </c>
      <c r="E11" s="22">
        <v>1</v>
      </c>
    </row>
    <row r="14" spans="1:13" x14ac:dyDescent="0.25">
      <c r="A14" s="42" t="s">
        <v>540</v>
      </c>
      <c r="B14" s="43"/>
      <c r="C14" s="43"/>
      <c r="D14" s="43"/>
      <c r="E14" s="43"/>
      <c r="F14" s="43"/>
      <c r="H14" s="44" t="s">
        <v>548</v>
      </c>
      <c r="I14" s="45"/>
      <c r="J14" s="45"/>
      <c r="K14" s="45"/>
      <c r="L14" s="45"/>
      <c r="M14" s="45"/>
    </row>
    <row r="15" spans="1:13" x14ac:dyDescent="0.25">
      <c r="A15" s="43"/>
      <c r="B15" s="43"/>
      <c r="C15" s="43"/>
      <c r="D15" s="43"/>
      <c r="E15" s="43"/>
      <c r="F15" s="43"/>
      <c r="H15" s="45"/>
      <c r="I15" s="45"/>
      <c r="J15" s="45"/>
      <c r="K15" s="45"/>
      <c r="L15" s="45"/>
      <c r="M15" s="45"/>
    </row>
    <row r="18" spans="1:11" x14ac:dyDescent="0.25">
      <c r="A18" s="18" t="s">
        <v>522</v>
      </c>
      <c r="B18" t="s">
        <v>538</v>
      </c>
    </row>
    <row r="20" spans="1:11" x14ac:dyDescent="0.25">
      <c r="A20" s="18" t="s">
        <v>534</v>
      </c>
      <c r="B20" t="s">
        <v>537</v>
      </c>
      <c r="C20" t="s">
        <v>539</v>
      </c>
      <c r="H20" s="18" t="s">
        <v>547</v>
      </c>
      <c r="I20" t="s">
        <v>546</v>
      </c>
      <c r="J20" t="s">
        <v>545</v>
      </c>
      <c r="K20" t="s">
        <v>544</v>
      </c>
    </row>
    <row r="21" spans="1:11" x14ac:dyDescent="0.25">
      <c r="A21" s="19" t="s">
        <v>416</v>
      </c>
      <c r="B21" s="17">
        <v>49</v>
      </c>
      <c r="C21" s="17">
        <v>10470.060000000001</v>
      </c>
      <c r="F21" s="20"/>
      <c r="H21" s="19" t="s">
        <v>9</v>
      </c>
      <c r="I21" s="17">
        <v>48982.146600000022</v>
      </c>
      <c r="J21" s="17">
        <v>24001.279999999962</v>
      </c>
      <c r="K21" s="5">
        <v>0.50999942497416084</v>
      </c>
    </row>
    <row r="22" spans="1:11" x14ac:dyDescent="0.25">
      <c r="A22" s="19" t="s">
        <v>415</v>
      </c>
      <c r="B22" s="17">
        <v>38</v>
      </c>
      <c r="C22" s="17">
        <v>9230.7763000000014</v>
      </c>
      <c r="H22" s="19" t="s">
        <v>27</v>
      </c>
      <c r="I22" s="17">
        <v>33249.291299999997</v>
      </c>
      <c r="J22" s="17">
        <v>16720.52</v>
      </c>
      <c r="K22" s="5">
        <v>0.49711649944250086</v>
      </c>
    </row>
    <row r="23" spans="1:11" x14ac:dyDescent="0.25">
      <c r="A23" s="19" t="s">
        <v>407</v>
      </c>
      <c r="B23" s="17">
        <v>36</v>
      </c>
      <c r="C23" s="17">
        <v>8283.3893999999982</v>
      </c>
      <c r="H23" s="19" t="s">
        <v>15</v>
      </c>
      <c r="I23" s="17">
        <v>50416.192700000007</v>
      </c>
      <c r="J23" s="17">
        <v>24427.499999999982</v>
      </c>
      <c r="K23" s="5">
        <v>0.51548304836592751</v>
      </c>
    </row>
    <row r="24" spans="1:11" x14ac:dyDescent="0.25">
      <c r="A24" s="19" t="s">
        <v>417</v>
      </c>
      <c r="B24" s="17">
        <v>48</v>
      </c>
      <c r="C24" s="17">
        <v>6563.1120000000001</v>
      </c>
      <c r="H24" s="19" t="s">
        <v>535</v>
      </c>
      <c r="I24" s="17">
        <v>132647.63060000003</v>
      </c>
      <c r="J24" s="17">
        <v>65149.299999999945</v>
      </c>
      <c r="K24" s="5">
        <v>0.50885440090175327</v>
      </c>
    </row>
    <row r="25" spans="1:11" x14ac:dyDescent="0.25">
      <c r="A25" s="19" t="s">
        <v>405</v>
      </c>
      <c r="B25" s="17">
        <v>37</v>
      </c>
      <c r="C25" s="17">
        <v>5927.8009999999986</v>
      </c>
    </row>
    <row r="26" spans="1:11" x14ac:dyDescent="0.25">
      <c r="A26" s="19" t="s">
        <v>414</v>
      </c>
      <c r="B26" s="17">
        <v>45</v>
      </c>
      <c r="C26" s="17">
        <v>4925.4559999999992</v>
      </c>
    </row>
    <row r="27" spans="1:11" x14ac:dyDescent="0.25">
      <c r="A27" s="19" t="s">
        <v>403</v>
      </c>
      <c r="B27" s="17">
        <v>52</v>
      </c>
      <c r="C27" s="17">
        <v>3714.9714999999992</v>
      </c>
    </row>
    <row r="28" spans="1:11" x14ac:dyDescent="0.25">
      <c r="A28" s="19" t="s">
        <v>408</v>
      </c>
      <c r="B28" s="17">
        <v>44</v>
      </c>
      <c r="C28" s="17">
        <v>2910.4804000000008</v>
      </c>
    </row>
    <row r="29" spans="1:11" x14ac:dyDescent="0.25">
      <c r="A29" s="19" t="s">
        <v>413</v>
      </c>
      <c r="B29" s="17">
        <v>46</v>
      </c>
      <c r="C29" s="17">
        <v>2362.578</v>
      </c>
    </row>
    <row r="30" spans="1:11" x14ac:dyDescent="0.25">
      <c r="A30" s="19" t="s">
        <v>419</v>
      </c>
      <c r="B30" s="17">
        <v>49</v>
      </c>
      <c r="C30" s="17">
        <v>2318.7779999999998</v>
      </c>
    </row>
    <row r="31" spans="1:11" x14ac:dyDescent="0.25">
      <c r="A31" s="19" t="s">
        <v>535</v>
      </c>
      <c r="B31" s="17">
        <v>444</v>
      </c>
      <c r="C31" s="17">
        <v>56707.402599999994</v>
      </c>
    </row>
  </sheetData>
  <mergeCells count="3">
    <mergeCell ref="A1:F2"/>
    <mergeCell ref="A14:F15"/>
    <mergeCell ref="H14:M15"/>
  </mergeCells>
  <conditionalFormatting sqref="K20">
    <cfRule type="cellIs" dxfId="89" priority="2" operator="lessThan">
      <formula>0.55</formula>
    </cfRule>
  </conditionalFormatting>
  <conditionalFormatting pivot="1" sqref="K21:K23">
    <cfRule type="cellIs" dxfId="88" priority="1" operator="lessThan">
      <formula>55</formula>
    </cfRule>
  </conditionalFormatting>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Combo Performance Dashboard</vt:lpstr>
      <vt:lpstr>Day7-Pivot &amp; Helper Sheet</vt:lpstr>
      <vt:lpstr>Orders</vt:lpstr>
      <vt:lpstr>OrderLines</vt:lpstr>
      <vt:lpstr>Menu</vt:lpstr>
      <vt:lpstr>Staff</vt:lpstr>
      <vt:lpstr>Inventory</vt:lpstr>
      <vt:lpstr>Suppliers</vt:lpstr>
      <vt:lpstr>WasteLog</vt:lpstr>
      <vt:lpstr>Feedback</vt:lpstr>
      <vt:lpstr>Daily_Summary</vt:lpstr>
      <vt:lpstr>Day2_KPIs</vt:lpstr>
      <vt:lpstr>Day6_Retrieval</vt:lpstr>
      <vt:lpstr>Day4_Reports</vt:lpstr>
      <vt:lpstr>AllMenuItems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dc:creator>
  <cp:lastModifiedBy>Pramitava Das</cp:lastModifiedBy>
  <cp:lastPrinted>2026-07-06T16:08:23Z</cp:lastPrinted>
  <dcterms:created xsi:type="dcterms:W3CDTF">2026-06-17T12:42:05Z</dcterms:created>
  <dcterms:modified xsi:type="dcterms:W3CDTF">2026-07-06T20:16:50Z</dcterms:modified>
</cp:coreProperties>
</file>